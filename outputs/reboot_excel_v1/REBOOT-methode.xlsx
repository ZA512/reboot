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f37f8073bb4751" /></Relationships>
</file>

<file path=xl/workbook.xml><?xml version="1.0" encoding="utf-8"?>
<x:workbook xmlns:x="http://schemas.openxmlformats.org/spreadsheetml/2006/main">
  <x:sheets>
    <x:sheet xmlns:r="http://schemas.openxmlformats.org/officeDocument/2006/relationships" name="1 Budget annuel" sheetId="1" r:id="Rc9c9c075e26e4e0f"/>
    <x:sheet xmlns:r="http://schemas.openxmlformats.org/officeDocument/2006/relationships" name="2 Bien démarrer" sheetId="2" r:id="R4a62106fd07048ec"/>
    <x:sheet xmlns:r="http://schemas.openxmlformats.org/officeDocument/2006/relationships" name="3 Semaine en cours" sheetId="3" r:id="Rafa28c4b07124880"/>
    <x:sheet xmlns:r="http://schemas.openxmlformats.org/officeDocument/2006/relationships" name="4 Historique" sheetId="4" r:id="R0d45e902ace941e1"/>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 #,##0;[Red](€ #,##0);-"/>
    <x:numFmt numFmtId="201" formatCode="€ #,##0.00;[Red](€ #,##0.00);-"/>
    <x:numFmt numFmtId="202" formatCode="0"/>
    <x:numFmt numFmtId="203" formatCode="dd/mm/yyyy"/>
    <x:numFmt numFmtId="204" formatCode="0.0%;[Red](0.0%);-"/>
  </x:numFmts>
  <x:fonts count="12">
    <x:font>
      <x:sz val="11"/>
      <x:name val="Carlito"/>
    </x:font>
    <x:font>
      <x:b/>
      <x:sz val="18"/>
      <x:color rgb="FFFFFFFF"/>
      <x:name val="Carlito"/>
    </x:font>
    <x:font>
      <x:i/>
      <x:sz val="11"/>
      <x:color rgb="FF475569"/>
      <x:name val="Carlito"/>
    </x:font>
    <x:font>
      <x:b/>
      <x:sz val="11"/>
      <x:color rgb="FFFFFFFF"/>
      <x:name val="Carlito"/>
    </x:font>
    <x:font>
      <x:b/>
      <x:sz val="11"/>
      <x:color rgb="FF475569"/>
      <x:name val="Carlito"/>
    </x:font>
    <x:font>
      <x:b/>
      <x:sz val="11"/>
      <x:color rgb="FF111827"/>
      <x:name val="Carlito"/>
    </x:font>
    <x:font>
      <x:sz val="11"/>
      <x:color rgb="FF475569"/>
      <x:name val="Carlito"/>
    </x:font>
    <x:font>
      <x:sz val="11"/>
      <x:color rgb="FF0000FF"/>
      <x:name val="Carlito"/>
    </x:font>
    <x:font>
      <x:sz val="11"/>
      <x:color rgb="FF111827"/>
      <x:name val="Carlito"/>
    </x:font>
    <x:font>
      <x:sz val="9"/>
      <x:color rgb="FF475569"/>
      <x:name val="Carlito"/>
    </x:font>
    <x:font>
      <x:sz val="11"/>
      <x:color rgb="FF008000"/>
      <x:name val="Carlito"/>
    </x:font>
    <x:font>
      <x:b/>
      <x:sz val="11"/>
      <x:color rgb="FF0F766E"/>
      <x:name val="Carlito"/>
    </x:font>
  </x:fonts>
  <x:fills count="9">
    <x:fill>
      <x:patternFill patternType="none"/>
    </x:fill>
    <x:fill>
      <x:patternFill patternType="gray125"/>
    </x:fill>
    <x:fill>
      <x:patternFill patternType="solid">
        <x:fgColor rgb="FF102A43"/>
      </x:patternFill>
    </x:fill>
    <x:fill>
      <x:patternFill patternType="solid">
        <x:fgColor rgb="FFE6FFFA"/>
      </x:patternFill>
    </x:fill>
    <x:fill>
      <x:patternFill patternType="solid">
        <x:fgColor rgb="FF0F766E"/>
      </x:patternFill>
    </x:fill>
    <x:fill>
      <x:patternFill patternType="solid">
        <x:fgColor rgb="FFF8FAFC"/>
      </x:patternFill>
    </x:fill>
    <x:fill>
      <x:patternFill patternType="solid">
        <x:fgColor rgb="FFFEF3C7"/>
      </x:patternFill>
    </x:fill>
    <x:fill>
      <x:patternFill patternType="solid">
        <x:fgColor rgb="FFEAF3FF"/>
      </x:patternFill>
    </x:fill>
    <x:fill>
      <x:patternFill patternType="solid">
        <x:fgColor rgb="FFECFDF5"/>
      </x:patternFill>
    </x:fill>
  </x:fills>
  <x:borders count="34">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top style="thin">
        <x:color rgb="FFE2E8F0"/>
      </x:top>
      <x:bottom style="thin">
        <x:color rgb="FFE2E8F0"/>
      </x:bottom>
    </x:border>
    <x:border>
      <x:right style="thin">
        <x:color rgb="FFE2E8F0"/>
      </x:right>
      <x:top style="thin">
        <x:color rgb="FFE2E8F0"/>
      </x:top>
      <x:bottom style="thin">
        <x:color rgb="FFE2E8F0"/>
      </x:bottom>
    </x:border>
    <x:border>
      <x:left style="thin">
        <x:color rgb="FF93C5FD"/>
      </x:left>
      <x:right style="thin">
        <x:color rgb="FF93C5FD"/>
      </x:right>
      <x:top style="thin">
        <x:color rgb="FF93C5FD"/>
      </x:top>
      <x:bottom style="thin">
        <x:color rgb="FF93C5FD"/>
      </x:bottom>
    </x:border>
    <x:border>
      <x:left style="thin">
        <x:color rgb="FFCBD5E1"/>
      </x:left>
      <x:right style="thin">
        <x:color rgb="FFCBD5E1"/>
      </x:right>
      <x:top style="thin">
        <x:color rgb="FFCBD5E1"/>
      </x:top>
      <x:bottom style="thin">
        <x:color rgb="FFCBD5E1"/>
      </x:bottom>
    </x:border>
    <x:border>
      <x:left style="thin">
        <x:color rgb="FF93C5FD"/>
      </x:left>
      <x:top style="thin">
        <x:color rgb="FF93C5FD"/>
      </x:top>
    </x:border>
    <x:border>
      <x:top style="thin">
        <x:color rgb="FF93C5FD"/>
      </x:top>
    </x:border>
    <x:border>
      <x:right style="thin">
        <x:color rgb="FF93C5FD"/>
      </x:right>
      <x:top style="thin">
        <x:color rgb="FF93C5FD"/>
      </x:top>
    </x:border>
    <x:border>
      <x:left style="thin">
        <x:color rgb="FF93C5FD"/>
      </x:left>
    </x:border>
    <x:border>
      <x:right style="thin">
        <x:color rgb="FF93C5FD"/>
      </x:right>
    </x:border>
    <x:border>
      <x:left style="thin">
        <x:color rgb="FF93C5FD"/>
      </x:left>
      <x:bottom style="thin">
        <x:color rgb="FF93C5FD"/>
      </x:bottom>
    </x:border>
    <x:border>
      <x:bottom style="thin">
        <x:color rgb="FF93C5FD"/>
      </x:bottom>
    </x:border>
    <x:border>
      <x:right style="thin">
        <x:color rgb="FF93C5FD"/>
      </x:right>
      <x:bottom style="thin">
        <x:color rgb="FF93C5FD"/>
      </x:bottom>
    </x:border>
    <x:border>
      <x:left style="thin">
        <x:color rgb="FF93C5FD"/>
      </x:left>
      <x:top style="thin">
        <x:color rgb="FF93C5FD"/>
      </x:top>
      <x:bottom style="thin">
        <x:color rgb="FFE2E8F0"/>
      </x:bottom>
    </x:border>
    <x:border>
      <x:top style="thin">
        <x:color rgb="FF93C5FD"/>
      </x:top>
      <x:bottom style="thin">
        <x:color rgb="FFE2E8F0"/>
      </x:bottom>
    </x:border>
    <x:border>
      <x:right style="thin">
        <x:color rgb="FF93C5FD"/>
      </x:right>
      <x:top style="thin">
        <x:color rgb="FF93C5FD"/>
      </x:top>
      <x:bottom style="thin">
        <x:color rgb="FFE2E8F0"/>
      </x:bottom>
    </x:border>
    <x:border>
      <x:left style="thin">
        <x:color rgb="FFE2E8F0"/>
      </x:left>
      <x:right style="thin">
        <x:color rgb="FFE2E8F0"/>
      </x:right>
      <x:top style="thin">
        <x:color rgb="FF93C5FD"/>
      </x:top>
      <x:bottom style="thin">
        <x:color rgb="FFE2E8F0"/>
      </x:bottom>
    </x:border>
    <x:border>
      <x:left style="thin">
        <x:color rgb="FF93C5FD"/>
      </x:left>
      <x:top style="thin">
        <x:color rgb="FFE2E8F0"/>
      </x:top>
      <x:bottom style="thin">
        <x:color rgb="FFE2E8F0"/>
      </x:bottom>
    </x:border>
    <x:border>
      <x:right style="thin">
        <x:color rgb="FF93C5FD"/>
      </x:right>
      <x:top style="thin">
        <x:color rgb="FFE2E8F0"/>
      </x:top>
      <x:bottom style="thin">
        <x:color rgb="FFE2E8F0"/>
      </x:bottom>
    </x:border>
    <x:border>
      <x:left style="thin">
        <x:color rgb="FF93C5FD"/>
      </x:left>
      <x:top style="thin">
        <x:color rgb="FFE2E8F0"/>
      </x:top>
    </x:border>
    <x:border>
      <x:top style="thin">
        <x:color rgb="FFE2E8F0"/>
      </x:top>
    </x:border>
    <x:border>
      <x:right style="thin">
        <x:color rgb="FF93C5FD"/>
      </x:right>
      <x:top style="thin">
        <x:color rgb="FFE2E8F0"/>
      </x:top>
    </x:border>
    <x:border>
      <x:left style="thin">
        <x:color rgb="FFE2E8F0"/>
      </x:left>
      <x:right style="thin">
        <x:color rgb="FFE2E8F0"/>
      </x:right>
      <x:top style="thin">
        <x:color rgb="FFE2E8F0"/>
      </x:top>
    </x:border>
    <x:border>
      <x:left style="thin">
        <x:color rgb="FF86EFAC"/>
      </x:left>
      <x:right style="thin">
        <x:color rgb="FF86EFAC"/>
      </x:right>
      <x:top style="thin">
        <x:color rgb="FF86EFAC"/>
      </x:top>
      <x:bottom style="thin">
        <x:color rgb="FF86EFAC"/>
      </x:bottom>
    </x:border>
    <x:border>
      <x:bottom style="thin">
        <x:color rgb="FFE2E8F0"/>
      </x:bottom>
    </x:border>
    <x:border>
      <x:left style="thin">
        <x:color rgb="FFCBD5E1"/>
      </x:left>
      <x:right style="thin">
        <x:color rgb="FFCBD5E1"/>
      </x:right>
      <x:top style="thin">
        <x:color rgb="FFCBD5E1"/>
      </x:top>
      <x:bottom style="thin">
        <x:color rgb="FFF1F5F9"/>
      </x:bottom>
    </x:border>
    <x:border>
      <x:left style="thin">
        <x:color rgb="FFCBD5E1"/>
      </x:left>
      <x:top style="thin">
        <x:color rgb="FFF1F5F9"/>
      </x:top>
      <x:bottom style="thin">
        <x:color rgb="FFF1F5F9"/>
      </x:bottom>
    </x:border>
    <x:border>
      <x:top style="thin">
        <x:color rgb="FFF1F5F9"/>
      </x:top>
      <x:bottom style="thin">
        <x:color rgb="FFF1F5F9"/>
      </x:bottom>
    </x:border>
    <x:border>
      <x:right style="thin">
        <x:color rgb="FFCBD5E1"/>
      </x:right>
      <x:top style="thin">
        <x:color rgb="FFF1F5F9"/>
      </x:top>
      <x:bottom style="thin">
        <x:color rgb="FFF1F5F9"/>
      </x:bottom>
    </x:border>
    <x:border>
      <x:left style="thin">
        <x:color rgb="FFCBD5E1"/>
      </x:left>
      <x:top style="thin">
        <x:color rgb="FFF1F5F9"/>
      </x:top>
      <x:bottom style="thin">
        <x:color rgb="FFCBD5E1"/>
      </x:bottom>
    </x:border>
    <x:border>
      <x:top style="thin">
        <x:color rgb="FFF1F5F9"/>
      </x:top>
      <x:bottom style="thin">
        <x:color rgb="FFCBD5E1"/>
      </x:bottom>
    </x:border>
    <x:border>
      <x:right style="thin">
        <x:color rgb="FFCBD5E1"/>
      </x:right>
      <x:top style="thin">
        <x:color rgb="FFF1F5F9"/>
      </x:top>
      <x:bottom style="thin">
        <x:color rgb="FFCBD5E1"/>
      </x:bottom>
    </x:border>
  </x:borders>
  <x:cellStyleXfs count="1">
    <x:xf numFmtId="0" fontId="0" fillId="0" borderId="0"/>
  </x:cellStyleXfs>
  <x:cellXfs count="1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4" fillId="0" borderId="0" xfId="0" applyNumberFormat="1" applyFont="1" applyFill="1" applyBorder="1"/>
    <x:xf numFmtId="0" fontId="4" fillId="0" borderId="0" xfId="0" applyNumberFormat="1" applyFont="1" applyFill="1" applyBorder="1" applyAlignment="1">
      <x:alignment wrapText="1"/>
    </x:xf>
    <x:xf numFmtId="0" fontId="4" fillId="5" borderId="0"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1" xfId="0" applyNumberFormat="1" applyFont="1" applyFill="1" applyBorder="1" applyAlignment="1">
      <x:alignment wrapText="1"/>
    </x:xf>
    <x:xf numFmtId="200" fontId="5" fillId="5" borderId="1"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0" fillId="7" borderId="0" xfId="0" applyNumberFormat="1" applyFont="1" applyFill="1" applyBorder="1"/>
    <x:xf numFmtId="0" fontId="7" fillId="7" borderId="0" xfId="0" applyNumberFormat="1" applyFont="1" applyFill="1" applyBorder="1"/>
    <x:xf numFmtId="0" fontId="7" fillId="7" borderId="5" xfId="0" applyNumberFormat="1" applyFont="1" applyFill="1" applyBorder="1"/>
    <x:xf numFmtId="201" fontId="7" fillId="7" borderId="5" xfId="0" applyNumberFormat="1" applyFont="1" applyFill="1" applyBorder="1"/>
    <x:xf numFmtId="201" fontId="0" fillId="0" borderId="0" xfId="0" applyNumberFormat="1" applyFont="1" applyFill="1" applyBorder="1"/>
    <x:xf numFmtId="202" fontId="7" fillId="7" borderId="5" xfId="0" applyNumberFormat="1" applyFont="1" applyFill="1" applyBorder="1"/>
    <x:xf numFmtId="0" fontId="3" fillId="2" borderId="0" xfId="0" applyNumberFormat="1" applyFont="1" applyFill="1" applyBorder="1"/>
    <x:xf numFmtId="0" fontId="3" fillId="2" borderId="6" xfId="0" applyNumberFormat="1" applyFont="1" applyFill="1" applyBorder="1"/>
    <x:xf numFmtId="0" fontId="3" fillId="2" borderId="6" xfId="0" applyNumberFormat="1" applyFont="1" applyFill="1" applyBorder="1" applyAlignment="1">
      <x:alignment wrapText="1"/>
    </x:xf>
    <x:xf numFmtId="0" fontId="3" fillId="2" borderId="6" xfId="0" applyNumberFormat="1" applyFont="1" applyFill="1" applyBorder="1" applyAlignment="1">
      <x:alignment vertical="center" wrapText="1"/>
    </x:xf>
    <x:xf numFmtId="0" fontId="7" fillId="7" borderId="7" xfId="0" applyNumberFormat="1" applyFont="1" applyFill="1" applyBorder="1"/>
    <x:xf numFmtId="0" fontId="7" fillId="7" borderId="8" xfId="0" applyNumberFormat="1" applyFont="1" applyFill="1" applyBorder="1"/>
    <x:xf numFmtId="0" fontId="7" fillId="7" borderId="9" xfId="0" applyNumberFormat="1" applyFont="1" applyFill="1" applyBorder="1"/>
    <x:xf numFmtId="0" fontId="7" fillId="7" borderId="10" xfId="0" applyNumberFormat="1" applyFont="1" applyFill="1" applyBorder="1"/>
    <x:xf numFmtId="0" fontId="7" fillId="7" borderId="11" xfId="0" applyNumberFormat="1" applyFont="1" applyFill="1" applyBorder="1"/>
    <x:xf numFmtId="0" fontId="7" fillId="7" borderId="12" xfId="0" applyNumberFormat="1" applyFont="1" applyFill="1" applyBorder="1"/>
    <x:xf numFmtId="0" fontId="7" fillId="7" borderId="13" xfId="0" applyNumberFormat="1" applyFont="1" applyFill="1" applyBorder="1"/>
    <x:xf numFmtId="0" fontId="7" fillId="7" borderId="14" xfId="0" applyNumberFormat="1" applyFont="1" applyFill="1" applyBorder="1"/>
    <x:xf numFmtId="0" fontId="8" fillId="5" borderId="0" xfId="0" applyNumberFormat="1" applyFont="1" applyFill="1" applyBorder="1"/>
    <x:xf numFmtId="0" fontId="8" fillId="5" borderId="1" xfId="0" applyNumberFormat="1" applyFont="1" applyFill="1" applyBorder="1"/>
    <x:xf numFmtId="0" fontId="7" fillId="7" borderId="15" xfId="0" applyNumberFormat="1" applyFont="1" applyFill="1" applyBorder="1"/>
    <x:xf numFmtId="0" fontId="7" fillId="7" borderId="16" xfId="0" applyNumberFormat="1" applyFont="1" applyFill="1" applyBorder="1"/>
    <x:xf numFmtId="0" fontId="7" fillId="7" borderId="17" xfId="0" applyNumberFormat="1" applyFont="1" applyFill="1" applyBorder="1"/>
    <x:xf numFmtId="0" fontId="8" fillId="5" borderId="18" xfId="0" applyNumberFormat="1" applyFont="1" applyFill="1" applyBorder="1"/>
    <x:xf numFmtId="0" fontId="7" fillId="7" borderId="19" xfId="0" applyNumberFormat="1" applyFont="1" applyFill="1" applyBorder="1"/>
    <x:xf numFmtId="0" fontId="7" fillId="7" borderId="3" xfId="0" applyNumberFormat="1" applyFont="1" applyFill="1" applyBorder="1"/>
    <x:xf numFmtId="0" fontId="7" fillId="7" borderId="20" xfId="0" applyNumberFormat="1" applyFont="1" applyFill="1" applyBorder="1"/>
    <x:xf numFmtId="0" fontId="7" fillId="7" borderId="21" xfId="0" applyNumberFormat="1" applyFont="1" applyFill="1" applyBorder="1"/>
    <x:xf numFmtId="0" fontId="7" fillId="7" borderId="22" xfId="0" applyNumberFormat="1" applyFont="1" applyFill="1" applyBorder="1"/>
    <x:xf numFmtId="0" fontId="7" fillId="7" borderId="23" xfId="0" applyNumberFormat="1" applyFont="1" applyFill="1" applyBorder="1"/>
    <x:xf numFmtId="0" fontId="8" fillId="5" borderId="24" xfId="0" applyNumberFormat="1" applyFont="1" applyFill="1" applyBorder="1"/>
    <x:xf numFmtId="201" fontId="7" fillId="7" borderId="16" xfId="0" applyNumberFormat="1" applyFont="1" applyFill="1" applyBorder="1"/>
    <x:xf numFmtId="201" fontId="7" fillId="7" borderId="17" xfId="0" applyNumberFormat="1" applyFont="1" applyFill="1" applyBorder="1"/>
    <x:xf numFmtId="201" fontId="8" fillId="5" borderId="18" xfId="0" applyNumberFormat="1" applyFont="1" applyFill="1" applyBorder="1"/>
    <x:xf numFmtId="201" fontId="7" fillId="7" borderId="3" xfId="0" applyNumberFormat="1" applyFont="1" applyFill="1" applyBorder="1"/>
    <x:xf numFmtId="201" fontId="7" fillId="7" borderId="20" xfId="0" applyNumberFormat="1" applyFont="1" applyFill="1" applyBorder="1"/>
    <x:xf numFmtId="201" fontId="8" fillId="5" borderId="1" xfId="0" applyNumberFormat="1" applyFont="1" applyFill="1" applyBorder="1"/>
    <x:xf numFmtId="201" fontId="7" fillId="7" borderId="22" xfId="0" applyNumberFormat="1" applyFont="1" applyFill="1" applyBorder="1"/>
    <x:xf numFmtId="201" fontId="7" fillId="7" borderId="23" xfId="0" applyNumberFormat="1" applyFont="1" applyFill="1" applyBorder="1"/>
    <x:xf numFmtId="201" fontId="8" fillId="5" borderId="24" xfId="0" applyNumberFormat="1" applyFont="1" applyFill="1" applyBorder="1"/>
    <x:xf numFmtId="202" fontId="8" fillId="5" borderId="18" xfId="0" applyNumberFormat="1" applyFont="1" applyFill="1" applyBorder="1"/>
    <x:xf numFmtId="202" fontId="8" fillId="5" borderId="1" xfId="0" applyNumberFormat="1" applyFont="1" applyFill="1" applyBorder="1"/>
    <x:xf numFmtId="202" fontId="8" fillId="5" borderId="24" xfId="0" applyNumberFormat="1" applyFont="1" applyFill="1" applyBorder="1"/>
    <x:xf numFmtId="203" fontId="7" fillId="7" borderId="15" xfId="0" applyNumberFormat="1" applyFont="1" applyFill="1" applyBorder="1"/>
    <x:xf numFmtId="203" fontId="7" fillId="7" borderId="19" xfId="0" applyNumberFormat="1" applyFont="1" applyFill="1" applyBorder="1"/>
    <x:xf numFmtId="203" fontId="7" fillId="7" borderId="21" xfId="0" applyNumberFormat="1" applyFont="1" applyFill="1" applyBorder="1"/>
    <x:xf numFmtId="0" fontId="9" fillId="0" borderId="0" xfId="0" applyNumberFormat="1" applyFont="1" applyFill="1" applyBorder="1"/>
    <x:xf numFmtId="0" fontId="9" fillId="0" borderId="0" xfId="0" applyNumberFormat="1" applyFont="1" applyFill="1" applyBorder="1" applyAlignment="1">
      <x:alignment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0" fontId="6" fillId="7" borderId="0" xfId="0" applyNumberFormat="1" applyFont="1" applyFill="1" applyBorder="1" applyAlignment="1">
      <x:alignment vertical="center" wrapText="1"/>
    </x:xf>
    <x:xf numFmtId="0" fontId="7" fillId="7" borderId="0" xfId="0" applyNumberFormat="1" applyFont="1" applyFill="1" applyBorder="1" applyAlignment="1">
      <x:alignment vertical="center" wrapText="1"/>
    </x:xf>
    <x:xf numFmtId="0" fontId="7" fillId="7" borderId="5" xfId="0" applyNumberFormat="1" applyFont="1" applyFill="1" applyBorder="1" applyAlignment="1">
      <x:alignment vertical="center" wrapText="1"/>
    </x:xf>
    <x:xf numFmtId="203" fontId="7" fillId="7" borderId="5" xfId="0" applyNumberFormat="1" applyFont="1" applyFill="1" applyBorder="1" applyAlignment="1">
      <x:alignment vertical="center" wrapText="1"/>
    </x:xf>
    <x:xf numFmtId="203" fontId="6" fillId="0" borderId="0" xfId="0" applyNumberFormat="1" applyFont="1" applyFill="1" applyBorder="1" applyAlignment="1">
      <x:alignment vertical="center" wrapText="1"/>
    </x:xf>
    <x:xf numFmtId="201" fontId="7" fillId="7" borderId="5" xfId="0" applyNumberFormat="1" applyFont="1" applyFill="1" applyBorder="1" applyAlignment="1">
      <x:alignment vertical="center" wrapText="1"/>
    </x:xf>
    <x:xf numFmtId="201" fontId="6" fillId="0" borderId="0" xfId="0" applyNumberFormat="1" applyFont="1" applyFill="1" applyBorder="1" applyAlignment="1">
      <x:alignment vertical="center" wrapText="1"/>
    </x:xf>
    <x:xf numFmtId="0" fontId="5" fillId="5" borderId="1" xfId="0" applyNumberFormat="1" applyFont="1" applyFill="1" applyBorder="1"/>
    <x:xf numFmtId="200" fontId="5" fillId="5" borderId="1" xfId="0" applyNumberFormat="1" applyFont="1" applyFill="1" applyBorder="1"/>
    <x:xf numFmtId="0" fontId="0" fillId="8" borderId="0" xfId="0" applyNumberFormat="1" applyFont="1" applyFill="1" applyBorder="1"/>
    <x:xf numFmtId="0" fontId="10" fillId="8" borderId="0" xfId="0" applyNumberFormat="1" applyFont="1" applyFill="1" applyBorder="1"/>
    <x:xf numFmtId="0" fontId="10" fillId="8" borderId="25" xfId="0" applyNumberFormat="1" applyFont="1" applyFill="1" applyBorder="1"/>
    <x:xf numFmtId="200" fontId="10" fillId="8" borderId="25" xfId="0" applyNumberFormat="1" applyFont="1" applyFill="1" applyBorder="1"/>
    <x:xf numFmtId="200" fontId="0" fillId="0" borderId="0" xfId="0" applyNumberFormat="1" applyFont="1" applyFill="1" applyBorder="1"/>
    <x:xf numFmtId="0" fontId="0" fillId="0" borderId="0" xfId="0" applyNumberFormat="1" applyFont="1" applyFill="1" applyBorder="1" applyAlignment="1">
      <x:alignment wrapText="1"/>
    </x:xf>
    <x:xf numFmtId="200" fontId="10" fillId="8" borderId="25" xfId="0" applyNumberFormat="1" applyFont="1" applyFill="1" applyBorder="1" applyAlignment="1">
      <x:alignment wrapText="1"/>
    </x:xf>
    <x:xf numFmtId="200" fontId="0" fillId="0" borderId="0" xfId="0" applyNumberFormat="1" applyFont="1" applyFill="1" applyBorder="1" applyAlignment="1">
      <x:alignment wrapText="1"/>
    </x:xf>
    <x:xf numFmtId="0" fontId="10" fillId="8" borderId="25" xfId="0" applyNumberFormat="1" applyFont="1" applyFill="1" applyBorder="1" applyAlignment="1">
      <x:alignment wrapText="1"/>
    </x:xf>
    <x:xf numFmtId="204" fontId="5" fillId="5" borderId="1" xfId="0" applyNumberFormat="1" applyFont="1" applyFill="1" applyBorder="1"/>
    <x:xf numFmtId="203" fontId="0" fillId="0" borderId="0" xfId="0" applyNumberFormat="1" applyFont="1" applyFill="1" applyBorder="1"/>
    <x:xf numFmtId="204" fontId="0" fillId="0" borderId="0" xfId="0" applyNumberFormat="1" applyFont="1" applyFill="1" applyBorder="1"/>
    <x:xf numFmtId="0" fontId="0" fillId="0" borderId="26" xfId="0" applyNumberFormat="1" applyFont="1" applyFill="1" applyBorder="1"/>
    <x:xf numFmtId="200" fontId="0" fillId="0" borderId="26" xfId="0" applyNumberFormat="1" applyFont="1" applyFill="1" applyBorder="1"/>
    <x:xf numFmtId="203" fontId="0" fillId="0" borderId="26" xfId="0" applyNumberFormat="1" applyFont="1" applyFill="1" applyBorder="1"/>
    <x:xf numFmtId="204" fontId="0" fillId="0" borderId="26" xfId="0" applyNumberFormat="1" applyFont="1" applyFill="1" applyBorder="1"/>
    <x:xf numFmtId="0" fontId="0" fillId="0" borderId="3" xfId="0" applyNumberFormat="1" applyFont="1" applyFill="1" applyBorder="1"/>
    <x:xf numFmtId="200" fontId="0" fillId="0" borderId="3" xfId="0" applyNumberFormat="1" applyFont="1" applyFill="1" applyBorder="1"/>
    <x:xf numFmtId="203" fontId="0" fillId="0" borderId="3" xfId="0" applyNumberFormat="1" applyFont="1" applyFill="1" applyBorder="1"/>
    <x:xf numFmtId="204" fontId="0" fillId="0" borderId="3" xfId="0" applyNumberFormat="1" applyFont="1" applyFill="1" applyBorder="1"/>
    <x:xf numFmtId="0" fontId="0" fillId="0" borderId="22" xfId="0" applyNumberFormat="1" applyFont="1" applyFill="1" applyBorder="1"/>
    <x:xf numFmtId="200" fontId="0" fillId="0" borderId="22" xfId="0" applyNumberFormat="1" applyFont="1" applyFill="1" applyBorder="1"/>
    <x:xf numFmtId="203" fontId="0" fillId="0" borderId="22" xfId="0" applyNumberFormat="1" applyFont="1" applyFill="1" applyBorder="1"/>
    <x:xf numFmtId="204" fontId="0" fillId="0" borderId="22" xfId="0" applyNumberFormat="1" applyFont="1" applyFill="1" applyBorder="1"/>
    <x:xf numFmtId="203" fontId="5" fillId="5" borderId="1" xfId="0" applyNumberFormat="1" applyFont="1" applyFill="1" applyBorder="1"/>
    <x:xf numFmtId="0" fontId="11" fillId="3" borderId="0" xfId="0" applyNumberFormat="1" applyFont="1" applyFill="1" applyBorder="1"/>
    <x:xf numFmtId="0" fontId="11" fillId="3"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3" fillId="2" borderId="27" xfId="0" applyNumberFormat="1" applyFont="1" applyFill="1" applyBorder="1" applyAlignment="1">
      <x:alignment vertical="center" wrapText="1"/>
    </x:xf>
    <x:xf numFmtId="203" fontId="0" fillId="0" borderId="28" xfId="0" applyNumberFormat="1" applyFont="1" applyFill="1" applyBorder="1"/>
    <x:xf numFmtId="0" fontId="0" fillId="0" borderId="29" xfId="0" applyNumberFormat="1" applyFont="1" applyFill="1" applyBorder="1"/>
    <x:xf numFmtId="201" fontId="0" fillId="0" borderId="29" xfId="0" applyNumberFormat="1" applyFont="1" applyFill="1" applyBorder="1"/>
    <x:xf numFmtId="201" fontId="0" fillId="0" borderId="30" xfId="0" applyNumberFormat="1" applyFont="1" applyFill="1" applyBorder="1"/>
    <x:xf numFmtId="203" fontId="0" fillId="0" borderId="31" xfId="0" applyNumberFormat="1" applyFont="1" applyFill="1" applyBorder="1"/>
    <x:xf numFmtId="0" fontId="0" fillId="0" borderId="32" xfId="0" applyNumberFormat="1" applyFont="1" applyFill="1" applyBorder="1"/>
    <x:xf numFmtId="201" fontId="0" fillId="0" borderId="32" xfId="0" applyNumberFormat="1" applyFont="1" applyFill="1" applyBorder="1"/>
    <x:xf numFmtId="201" fontId="0" fillId="0" borderId="33" xfId="0" applyNumberFormat="1" applyFont="1" applyFill="1" applyBorder="1"/>
    <x:xf numFmtId="203" fontId="7" fillId="7" borderId="5" xfId="0" applyNumberFormat="1" applyFont="1" applyFill="1" applyBorder="1"/>
    <x:xf numFmtId="201" fontId="5" fillId="5" borderId="1"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203" fontId="7" fillId="7" borderId="7" xfId="0" applyNumberFormat="1" applyFont="1" applyFill="1" applyBorder="1"/>
    <x:xf numFmtId="203" fontId="7" fillId="7" borderId="10" xfId="0" applyNumberFormat="1" applyFont="1" applyFill="1" applyBorder="1"/>
    <x:xf numFmtId="203" fontId="7" fillId="7" borderId="12" xfId="0" applyNumberFormat="1" applyFont="1" applyFill="1" applyBorder="1"/>
    <x:xf numFmtId="201" fontId="7" fillId="7" borderId="8" xfId="0" applyNumberFormat="1" applyFont="1" applyFill="1" applyBorder="1"/>
    <x:xf numFmtId="201" fontId="7" fillId="7" borderId="0" xfId="0" applyNumberFormat="1" applyFont="1" applyFill="1" applyBorder="1"/>
    <x:xf numFmtId="201" fontId="7" fillId="7" borderId="13"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center" wrapText="1"/>
    </x:xf>
    <x:xf numFmtId="0" fontId="0" fillId="5" borderId="0" xfId="0" applyNumberFormat="1" applyFont="1" applyFill="1" applyBorder="1" applyAlignment="1">
      <x:alignment wrapText="1"/>
    </x:xf>
    <x:xf numFmtId="202" fontId="5" fillId="5" borderId="1" xfId="0" applyNumberFormat="1" applyFont="1" applyFill="1" applyBorder="1" applyAlignment="1">
      <x:alignment wrapText="1"/>
    </x:xf>
    <x:xf numFmtId="201" fontId="5" fillId="5" borderId="1" xfId="0" applyNumberFormat="1" applyFont="1" applyFill="1" applyBorder="1" applyAlignment="1">
      <x:alignment wrapText="1"/>
    </x:xf>
    <x:xf numFmtId="201" fontId="7" fillId="7" borderId="9" xfId="0" applyNumberFormat="1" applyFont="1" applyFill="1" applyBorder="1"/>
    <x:xf numFmtId="201" fontId="0" fillId="0" borderId="26" xfId="0" applyNumberFormat="1" applyFont="1" applyFill="1" applyBorder="1"/>
    <x:xf numFmtId="201" fontId="7" fillId="7" borderId="11" xfId="0" applyNumberFormat="1" applyFont="1" applyFill="1" applyBorder="1"/>
    <x:xf numFmtId="201" fontId="0" fillId="0" borderId="3" xfId="0" applyNumberFormat="1" applyFont="1" applyFill="1" applyBorder="1"/>
    <x:xf numFmtId="201" fontId="7" fillId="7" borderId="14" xfId="0" applyNumberFormat="1" applyFont="1" applyFill="1" applyBorder="1"/>
    <x:xf numFmtId="201" fontId="0" fillId="0" borderId="22" xfId="0" applyNumberFormat="1" applyFont="1" applyFill="1" applyBorder="1"/>
  </x:cellXfs>
  <x:cellStyles count="1">
    <x:cellStyle name="Normal" xfId="0"/>
  </x:cellStyles>
  <x:dxfs count="15">
    <x:dxf>
      <x:font>
        <x:b/>
        <x:color rgb="FF166534"/>
      </x:font>
      <x:fill>
        <x:patternFill patternType="solid">
          <x:bgColor rgb="FFDCFCE7"/>
        </x:patternFill>
      </x:fill>
    </x:dxf>
    <x:dxf>
      <x:font>
        <x:b/>
        <x:color rgb="FFB91C1C"/>
      </x:font>
      <x:fill>
        <x:patternFill patternType="solid">
          <x:bgColor rgb="FFFEE2E2"/>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B91C1C"/>
      </x:font>
      <x:fill>
        <x:patternFill patternType="solid">
          <x:bgColor rgb="FFFEE2E2"/>
        </x:patternFill>
      </x:fill>
    </x:dxf>
    <x:dxf>
      <x:font>
        <x:b/>
        <x:color rgb="FF166534"/>
      </x:font>
      <x:fill>
        <x:patternFill patternType="solid">
          <x:bgColor rgb="FFDCFCE7"/>
        </x:patternFill>
      </x:fill>
    </x:dxf>
    <x:dxf>
      <x:font>
        <x:b/>
        <x:color rgb="FFB91C1C"/>
      </x:font>
      <x:fill>
        <x:patternFill patternType="solid">
          <x:bgColor rgb="FFFEE2E2"/>
        </x:patternFill>
      </x:fill>
    </x:dxf>
    <x:dxf>
      <x:font>
        <x:b/>
        <x:color rgb="FF92400E"/>
      </x:font>
      <x:fill>
        <x:patternFill patternType="solid">
          <x:bgColor rgb="FFFEF3C7"/>
        </x:patternFill>
      </x:fill>
    </x:dxf>
    <x:dxf>
      <x:font>
        <x:b/>
        <x:color rgb="FFB91C1C"/>
      </x:font>
      <x:fill>
        <x:patternFill patternType="solid">
          <x:bgColor rgb="FFFEE2E2"/>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B91C1C"/>
      </x:font>
      <x:fill>
        <x:patternFill patternType="solid">
          <x:bgColor rgb="FFFEE2E2"/>
        </x:patternFill>
      </x:fill>
    </x:dxf>
    <x:dxf>
      <x:font>
        <x:color rgb="FF166534"/>
      </x:font>
      <x:fill>
        <x:patternFill patternType="solid">
          <x:bgColor rgb="FFDCFCE7"/>
        </x:patternFill>
      </x:fill>
    </x:dxf>
    <x:dxf>
      <x:font>
        <x:b/>
        <x:color rgb="FF92400E"/>
      </x:font>
      <x:fill>
        <x:patternFill patternType="solid">
          <x:bgColor rgb="FFFEF3C7"/>
        </x:patternFill>
      </x:fill>
    </x:dxf>
    <x:dxf>
      <x:font>
        <x:b/>
        <x:color rgb="FFB91C1C"/>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e198e6569f84796" /><Relationship Type="http://schemas.openxmlformats.org/officeDocument/2006/relationships/theme" Target="/xl/theme/theme1.xml" Id="R68f879239f8e41c6" /><Relationship Type="http://schemas.openxmlformats.org/officeDocument/2006/relationships/sharedStrings" Target="/xl/sharedStrings.xml" Id="R53228e4d573b4348" /><Relationship Type="http://schemas.openxmlformats.org/officeDocument/2006/relationships/worksheet" Target="/xl/worksheets/sheet1.xml" Id="Rc9c9c075e26e4e0f" /><Relationship Type="http://schemas.openxmlformats.org/officeDocument/2006/relationships/worksheet" Target="/xl/worksheets/sheet2.xml" Id="R4a62106fd07048ec" /><Relationship Type="http://schemas.openxmlformats.org/officeDocument/2006/relationships/worksheet" Target="/xl/worksheets/sheet3.xml" Id="Rafa28c4b07124880" /><Relationship Type="http://schemas.openxmlformats.org/officeDocument/2006/relationships/worksheet" Target="/xl/worksheets/sheet4.xml" Id="R0d45e902ace941e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9" hidden="0" customWidth="1"/>
    <x:col min="2" max="2" width="10" hidden="0" customWidth="1"/>
    <x:col min="3" max="3" width="28" hidden="0" customWidth="1"/>
    <x:col min="4" max="4" width="14" hidden="0" customWidth="1"/>
    <x:col min="5" max="5" width="20" hidden="0" customWidth="1"/>
    <x:col min="6" max="6" width="16" hidden="0" customWidth="1"/>
    <x:col min="7" max="7" width="17" hidden="0" customWidth="1"/>
    <x:col min="8" max="8" width="16" hidden="0" customWidth="1"/>
    <x:col min="9" max="9" width="15" hidden="0" customWidth="1"/>
    <x:col min="10" max="10" width="12" hidden="0" customWidth="1"/>
    <x:col min="11" max="11" width="16" hidden="0" customWidth="1"/>
    <x:col min="12" max="12" width="13" hidden="0" customWidth="1"/>
    <x:col min="13" max="13" width="17" hidden="0" customWidth="1"/>
    <x:col min="14" max="14" width="35" hidden="0" customWidth="1"/>
  </x:cols>
  <x:sheetData>
    <x:row r="1" ht="34" customHeight="1">
      <x:c r="A1" s="3" t="str">
        <x:v>REBOOT — 1. Construire le budget annuel</x:v>
      </x:c>
      <x:c r="B1" s="3" t="str">
        <x:v>REBOOT — 1. Construire le budget annuel</x:v>
      </x:c>
      <x:c r="C1" s="3" t="str">
        <x:v>REBOOT — 1. Construire le budget annuel</x:v>
      </x:c>
      <x:c r="D1" s="3" t="str">
        <x:v>REBOOT — 1. Construire le budget annuel</x:v>
      </x:c>
      <x:c r="E1" s="3" t="str">
        <x:v>REBOOT — 1. Construire le budget annuel</x:v>
      </x:c>
      <x:c r="F1" s="3" t="str">
        <x:v>REBOOT — 1. Construire le budget annuel</x:v>
      </x:c>
      <x:c r="G1" s="3" t="str">
        <x:v>REBOOT — 1. Construire le budget annuel</x:v>
      </x:c>
      <x:c r="H1" s="3" t="str">
        <x:v>REBOOT — 1. Construire le budget annuel</x:v>
      </x:c>
      <x:c r="I1" s="3" t="str">
        <x:v>REBOOT — 1. Construire le budget annuel</x:v>
      </x:c>
      <x:c r="J1" s="3" t="str">
        <x:v>REBOOT — 1. Construire le budget annuel</x:v>
      </x:c>
      <x:c r="K1" s="3" t="str">
        <x:v>REBOOT — 1. Construire le budget annuel</x:v>
      </x:c>
      <x:c r="L1" s="3" t="str">
        <x:v>REBOOT — 1. Construire le budget annuel</x:v>
      </x:c>
      <x:c r="M1" s="3" t="str">
        <x:v>REBOOT — 1. Construire le budget annuel</x:v>
      </x:c>
      <x:c r="N1" s="3" t="str">
        <x:v>REBOOT — 1. Construire le budget annuel</x:v>
      </x:c>
    </x:row>
    <x:row r="2" ht="34" customHeight="1">
      <x:c r="A2" s="7" t="str">
        <x:v>Remplissez uniquement les cellules bleues. Les revenus et charges sont annualisés sur 52 semaines ; une dépense déjà couverte par le budget semaine n’est jamais retirée une seconde fois.</x:v>
      </x:c>
      <x:c r="B2" s="7" t="str">
        <x:v>Remplissez uniquement les cellules bleues. Les revenus et charges sont annualisés sur 52 semaines ; une dépense déjà couverte par le budget semaine n’est jamais retirée une seconde fois.</x:v>
      </x:c>
      <x:c r="C2" s="7" t="str">
        <x:v>Remplissez uniquement les cellules bleues. Les revenus et charges sont annualisés sur 52 semaines ; une dépense déjà couverte par le budget semaine n’est jamais retirée une seconde fois.</x:v>
      </x:c>
      <x:c r="D2" s="7" t="str">
        <x:v>Remplissez uniquement les cellules bleues. Les revenus et charges sont annualisés sur 52 semaines ; une dépense déjà couverte par le budget semaine n’est jamais retirée une seconde fois.</x:v>
      </x:c>
      <x:c r="E2" s="7" t="str">
        <x:v>Remplissez uniquement les cellules bleues. Les revenus et charges sont annualisés sur 52 semaines ; une dépense déjà couverte par le budget semaine n’est jamais retirée une seconde fois.</x:v>
      </x:c>
      <x:c r="F2" s="7" t="str">
        <x:v>Remplissez uniquement les cellules bleues. Les revenus et charges sont annualisés sur 52 semaines ; une dépense déjà couverte par le budget semaine n’est jamais retirée une seconde fois.</x:v>
      </x:c>
      <x:c r="G2" s="7" t="str">
        <x:v>Remplissez uniquement les cellules bleues. Les revenus et charges sont annualisés sur 52 semaines ; une dépense déjà couverte par le budget semaine n’est jamais retirée une seconde fois.</x:v>
      </x:c>
      <x:c r="H2" s="7" t="str">
        <x:v>Remplissez uniquement les cellules bleues. Les revenus et charges sont annualisés sur 52 semaines ; une dépense déjà couverte par le budget semaine n’est jamais retirée une seconde fois.</x:v>
      </x:c>
      <x:c r="I2" s="7" t="str">
        <x:v>Remplissez uniquement les cellules bleues. Les revenus et charges sont annualisés sur 52 semaines ; une dépense déjà couverte par le budget semaine n’est jamais retirée une seconde fois.</x:v>
      </x:c>
      <x:c r="J2" s="7" t="str">
        <x:v>Remplissez uniquement les cellules bleues. Les revenus et charges sont annualisés sur 52 semaines ; une dépense déjà couverte par le budget semaine n’est jamais retirée une seconde fois.</x:v>
      </x:c>
      <x:c r="K2" s="7" t="str">
        <x:v>Remplissez uniquement les cellules bleues. Les revenus et charges sont annualisés sur 52 semaines ; une dépense déjà couverte par le budget semaine n’est jamais retirée une seconde fois.</x:v>
      </x:c>
      <x:c r="L2" s="7" t="str">
        <x:v>Remplissez uniquement les cellules bleues. Les revenus et charges sont annualisés sur 52 semaines ; une dépense déjà couverte par le budget semaine n’est jamais retirée une seconde fois.</x:v>
      </x:c>
      <x:c r="M2" s="7" t="str">
        <x:v>Remplissez uniquement les cellules bleues. Les revenus et charges sont annualisés sur 52 semaines ; une dépense déjà couverte par le budget semaine n’est jamais retirée une seconde fois.</x:v>
      </x:c>
      <x:c r="N2" s="7" t="str">
        <x:v>Remplissez uniquement les cellules bleues. Les revenus et charges sont annualisés sur 52 semaines ; une dépense déjà couverte par le budget semaine n’est jamais retirée une seconde fois.</x:v>
      </x:c>
    </x:row>
    <x:row r="4" ht="24" customHeight="1">
      <x:c r="A4" s="10" t="str">
        <x:v>Résultat annuel et budget semaine</x:v>
      </x:c>
      <x:c r="B4" s="10" t="str">
        <x:v>Résultat annuel et budget semaine</x:v>
      </x:c>
      <x:c r="C4" s="10" t="str">
        <x:v>Résultat annuel et budget semaine</x:v>
      </x:c>
      <x:c r="D4" s="10" t="str">
        <x:v>Résultat annuel et budget semaine</x:v>
      </x:c>
      <x:c r="E4" s="10" t="str">
        <x:v>Résultat annuel et budget semaine</x:v>
      </x:c>
      <x:c r="F4" s="10" t="str">
        <x:v>Résultat annuel et budget semaine</x:v>
      </x:c>
      <x:c r="G4" s="10" t="str">
        <x:v>Résultat annuel et budget semaine</x:v>
      </x:c>
      <x:c r="H4" s="10" t="str">
        <x:v>Résultat annuel et budget semaine</x:v>
      </x:c>
      <x:c r="I4" s="10" t="str">
        <x:v>Résultat annuel et budget semaine</x:v>
      </x:c>
      <x:c r="J4" s="10" t="str">
        <x:v>Résultat annuel et budget semaine</x:v>
      </x:c>
      <x:c r="K4" s="10" t="str">
        <x:v>Résultat annuel et budget semaine</x:v>
      </x:c>
      <x:c r="L4" s="10" t="str">
        <x:v>Résultat annuel et budget semaine</x:v>
      </x:c>
      <x:c r="M4" s="10" t="str">
        <x:v>Résultat annuel et budget semaine</x:v>
      </x:c>
      <x:c r="N4" s="10" t="str">
        <x:v>Résultat annuel et budget semaine</x:v>
      </x:c>
    </x:row>
    <x:row r="5" ht="38" customHeight="1">
      <x:c r="A5" s="12" t="str">
        <x:v>Entrées sur 52 semaines</x:v>
      </x:c>
      <x:c r="B5" s="16" t="n">
        <x:f>SUMIFS($K$14:$K$43,$A$14:$A$43,"Oui",$B$14:$B$43,"Entrée")</x:f>
        <x:v>0</x:v>
      </x:c>
      <x:c r="C5" s="12" t="str">
        <x:v>Charges lissées</x:v>
      </x:c>
      <x:c r="D5" s="16" t="n">
        <x:f>SUMIFS($K$14:$K$43,$A$14:$A$43,"Oui",$B$14:$B$43,"Sortie",$M$14:$M$43,"Non")</x:f>
        <x:v>0</x:v>
      </x:c>
      <x:c r="E5" s="12" t="str">
        <x:v>Capacité pilotable</x:v>
      </x:c>
      <x:c r="F5" s="16" t="n">
        <x:f>B5-D5-B11-D11-F11</x:f>
        <x:v>0</x:v>
      </x:c>
      <x:c r="G5" s="12" t="str">
        <x:v>Budget durable</x:v>
      </x:c>
      <x:c r="H5" s="16" t="n">
        <x:f>IF(F5&lt;=0,0,INT(F5/52))</x:f>
        <x:v>0</x:v>
      </x:c>
      <x:c r="I5" s="12" t="str">
        <x:v>Prime temporaire / sem.</x:v>
      </x:c>
      <x:c r="J5" s="16" t="n">
        <x:f>IF(AND(J11&gt;0,L11&gt;0),J11/L11,0)</x:f>
        <x:v>0</x:v>
      </x:c>
      <x:c r="K5" s="12" t="str">
        <x:v>Budget actuel indicatif</x:v>
      </x:c>
      <x:c r="L5" s="16" t="n">
        <x:f>H5+J5</x:f>
        <x:v>0</x:v>
      </x:c>
    </x:row>
    <x:row r="7" ht="34" customHeight="1">
      <x:c r="A7" t="str">
        <x:v>Diagnostic</x:v>
      </x:c>
      <x:c r="B7" s="19" t="str">
        <x:f>IF(COUNTIF($A$14:$A$43,"Oui")=0,"À COMPLÉTER",IF($F$5&lt;=0,"DÉFICIT STRUCTUREL",IF($H$5&lt;$H$11,"BUDGET TROP SERRÉ","BASE ANNUELLE VIABLE")))</x:f>
        <x:v>À COMPLÉTER</x:v>
      </x:c>
      <x:c r="C7" s="20"/>
      <x:c r="D7" s="20"/>
      <x:c r="E7" s="20"/>
      <x:c r="F7" s="21"/>
      <x:c r="G7" s="24" t="str">
        <x:v>Le budget durable est arrondi à l’euro inférieur. La différence reste sur le compte et crée une petite marge au fil des semaines.</x:v>
      </x:c>
      <x:c r="H7" s="24" t="str">
        <x:v>Le budget durable est arrondi à l’euro inférieur. La différence reste sur le compte et crée une petite marge au fil des semaines.</x:v>
      </x:c>
      <x:c r="I7" s="24" t="str">
        <x:v>Le budget durable est arrondi à l’euro inférieur. La différence reste sur le compte et crée une petite marge au fil des semaines.</x:v>
      </x:c>
      <x:c r="J7" s="24" t="str">
        <x:v>Le budget durable est arrondi à l’euro inférieur. La différence reste sur le compte et crée une petite marge au fil des semaines.</x:v>
      </x:c>
      <x:c r="K7" s="24" t="str">
        <x:v>Le budget durable est arrondi à l’euro inférieur. La différence reste sur le compte et crée une petite marge au fil des semaines.</x:v>
      </x:c>
      <x:c r="L7" s="24" t="str">
        <x:v>Le budget durable est arrondi à l’euro inférieur. La différence reste sur le compte et crée une petite marge au fil des semaines.</x:v>
      </x:c>
      <x:c r="M7" s="24" t="str">
        <x:v>Le budget durable est arrondi à l’euro inférieur. La différence reste sur le compte et crée une petite marge au fil des semaines.</x:v>
      </x:c>
      <x:c r="N7" s="24" t="str">
        <x:v>Le budget durable est arrondi à l’euro inférieur. La différence reste sur le compte et crée une petite marge au fil des semaines.</x:v>
      </x:c>
    </x:row>
    <x:row r="9" ht="24" customHeight="1">
      <x:c r="A9" s="10" t="str">
        <x:v>Objectifs et compléments volontaires</x:v>
      </x:c>
      <x:c r="B9" s="10" t="str">
        <x:v>Objectifs et compléments volontaires</x:v>
      </x:c>
      <x:c r="C9" s="10" t="str">
        <x:v>Objectifs et compléments volontaires</x:v>
      </x:c>
      <x:c r="D9" s="10" t="str">
        <x:v>Objectifs et compléments volontaires</x:v>
      </x:c>
      <x:c r="E9" s="10" t="str">
        <x:v>Objectifs et compléments volontaires</x:v>
      </x:c>
      <x:c r="F9" s="10" t="str">
        <x:v>Objectifs et compléments volontaires</x:v>
      </x:c>
      <x:c r="G9" s="10" t="str">
        <x:v>Objectifs et compléments volontaires</x:v>
      </x:c>
      <x:c r="H9" s="10" t="str">
        <x:v>Objectifs et compléments volontaires</x:v>
      </x:c>
      <x:c r="I9" s="10" t="str">
        <x:v>Objectifs et compléments volontaires</x:v>
      </x:c>
      <x:c r="J9" s="10" t="str">
        <x:v>Objectifs et compléments volontaires</x:v>
      </x:c>
      <x:c r="K9" s="10" t="str">
        <x:v>Objectifs et compléments volontaires</x:v>
      </x:c>
      <x:c r="L9" s="10" t="str">
        <x:v>Objectifs et compléments volontaires</x:v>
      </x:c>
      <x:c r="M9" s="10" t="str">
        <x:v>Objectifs et compléments volontaires</x:v>
      </x:c>
      <x:c r="N9" s="10" t="str">
        <x:v>Objectifs et compléments volontaires</x:v>
      </x:c>
    </x:row>
    <x:row r="10" ht="52" customHeight="1">
      <x:c r="A10" s="12" t="str">
        <x:v>Réserves sur 52 semaines</x:v>
      </x:c>
      <x:c r="B10" s="12"/>
      <x:c r="C10" s="12" t="str">
        <x:v>Projets sur 52 semaines</x:v>
      </x:c>
      <x:c r="D10" s="12"/>
      <x:c r="E10" s="12" t="str">
        <x:v>Marge de sécurité annuelle</x:v>
      </x:c>
      <x:c r="F10" s="12"/>
      <x:c r="G10" s="12" t="str">
        <x:v>Minimum viable / semaine</x:v>
      </x:c>
      <x:c r="H10" s="12"/>
      <x:c r="I10" s="12" t="str">
        <x:v>Prime déjà reçue affectée au quotidien</x:v>
      </x:c>
      <x:c r="J10" s="12"/>
      <x:c r="K10" s="12" t="str">
        <x:v>Semaines avant nouvelle confirmation</x:v>
      </x:c>
      <x:c r="L10" s="12"/>
      <x:c r="M10" s="24" t="str">
        <x:v>Prime : indiquez uniquement la part encore disponible, déjà reçue et réellement destinée au quotidien. Une prime future n’est jamais anticipée.</x:v>
      </x:c>
      <x:c r="N10" s="24" t="str">
        <x:v>Prime : indiquez uniquement la part encore disponible, déjà reçue et réellement destinée au quotidien. Une prime future n’est jamais anticipée.</x:v>
      </x:c>
    </x:row>
    <x:row r="11" ht="26" customHeight="1">
      <x:c r="B11" s="28" t="n">
        <x:v>0</x:v>
      </x:c>
      <x:c r="C11" s="29"/>
      <x:c r="D11" s="28" t="n">
        <x:v>0</x:v>
      </x:c>
      <x:c r="E11" s="29"/>
      <x:c r="F11" s="28" t="n">
        <x:v>0</x:v>
      </x:c>
      <x:c r="G11" s="29"/>
      <x:c r="H11" s="28" t="n">
        <x:v>0</x:v>
      </x:c>
      <x:c r="I11" s="29"/>
      <x:c r="J11" s="28" t="n">
        <x:v>0</x:v>
      </x:c>
      <x:c r="K11"/>
      <x:c r="L11" s="30" t="n">
        <x:v>0</x:v>
      </x:c>
      <x:c r="M11" s="24" t="str">
        <x:v>Prime : indiquez uniquement la part encore disponible, déjà reçue et réellement destinée au quotidien. Une prime future n’est jamais anticipée.</x:v>
      </x:c>
      <x:c r="N11" s="24" t="str">
        <x:v>Prime : indiquez uniquement la part encore disponible, déjà reçue et réellement destinée au quotidien. Une prime future n’est jamais anticipée.</x:v>
      </x:c>
    </x:row>
    <x:row r="13" ht="42" customHeight="1">
      <x:c r="A13" s="34" t="str">
        <x:v>Actif ?</x:v>
      </x:c>
      <x:c r="B13" s="34" t="str">
        <x:v>Sens</x:v>
      </x:c>
      <x:c r="C13" s="34" t="str">
        <x:v>Libellé</x:v>
      </x:c>
      <x:c r="D13" s="34" t="str">
        <x:v>Fixe / variable</x:v>
      </x:c>
      <x:c r="E13" s="34" t="str">
        <x:v>Fréquence</x:v>
      </x:c>
      <x:c r="F13" s="34" t="str">
        <x:v>Montant moyen / occurrence</x:v>
      </x:c>
      <x:c r="G13" s="34" t="str">
        <x:v>Estimation variable</x:v>
      </x:c>
      <x:c r="H13" s="34" t="str">
        <x:v>Montant personnalisé</x:v>
      </x:c>
      <x:c r="I13" s="34" t="str">
        <x:v>Montant retenu</x:v>
      </x:c>
      <x:c r="J13" s="34" t="str">
        <x:v>Occurrences / 52 sem.</x:v>
      </x:c>
      <x:c r="K13" s="34" t="str">
        <x:v>Total sur 52 sem.</x:v>
      </x:c>
      <x:c r="L13" s="34" t="str">
        <x:v>Prochaine date</x:v>
      </x:c>
      <x:c r="M13" s="34" t="str">
        <x:v>Couvert par budget semaine ?</x:v>
      </x:c>
      <x:c r="N13" s="34" t="str">
        <x:v>Note</x:v>
      </x:c>
    </x:row>
    <x:row r="14">
      <x:c r="A14" s="45" t="str">
        <x:v>Non</x:v>
      </x:c>
      <x:c r="B14" s="46" t="str">
        <x:v>Entrée</x:v>
      </x:c>
      <x:c r="C14" s="46" t="str">
        <x:v>Salaire 1</x:v>
      </x:c>
      <x:c r="D14" s="46" t="str">
        <x:v>Fixe</x:v>
      </x:c>
      <x:c r="E14" s="46" t="str">
        <x:v>Mensuelle</x:v>
      </x:c>
      <x:c r="F14" s="56"/>
      <x:c r="G14" s="56" t="str">
        <x:v>Équilibré</x:v>
      </x:c>
      <x:c r="H14" s="57"/>
      <x:c r="I14" s="58" t="n">
        <x:f>IF($A14&lt;&gt;"Oui",0,IF($D14="Fixe",IF($F14="",0,$F14),IF($G14="Prudent",IF($F14="",0,$F14)*IF($B14="Entrée",0.9,1.1),IF($G14="Équilibré",IF($F14="",0,$F14),IF($H14="",0,$H14)))))</x:f>
        <x:v>0</x:v>
      </x:c>
      <x:c r="J14" s="65" t="n">
        <x:f>IF($A14&lt;&gt;"Oui",0,IF($E14="Hebdomadaire",52,IF($E14="Toutes les 4 semaines",13,IF($E14="Mensuelle",12,IF($E14="Trimestrielle",4,IF($E14="Semestrielle",2,IF($E14="Annuelle",1,0)))))))</x:f>
        <x:v>0</x:v>
      </x:c>
      <x:c r="K14" s="58" t="n">
        <x:f>I14*J14</x:f>
        <x:v>0</x:v>
      </x:c>
      <x:c r="L14" s="68"/>
      <x:c r="M14" s="46" t="str">
        <x:v>Non</x:v>
      </x:c>
      <x:c r="N14" s="46" t="str"/>
    </x:row>
    <x:row r="15">
      <x:c r="A15" s="49" t="str">
        <x:v>Non</x:v>
      </x:c>
      <x:c r="B15" s="50" t="str">
        <x:v>Entrée</x:v>
      </x:c>
      <x:c r="C15" s="50" t="str">
        <x:v>Salaire 2</x:v>
      </x:c>
      <x:c r="D15" s="50" t="str">
        <x:v>Fixe</x:v>
      </x:c>
      <x:c r="E15" s="50" t="str">
        <x:v>Mensuelle</x:v>
      </x:c>
      <x:c r="F15" s="59"/>
      <x:c r="G15" s="59" t="str">
        <x:v>Équilibré</x:v>
      </x:c>
      <x:c r="H15" s="60"/>
      <x:c r="I15" s="61" t="n">
        <x:f>IF($A15&lt;&gt;"Oui",0,IF($D15="Fixe",IF($F15="",0,$F15),IF($G15="Prudent",IF($F15="",0,$F15)*IF($B15="Entrée",0.9,1.1),IF($G15="Équilibré",IF($F15="",0,$F15),IF($H15="",0,$H15)))))</x:f>
        <x:v>0</x:v>
      </x:c>
      <x:c r="J15" s="66" t="n">
        <x:f>IF($A15&lt;&gt;"Oui",0,IF($E15="Hebdomadaire",52,IF($E15="Toutes les 4 semaines",13,IF($E15="Mensuelle",12,IF($E15="Trimestrielle",4,IF($E15="Semestrielle",2,IF($E15="Annuelle",1,0)))))))</x:f>
        <x:v>0</x:v>
      </x:c>
      <x:c r="K15" s="61" t="n">
        <x:f>I15*J15</x:f>
        <x:v>0</x:v>
      </x:c>
      <x:c r="L15" s="69"/>
      <x:c r="M15" s="50" t="str">
        <x:v>Non</x:v>
      </x:c>
      <x:c r="N15" s="50" t="str"/>
    </x:row>
    <x:row r="16">
      <x:c r="A16" s="49" t="str">
        <x:v>Non</x:v>
      </x:c>
      <x:c r="B16" s="50" t="str">
        <x:v>Entrée</x:v>
      </x:c>
      <x:c r="C16" s="50" t="str">
        <x:v>Allocation / prestation 1</x:v>
      </x:c>
      <x:c r="D16" s="50" t="str">
        <x:v>Fixe</x:v>
      </x:c>
      <x:c r="E16" s="50" t="str">
        <x:v>Mensuelle</x:v>
      </x:c>
      <x:c r="F16" s="59"/>
      <x:c r="G16" s="59" t="str">
        <x:v>Équilibré</x:v>
      </x:c>
      <x:c r="H16" s="60"/>
      <x:c r="I16" s="61" t="n">
        <x:f>IF($A16&lt;&gt;"Oui",0,IF($D16="Fixe",IF($F16="",0,$F16),IF($G16="Prudent",IF($F16="",0,$F16)*IF($B16="Entrée",0.9,1.1),IF($G16="Équilibré",IF($F16="",0,$F16),IF($H16="",0,$H16)))))</x:f>
        <x:v>0</x:v>
      </x:c>
      <x:c r="J16" s="66" t="n">
        <x:f>IF($A16&lt;&gt;"Oui",0,IF($E16="Hebdomadaire",52,IF($E16="Toutes les 4 semaines",13,IF($E16="Mensuelle",12,IF($E16="Trimestrielle",4,IF($E16="Semestrielle",2,IF($E16="Annuelle",1,0)))))))</x:f>
        <x:v>0</x:v>
      </x:c>
      <x:c r="K16" s="61" t="n">
        <x:f>I16*J16</x:f>
        <x:v>0</x:v>
      </x:c>
      <x:c r="L16" s="69"/>
      <x:c r="M16" s="50" t="str">
        <x:v>Non</x:v>
      </x:c>
      <x:c r="N16" s="50" t="str"/>
    </x:row>
    <x:row r="17">
      <x:c r="A17" s="49" t="str">
        <x:v>Non</x:v>
      </x:c>
      <x:c r="B17" s="50" t="str">
        <x:v>Entrée</x:v>
      </x:c>
      <x:c r="C17" s="50" t="str">
        <x:v>Allocation / prestation 2</x:v>
      </x:c>
      <x:c r="D17" s="50" t="str">
        <x:v>Variable</x:v>
      </x:c>
      <x:c r="E17" s="50" t="str">
        <x:v>Mensuelle</x:v>
      </x:c>
      <x:c r="F17" s="59"/>
      <x:c r="G17" s="59" t="str">
        <x:v>Prudent</x:v>
      </x:c>
      <x:c r="H17" s="60"/>
      <x:c r="I17" s="61" t="n">
        <x:f>IF($A17&lt;&gt;"Oui",0,IF($D17="Fixe",IF($F17="",0,$F17),IF($G17="Prudent",IF($F17="",0,$F17)*IF($B17="Entrée",0.9,1.1),IF($G17="Équilibré",IF($F17="",0,$F17),IF($H17="",0,$H17)))))</x:f>
        <x:v>0</x:v>
      </x:c>
      <x:c r="J17" s="66" t="n">
        <x:f>IF($A17&lt;&gt;"Oui",0,IF($E17="Hebdomadaire",52,IF($E17="Toutes les 4 semaines",13,IF($E17="Mensuelle",12,IF($E17="Trimestrielle",4,IF($E17="Semestrielle",2,IF($E17="Annuelle",1,0)))))))</x:f>
        <x:v>0</x:v>
      </x:c>
      <x:c r="K17" s="61" t="n">
        <x:f>I17*J17</x:f>
        <x:v>0</x:v>
      </x:c>
      <x:c r="L17" s="69"/>
      <x:c r="M17" s="50" t="str">
        <x:v>Non</x:v>
      </x:c>
      <x:c r="N17" s="50" t="str"/>
    </x:row>
    <x:row r="18">
      <x:c r="A18" s="49" t="str">
        <x:v>Non</x:v>
      </x:c>
      <x:c r="B18" s="50" t="str">
        <x:v>Entrée</x:v>
      </x:c>
      <x:c r="C18" s="50" t="str">
        <x:v>Pension</x:v>
      </x:c>
      <x:c r="D18" s="50" t="str">
        <x:v>Fixe</x:v>
      </x:c>
      <x:c r="E18" s="50" t="str">
        <x:v>Mensuelle</x:v>
      </x:c>
      <x:c r="F18" s="59"/>
      <x:c r="G18" s="59" t="str">
        <x:v>Équilibré</x:v>
      </x:c>
      <x:c r="H18" s="60"/>
      <x:c r="I18" s="61" t="n">
        <x:f>IF($A18&lt;&gt;"Oui",0,IF($D18="Fixe",IF($F18="",0,$F18),IF($G18="Prudent",IF($F18="",0,$F18)*IF($B18="Entrée",0.9,1.1),IF($G18="Équilibré",IF($F18="",0,$F18),IF($H18="",0,$H18)))))</x:f>
        <x:v>0</x:v>
      </x:c>
      <x:c r="J18" s="66" t="n">
        <x:f>IF($A18&lt;&gt;"Oui",0,IF($E18="Hebdomadaire",52,IF($E18="Toutes les 4 semaines",13,IF($E18="Mensuelle",12,IF($E18="Trimestrielle",4,IF($E18="Semestrielle",2,IF($E18="Annuelle",1,0)))))))</x:f>
        <x:v>0</x:v>
      </x:c>
      <x:c r="K18" s="61" t="n">
        <x:f>I18*J18</x:f>
        <x:v>0</x:v>
      </x:c>
      <x:c r="L18" s="69"/>
      <x:c r="M18" s="50" t="str">
        <x:v>Non</x:v>
      </x:c>
      <x:c r="N18" s="50" t="str"/>
    </x:row>
    <x:row r="19">
      <x:c r="A19" s="49" t="str">
        <x:v>Non</x:v>
      </x:c>
      <x:c r="B19" s="50" t="str">
        <x:v>Entrée</x:v>
      </x:c>
      <x:c r="C19" s="50" t="str">
        <x:v>Autre revenu récurrent</x:v>
      </x:c>
      <x:c r="D19" s="50" t="str">
        <x:v>Variable</x:v>
      </x:c>
      <x:c r="E19" s="50" t="str">
        <x:v>Mensuelle</x:v>
      </x:c>
      <x:c r="F19" s="59"/>
      <x:c r="G19" s="59" t="str">
        <x:v>Prudent</x:v>
      </x:c>
      <x:c r="H19" s="60"/>
      <x:c r="I19" s="61" t="n">
        <x:f>IF($A19&lt;&gt;"Oui",0,IF($D19="Fixe",IF($F19="",0,$F19),IF($G19="Prudent",IF($F19="",0,$F19)*IF($B19="Entrée",0.9,1.1),IF($G19="Équilibré",IF($F19="",0,$F19),IF($H19="",0,$H19)))))</x:f>
        <x:v>0</x:v>
      </x:c>
      <x:c r="J19" s="66" t="n">
        <x:f>IF($A19&lt;&gt;"Oui",0,IF($E19="Hebdomadaire",52,IF($E19="Toutes les 4 semaines",13,IF($E19="Mensuelle",12,IF($E19="Trimestrielle",4,IF($E19="Semestrielle",2,IF($E19="Annuelle",1,0)))))))</x:f>
        <x:v>0</x:v>
      </x:c>
      <x:c r="K19" s="61" t="n">
        <x:f>I19*J19</x:f>
        <x:v>0</x:v>
      </x:c>
      <x:c r="L19" s="69"/>
      <x:c r="M19" s="50" t="str">
        <x:v>Non</x:v>
      </x:c>
      <x:c r="N19" s="50" t="str"/>
    </x:row>
    <x:row r="20">
      <x:c r="A20" s="49" t="str">
        <x:v>Non</x:v>
      </x:c>
      <x:c r="B20" s="50" t="str">
        <x:v>Sortie</x:v>
      </x:c>
      <x:c r="C20" s="50" t="str">
        <x:v>Logement</x:v>
      </x:c>
      <x:c r="D20" s="50" t="str">
        <x:v>Fixe</x:v>
      </x:c>
      <x:c r="E20" s="50" t="str">
        <x:v>Mensuelle</x:v>
      </x:c>
      <x:c r="F20" s="59"/>
      <x:c r="G20" s="59" t="str">
        <x:v>Équilibré</x:v>
      </x:c>
      <x:c r="H20" s="60"/>
      <x:c r="I20" s="61" t="n">
        <x:f>IF($A20&lt;&gt;"Oui",0,IF($D20="Fixe",IF($F20="",0,$F20),IF($G20="Prudent",IF($F20="",0,$F20)*IF($B20="Entrée",0.9,1.1),IF($G20="Équilibré",IF($F20="",0,$F20),IF($H20="",0,$H20)))))</x:f>
        <x:v>0</x:v>
      </x:c>
      <x:c r="J20" s="66" t="n">
        <x:f>IF($A20&lt;&gt;"Oui",0,IF($E20="Hebdomadaire",52,IF($E20="Toutes les 4 semaines",13,IF($E20="Mensuelle",12,IF($E20="Trimestrielle",4,IF($E20="Semestrielle",2,IF($E20="Annuelle",1,0)))))))</x:f>
        <x:v>0</x:v>
      </x:c>
      <x:c r="K20" s="61" t="n">
        <x:f>I20*J20</x:f>
        <x:v>0</x:v>
      </x:c>
      <x:c r="L20" s="69"/>
      <x:c r="M20" s="50" t="str">
        <x:v>Non</x:v>
      </x:c>
      <x:c r="N20" s="50" t="str"/>
    </x:row>
    <x:row r="21">
      <x:c r="A21" s="49" t="str">
        <x:v>Non</x:v>
      </x:c>
      <x:c r="B21" s="50" t="str">
        <x:v>Sortie</x:v>
      </x:c>
      <x:c r="C21" s="50" t="str">
        <x:v>Électricité</x:v>
      </x:c>
      <x:c r="D21" s="50" t="str">
        <x:v>Variable</x:v>
      </x:c>
      <x:c r="E21" s="50" t="str">
        <x:v>Mensuelle</x:v>
      </x:c>
      <x:c r="F21" s="59"/>
      <x:c r="G21" s="59" t="str">
        <x:v>Prudent</x:v>
      </x:c>
      <x:c r="H21" s="60"/>
      <x:c r="I21" s="61" t="n">
        <x:f>IF($A21&lt;&gt;"Oui",0,IF($D21="Fixe",IF($F21="",0,$F21),IF($G21="Prudent",IF($F21="",0,$F21)*IF($B21="Entrée",0.9,1.1),IF($G21="Équilibré",IF($F21="",0,$F21),IF($H21="",0,$H21)))))</x:f>
        <x:v>0</x:v>
      </x:c>
      <x:c r="J21" s="66" t="n">
        <x:f>IF($A21&lt;&gt;"Oui",0,IF($E21="Hebdomadaire",52,IF($E21="Toutes les 4 semaines",13,IF($E21="Mensuelle",12,IF($E21="Trimestrielle",4,IF($E21="Semestrielle",2,IF($E21="Annuelle",1,0)))))))</x:f>
        <x:v>0</x:v>
      </x:c>
      <x:c r="K21" s="61" t="n">
        <x:f>I21*J21</x:f>
        <x:v>0</x:v>
      </x:c>
      <x:c r="L21" s="69"/>
      <x:c r="M21" s="50" t="str">
        <x:v>Non</x:v>
      </x:c>
      <x:c r="N21" s="50" t="str"/>
    </x:row>
    <x:row r="22">
      <x:c r="A22" s="49" t="str">
        <x:v>Non</x:v>
      </x:c>
      <x:c r="B22" s="50" t="str">
        <x:v>Sortie</x:v>
      </x:c>
      <x:c r="C22" s="50" t="str">
        <x:v>Gaz / chauffage</x:v>
      </x:c>
      <x:c r="D22" s="50" t="str">
        <x:v>Variable</x:v>
      </x:c>
      <x:c r="E22" s="50" t="str">
        <x:v>Mensuelle</x:v>
      </x:c>
      <x:c r="F22" s="59"/>
      <x:c r="G22" s="59" t="str">
        <x:v>Prudent</x:v>
      </x:c>
      <x:c r="H22" s="60"/>
      <x:c r="I22" s="61" t="n">
        <x:f>IF($A22&lt;&gt;"Oui",0,IF($D22="Fixe",IF($F22="",0,$F22),IF($G22="Prudent",IF($F22="",0,$F22)*IF($B22="Entrée",0.9,1.1),IF($G22="Équilibré",IF($F22="",0,$F22),IF($H22="",0,$H22)))))</x:f>
        <x:v>0</x:v>
      </x:c>
      <x:c r="J22" s="66" t="n">
        <x:f>IF($A22&lt;&gt;"Oui",0,IF($E22="Hebdomadaire",52,IF($E22="Toutes les 4 semaines",13,IF($E22="Mensuelle",12,IF($E22="Trimestrielle",4,IF($E22="Semestrielle",2,IF($E22="Annuelle",1,0)))))))</x:f>
        <x:v>0</x:v>
      </x:c>
      <x:c r="K22" s="61" t="n">
        <x:f>I22*J22</x:f>
        <x:v>0</x:v>
      </x:c>
      <x:c r="L22" s="69"/>
      <x:c r="M22" s="50" t="str">
        <x:v>Non</x:v>
      </x:c>
      <x:c r="N22" s="50" t="str"/>
    </x:row>
    <x:row r="23">
      <x:c r="A23" s="49" t="str">
        <x:v>Non</x:v>
      </x:c>
      <x:c r="B23" s="50" t="str">
        <x:v>Sortie</x:v>
      </x:c>
      <x:c r="C23" s="50" t="str">
        <x:v>Eau</x:v>
      </x:c>
      <x:c r="D23" s="50" t="str">
        <x:v>Variable</x:v>
      </x:c>
      <x:c r="E23" s="50" t="str">
        <x:v>Trimestrielle</x:v>
      </x:c>
      <x:c r="F23" s="59"/>
      <x:c r="G23" s="59" t="str">
        <x:v>Prudent</x:v>
      </x:c>
      <x:c r="H23" s="60"/>
      <x:c r="I23" s="61" t="n">
        <x:f>IF($A23&lt;&gt;"Oui",0,IF($D23="Fixe",IF($F23="",0,$F23),IF($G23="Prudent",IF($F23="",0,$F23)*IF($B23="Entrée",0.9,1.1),IF($G23="Équilibré",IF($F23="",0,$F23),IF($H23="",0,$H23)))))</x:f>
        <x:v>0</x:v>
      </x:c>
      <x:c r="J23" s="66" t="n">
        <x:f>IF($A23&lt;&gt;"Oui",0,IF($E23="Hebdomadaire",52,IF($E23="Toutes les 4 semaines",13,IF($E23="Mensuelle",12,IF($E23="Trimestrielle",4,IF($E23="Semestrielle",2,IF($E23="Annuelle",1,0)))))))</x:f>
        <x:v>0</x:v>
      </x:c>
      <x:c r="K23" s="61" t="n">
        <x:f>I23*J23</x:f>
        <x:v>0</x:v>
      </x:c>
      <x:c r="L23" s="69"/>
      <x:c r="M23" s="50" t="str">
        <x:v>Non</x:v>
      </x:c>
      <x:c r="N23" s="50" t="str"/>
    </x:row>
    <x:row r="24">
      <x:c r="A24" s="49" t="str">
        <x:v>Non</x:v>
      </x:c>
      <x:c r="B24" s="50" t="str">
        <x:v>Sortie</x:v>
      </x:c>
      <x:c r="C24" s="50" t="str">
        <x:v>Assurances</x:v>
      </x:c>
      <x:c r="D24" s="50" t="str">
        <x:v>Fixe</x:v>
      </x:c>
      <x:c r="E24" s="50" t="str">
        <x:v>Mensuelle</x:v>
      </x:c>
      <x:c r="F24" s="59"/>
      <x:c r="G24" s="59" t="str">
        <x:v>Équilibré</x:v>
      </x:c>
      <x:c r="H24" s="60"/>
      <x:c r="I24" s="61" t="n">
        <x:f>IF($A24&lt;&gt;"Oui",0,IF($D24="Fixe",IF($F24="",0,$F24),IF($G24="Prudent",IF($F24="",0,$F24)*IF($B24="Entrée",0.9,1.1),IF($G24="Équilibré",IF($F24="",0,$F24),IF($H24="",0,$H24)))))</x:f>
        <x:v>0</x:v>
      </x:c>
      <x:c r="J24" s="66" t="n">
        <x:f>IF($A24&lt;&gt;"Oui",0,IF($E24="Hebdomadaire",52,IF($E24="Toutes les 4 semaines",13,IF($E24="Mensuelle",12,IF($E24="Trimestrielle",4,IF($E24="Semestrielle",2,IF($E24="Annuelle",1,0)))))))</x:f>
        <x:v>0</x:v>
      </x:c>
      <x:c r="K24" s="61" t="n">
        <x:f>I24*J24</x:f>
        <x:v>0</x:v>
      </x:c>
      <x:c r="L24" s="69"/>
      <x:c r="M24" s="50" t="str">
        <x:v>Non</x:v>
      </x:c>
      <x:c r="N24" s="50" t="str"/>
    </x:row>
    <x:row r="25">
      <x:c r="A25" s="49" t="str">
        <x:v>Non</x:v>
      </x:c>
      <x:c r="B25" s="50" t="str">
        <x:v>Sortie</x:v>
      </x:c>
      <x:c r="C25" s="50" t="str">
        <x:v>Télécommunications</x:v>
      </x:c>
      <x:c r="D25" s="50" t="str">
        <x:v>Fixe</x:v>
      </x:c>
      <x:c r="E25" s="50" t="str">
        <x:v>Mensuelle</x:v>
      </x:c>
      <x:c r="F25" s="59"/>
      <x:c r="G25" s="59" t="str">
        <x:v>Équilibré</x:v>
      </x:c>
      <x:c r="H25" s="60"/>
      <x:c r="I25" s="61" t="n">
        <x:f>IF($A25&lt;&gt;"Oui",0,IF($D25="Fixe",IF($F25="",0,$F25),IF($G25="Prudent",IF($F25="",0,$F25)*IF($B25="Entrée",0.9,1.1),IF($G25="Équilibré",IF($F25="",0,$F25),IF($H25="",0,$H25)))))</x:f>
        <x:v>0</x:v>
      </x:c>
      <x:c r="J25" s="66" t="n">
        <x:f>IF($A25&lt;&gt;"Oui",0,IF($E25="Hebdomadaire",52,IF($E25="Toutes les 4 semaines",13,IF($E25="Mensuelle",12,IF($E25="Trimestrielle",4,IF($E25="Semestrielle",2,IF($E25="Annuelle",1,0)))))))</x:f>
        <x:v>0</x:v>
      </x:c>
      <x:c r="K25" s="61" t="n">
        <x:f>I25*J25</x:f>
        <x:v>0</x:v>
      </x:c>
      <x:c r="L25" s="69"/>
      <x:c r="M25" s="50" t="str">
        <x:v>Non</x:v>
      </x:c>
      <x:c r="N25" s="50" t="str"/>
    </x:row>
    <x:row r="26">
      <x:c r="A26" s="49" t="str">
        <x:v>Non</x:v>
      </x:c>
      <x:c r="B26" s="50" t="str">
        <x:v>Sortie</x:v>
      </x:c>
      <x:c r="C26" s="50" t="str">
        <x:v>Crédit</x:v>
      </x:c>
      <x:c r="D26" s="50" t="str">
        <x:v>Fixe</x:v>
      </x:c>
      <x:c r="E26" s="50" t="str">
        <x:v>Mensuelle</x:v>
      </x:c>
      <x:c r="F26" s="59"/>
      <x:c r="G26" s="59" t="str">
        <x:v>Équilibré</x:v>
      </x:c>
      <x:c r="H26" s="60"/>
      <x:c r="I26" s="61" t="n">
        <x:f>IF($A26&lt;&gt;"Oui",0,IF($D26="Fixe",IF($F26="",0,$F26),IF($G26="Prudent",IF($F26="",0,$F26)*IF($B26="Entrée",0.9,1.1),IF($G26="Équilibré",IF($F26="",0,$F26),IF($H26="",0,$H26)))))</x:f>
        <x:v>0</x:v>
      </x:c>
      <x:c r="J26" s="66" t="n">
        <x:f>IF($A26&lt;&gt;"Oui",0,IF($E26="Hebdomadaire",52,IF($E26="Toutes les 4 semaines",13,IF($E26="Mensuelle",12,IF($E26="Trimestrielle",4,IF($E26="Semestrielle",2,IF($E26="Annuelle",1,0)))))))</x:f>
        <x:v>0</x:v>
      </x:c>
      <x:c r="K26" s="61" t="n">
        <x:f>I26*J26</x:f>
        <x:v>0</x:v>
      </x:c>
      <x:c r="L26" s="69"/>
      <x:c r="M26" s="50" t="str">
        <x:v>Non</x:v>
      </x:c>
      <x:c r="N26" s="50" t="str"/>
    </x:row>
    <x:row r="27">
      <x:c r="A27" s="49" t="str">
        <x:v>Non</x:v>
      </x:c>
      <x:c r="B27" s="50" t="str">
        <x:v>Sortie</x:v>
      </x:c>
      <x:c r="C27" s="50" t="str">
        <x:v>Transport / carburant lissé</x:v>
      </x:c>
      <x:c r="D27" s="50" t="str">
        <x:v>Variable</x:v>
      </x:c>
      <x:c r="E27" s="50" t="str">
        <x:v>Mensuelle</x:v>
      </x:c>
      <x:c r="F27" s="59"/>
      <x:c r="G27" s="59" t="str">
        <x:v>Prudent</x:v>
      </x:c>
      <x:c r="H27" s="60"/>
      <x:c r="I27" s="61" t="n">
        <x:f>IF($A27&lt;&gt;"Oui",0,IF($D27="Fixe",IF($F27="",0,$F27),IF($G27="Prudent",IF($F27="",0,$F27)*IF($B27="Entrée",0.9,1.1),IF($G27="Équilibré",IF($F27="",0,$F27),IF($H27="",0,$H27)))))</x:f>
        <x:v>0</x:v>
      </x:c>
      <x:c r="J27" s="66" t="n">
        <x:f>IF($A27&lt;&gt;"Oui",0,IF($E27="Hebdomadaire",52,IF($E27="Toutes les 4 semaines",13,IF($E27="Mensuelle",12,IF($E27="Trimestrielle",4,IF($E27="Semestrielle",2,IF($E27="Annuelle",1,0)))))))</x:f>
        <x:v>0</x:v>
      </x:c>
      <x:c r="K27" s="61" t="n">
        <x:f>I27*J27</x:f>
        <x:v>0</x:v>
      </x:c>
      <x:c r="L27" s="69"/>
      <x:c r="M27" s="50" t="str">
        <x:v>Non</x:v>
      </x:c>
      <x:c r="N27" s="50" t="str">
        <x:v>Ne pas saisir ici si payé avec le budget semaine.</x:v>
      </x:c>
    </x:row>
    <x:row r="28">
      <x:c r="A28" s="49" t="str">
        <x:v>Non</x:v>
      </x:c>
      <x:c r="B28" s="50" t="str">
        <x:v>Sortie</x:v>
      </x:c>
      <x:c r="C28" s="50" t="str">
        <x:v>Garde d’enfants / scolarité</x:v>
      </x:c>
      <x:c r="D28" s="50" t="str">
        <x:v>Variable</x:v>
      </x:c>
      <x:c r="E28" s="50" t="str">
        <x:v>Mensuelle</x:v>
      </x:c>
      <x:c r="F28" s="59"/>
      <x:c r="G28" s="59" t="str">
        <x:v>Prudent</x:v>
      </x:c>
      <x:c r="H28" s="60"/>
      <x:c r="I28" s="61" t="n">
        <x:f>IF($A28&lt;&gt;"Oui",0,IF($D28="Fixe",IF($F28="",0,$F28),IF($G28="Prudent",IF($F28="",0,$F28)*IF($B28="Entrée",0.9,1.1),IF($G28="Équilibré",IF($F28="",0,$F28),IF($H28="",0,$H28)))))</x:f>
        <x:v>0</x:v>
      </x:c>
      <x:c r="J28" s="66" t="n">
        <x:f>IF($A28&lt;&gt;"Oui",0,IF($E28="Hebdomadaire",52,IF($E28="Toutes les 4 semaines",13,IF($E28="Mensuelle",12,IF($E28="Trimestrielle",4,IF($E28="Semestrielle",2,IF($E28="Annuelle",1,0)))))))</x:f>
        <x:v>0</x:v>
      </x:c>
      <x:c r="K28" s="61" t="n">
        <x:f>I28*J28</x:f>
        <x:v>0</x:v>
      </x:c>
      <x:c r="L28" s="69"/>
      <x:c r="M28" s="50" t="str">
        <x:v>Non</x:v>
      </x:c>
      <x:c r="N28" s="50" t="str"/>
    </x:row>
    <x:row r="29">
      <x:c r="A29" s="49" t="str">
        <x:v>Non</x:v>
      </x:c>
      <x:c r="B29" s="50" t="str">
        <x:v>Sortie</x:v>
      </x:c>
      <x:c r="C29" s="50" t="str">
        <x:v>Impôts et taxes</x:v>
      </x:c>
      <x:c r="D29" s="50" t="str">
        <x:v>Fixe</x:v>
      </x:c>
      <x:c r="E29" s="50" t="str">
        <x:v>Annuelle</x:v>
      </x:c>
      <x:c r="F29" s="59"/>
      <x:c r="G29" s="59" t="str">
        <x:v>Équilibré</x:v>
      </x:c>
      <x:c r="H29" s="60"/>
      <x:c r="I29" s="61" t="n">
        <x:f>IF($A29&lt;&gt;"Oui",0,IF($D29="Fixe",IF($F29="",0,$F29),IF($G29="Prudent",IF($F29="",0,$F29)*IF($B29="Entrée",0.9,1.1),IF($G29="Équilibré",IF($F29="",0,$F29),IF($H29="",0,$H29)))))</x:f>
        <x:v>0</x:v>
      </x:c>
      <x:c r="J29" s="66" t="n">
        <x:f>IF($A29&lt;&gt;"Oui",0,IF($E29="Hebdomadaire",52,IF($E29="Toutes les 4 semaines",13,IF($E29="Mensuelle",12,IF($E29="Trimestrielle",4,IF($E29="Semestrielle",2,IF($E29="Annuelle",1,0)))))))</x:f>
        <x:v>0</x:v>
      </x:c>
      <x:c r="K29" s="61" t="n">
        <x:f>I29*J29</x:f>
        <x:v>0</x:v>
      </x:c>
      <x:c r="L29" s="69"/>
      <x:c r="M29" s="50" t="str">
        <x:v>Non</x:v>
      </x:c>
      <x:c r="N29" s="50" t="str">
        <x:v>Créer plusieurs lignes si plusieurs échéances.</x:v>
      </x:c>
    </x:row>
    <x:row r="30">
      <x:c r="A30" s="49" t="str">
        <x:v>Non</x:v>
      </x:c>
      <x:c r="B30" s="50" t="str">
        <x:v>Sortie</x:v>
      </x:c>
      <x:c r="C30" s="50" t="str">
        <x:v>Ramonage / entretien annuel</x:v>
      </x:c>
      <x:c r="D30" s="50" t="str">
        <x:v>Variable</x:v>
      </x:c>
      <x:c r="E30" s="50" t="str">
        <x:v>Annuelle</x:v>
      </x:c>
      <x:c r="F30" s="59"/>
      <x:c r="G30" s="59" t="str">
        <x:v>Prudent</x:v>
      </x:c>
      <x:c r="H30" s="60"/>
      <x:c r="I30" s="61" t="n">
        <x:f>IF($A30&lt;&gt;"Oui",0,IF($D30="Fixe",IF($F30="",0,$F30),IF($G30="Prudent",IF($F30="",0,$F30)*IF($B30="Entrée",0.9,1.1),IF($G30="Équilibré",IF($F30="",0,$F30),IF($H30="",0,$H30)))))</x:f>
        <x:v>0</x:v>
      </x:c>
      <x:c r="J30" s="66" t="n">
        <x:f>IF($A30&lt;&gt;"Oui",0,IF($E30="Hebdomadaire",52,IF($E30="Toutes les 4 semaines",13,IF($E30="Mensuelle",12,IF($E30="Trimestrielle",4,IF($E30="Semestrielle",2,IF($E30="Annuelle",1,0)))))))</x:f>
        <x:v>0</x:v>
      </x:c>
      <x:c r="K30" s="61" t="n">
        <x:f>I30*J30</x:f>
        <x:v>0</x:v>
      </x:c>
      <x:c r="L30" s="69"/>
      <x:c r="M30" s="50" t="str">
        <x:v>Non</x:v>
      </x:c>
      <x:c r="N30" s="50" t="str"/>
    </x:row>
    <x:row r="31">
      <x:c r="A31" s="49" t="str">
        <x:v>Non</x:v>
      </x:c>
      <x:c r="B31" s="50" t="str">
        <x:v>Sortie</x:v>
      </x:c>
      <x:c r="C31" s="50" t="str">
        <x:v>Santé lissée</x:v>
      </x:c>
      <x:c r="D31" s="50" t="str">
        <x:v>Variable</x:v>
      </x:c>
      <x:c r="E31" s="50" t="str">
        <x:v>Mensuelle</x:v>
      </x:c>
      <x:c r="F31" s="59"/>
      <x:c r="G31" s="59" t="str">
        <x:v>Prudent</x:v>
      </x:c>
      <x:c r="H31" s="60"/>
      <x:c r="I31" s="61" t="n">
        <x:f>IF($A31&lt;&gt;"Oui",0,IF($D31="Fixe",IF($F31="",0,$F31),IF($G31="Prudent",IF($F31="",0,$F31)*IF($B31="Entrée",0.9,1.1),IF($G31="Équilibré",IF($F31="",0,$F31),IF($H31="",0,$H31)))))</x:f>
        <x:v>0</x:v>
      </x:c>
      <x:c r="J31" s="66" t="n">
        <x:f>IF($A31&lt;&gt;"Oui",0,IF($E31="Hebdomadaire",52,IF($E31="Toutes les 4 semaines",13,IF($E31="Mensuelle",12,IF($E31="Trimestrielle",4,IF($E31="Semestrielle",2,IF($E31="Annuelle",1,0)))))))</x:f>
        <x:v>0</x:v>
      </x:c>
      <x:c r="K31" s="61" t="n">
        <x:f>I31*J31</x:f>
        <x:v>0</x:v>
      </x:c>
      <x:c r="L31" s="69"/>
      <x:c r="M31" s="50" t="str">
        <x:v>Non</x:v>
      </x:c>
      <x:c r="N31" s="50" t="str">
        <x:v>Uniquement si vous choisissez de lisser la santé.</x:v>
      </x:c>
    </x:row>
    <x:row r="32">
      <x:c r="A32" s="49" t="str">
        <x:v>Non</x:v>
      </x:c>
      <x:c r="B32" s="50" t="str">
        <x:v>Sortie</x:v>
      </x:c>
      <x:c r="C32" s="50" t="str">
        <x:v>Courses principales</x:v>
      </x:c>
      <x:c r="D32" s="50" t="str">
        <x:v>Variable</x:v>
      </x:c>
      <x:c r="E32" s="50" t="str">
        <x:v>Hebdomadaire</x:v>
      </x:c>
      <x:c r="F32" s="59"/>
      <x:c r="G32" s="59" t="str">
        <x:v>Équilibré</x:v>
      </x:c>
      <x:c r="H32" s="60"/>
      <x:c r="I32" s="61" t="n">
        <x:f>IF($A32&lt;&gt;"Oui",0,IF($D32="Fixe",IF($F32="",0,$F32),IF($G32="Prudent",IF($F32="",0,$F32)*IF($B32="Entrée",0.9,1.1),IF($G32="Équilibré",IF($F32="",0,$F32),IF($H32="",0,$H32)))))</x:f>
        <x:v>0</x:v>
      </x:c>
      <x:c r="J32" s="66" t="n">
        <x:f>IF($A32&lt;&gt;"Oui",0,IF($E32="Hebdomadaire",52,IF($E32="Toutes les 4 semaines",13,IF($E32="Mensuelle",12,IF($E32="Trimestrielle",4,IF($E32="Semestrielle",2,IF($E32="Annuelle",1,0)))))))</x:f>
        <x:v>0</x:v>
      </x:c>
      <x:c r="K32" s="61" t="n">
        <x:f>I32*J32</x:f>
        <x:v>0</x:v>
      </x:c>
      <x:c r="L32" s="69"/>
      <x:c r="M32" s="50" t="str">
        <x:v>Oui</x:v>
      </x:c>
      <x:c r="N32" s="50" t="str">
        <x:v>Conseillé : laisser dans le budget semaine.</x:v>
      </x:c>
    </x:row>
    <x:row r="33">
      <x:c r="A33" s="49" t="str">
        <x:v>Non</x:v>
      </x:c>
      <x:c r="B33" s="50" t="str">
        <x:v>Sortie</x:v>
      </x:c>
      <x:c r="C33" s="50" t="str">
        <x:v>Hygiène / quotidien</x:v>
      </x:c>
      <x:c r="D33" s="50" t="str">
        <x:v>Variable</x:v>
      </x:c>
      <x:c r="E33" s="50" t="str">
        <x:v>Mensuelle</x:v>
      </x:c>
      <x:c r="F33" s="59"/>
      <x:c r="G33" s="59" t="str">
        <x:v>Équilibré</x:v>
      </x:c>
      <x:c r="H33" s="60"/>
      <x:c r="I33" s="61" t="n">
        <x:f>IF($A33&lt;&gt;"Oui",0,IF($D33="Fixe",IF($F33="",0,$F33),IF($G33="Prudent",IF($F33="",0,$F33)*IF($B33="Entrée",0.9,1.1),IF($G33="Équilibré",IF($F33="",0,$F33),IF($H33="",0,$H33)))))</x:f>
        <x:v>0</x:v>
      </x:c>
      <x:c r="J33" s="66" t="n">
        <x:f>IF($A33&lt;&gt;"Oui",0,IF($E33="Hebdomadaire",52,IF($E33="Toutes les 4 semaines",13,IF($E33="Mensuelle",12,IF($E33="Trimestrielle",4,IF($E33="Semestrielle",2,IF($E33="Annuelle",1,0)))))))</x:f>
        <x:v>0</x:v>
      </x:c>
      <x:c r="K33" s="61" t="n">
        <x:f>I33*J33</x:f>
        <x:v>0</x:v>
      </x:c>
      <x:c r="L33" s="69"/>
      <x:c r="M33" s="50" t="str">
        <x:v>Oui</x:v>
      </x:c>
      <x:c r="N33" s="50" t="str">
        <x:v>Mettre Non seulement si cette dépense est lissée à part.</x:v>
      </x:c>
    </x:row>
    <x:row r="34">
      <x:c r="A34" s="49" t="str">
        <x:v>Non</x:v>
      </x:c>
      <x:c r="B34" s="50" t="str">
        <x:v>Sortie</x:v>
      </x:c>
      <x:c r="C34" s="50" t="str">
        <x:v>Autre charge 1</x:v>
      </x:c>
      <x:c r="D34" s="50" t="str">
        <x:v>Fixe</x:v>
      </x:c>
      <x:c r="E34" s="50" t="str">
        <x:v>Mensuelle</x:v>
      </x:c>
      <x:c r="F34" s="59"/>
      <x:c r="G34" s="59" t="str">
        <x:v>Équilibré</x:v>
      </x:c>
      <x:c r="H34" s="60"/>
      <x:c r="I34" s="61" t="n">
        <x:f>IF($A34&lt;&gt;"Oui",0,IF($D34="Fixe",IF($F34="",0,$F34),IF($G34="Prudent",IF($F34="",0,$F34)*IF($B34="Entrée",0.9,1.1),IF($G34="Équilibré",IF($F34="",0,$F34),IF($H34="",0,$H34)))))</x:f>
        <x:v>0</x:v>
      </x:c>
      <x:c r="J34" s="66" t="n">
        <x:f>IF($A34&lt;&gt;"Oui",0,IF($E34="Hebdomadaire",52,IF($E34="Toutes les 4 semaines",13,IF($E34="Mensuelle",12,IF($E34="Trimestrielle",4,IF($E34="Semestrielle",2,IF($E34="Annuelle",1,0)))))))</x:f>
        <x:v>0</x:v>
      </x:c>
      <x:c r="K34" s="61" t="n">
        <x:f>I34*J34</x:f>
        <x:v>0</x:v>
      </x:c>
      <x:c r="L34" s="69"/>
      <x:c r="M34" s="50" t="str">
        <x:v>Non</x:v>
      </x:c>
      <x:c r="N34" s="50" t="str"/>
    </x:row>
    <x:row r="35">
      <x:c r="A35" s="49" t="str">
        <x:v>Non</x:v>
      </x:c>
      <x:c r="B35" s="50" t="str">
        <x:v>Sortie</x:v>
      </x:c>
      <x:c r="C35" s="50" t="str">
        <x:v>Autre charge 2</x:v>
      </x:c>
      <x:c r="D35" s="50" t="str">
        <x:v>Variable</x:v>
      </x:c>
      <x:c r="E35" s="50" t="str">
        <x:v>Mensuelle</x:v>
      </x:c>
      <x:c r="F35" s="59"/>
      <x:c r="G35" s="59" t="str">
        <x:v>Prudent</x:v>
      </x:c>
      <x:c r="H35" s="60"/>
      <x:c r="I35" s="61" t="n">
        <x:f>IF($A35&lt;&gt;"Oui",0,IF($D35="Fixe",IF($F35="",0,$F35),IF($G35="Prudent",IF($F35="",0,$F35)*IF($B35="Entrée",0.9,1.1),IF($G35="Équilibré",IF($F35="",0,$F35),IF($H35="",0,$H35)))))</x:f>
        <x:v>0</x:v>
      </x:c>
      <x:c r="J35" s="66" t="n">
        <x:f>IF($A35&lt;&gt;"Oui",0,IF($E35="Hebdomadaire",52,IF($E35="Toutes les 4 semaines",13,IF($E35="Mensuelle",12,IF($E35="Trimestrielle",4,IF($E35="Semestrielle",2,IF($E35="Annuelle",1,0)))))))</x:f>
        <x:v>0</x:v>
      </x:c>
      <x:c r="K35" s="61" t="n">
        <x:f>I35*J35</x:f>
        <x:v>0</x:v>
      </x:c>
      <x:c r="L35" s="69"/>
      <x:c r="M35" s="50" t="str">
        <x:v>Non</x:v>
      </x:c>
      <x:c r="N35" s="50" t="str"/>
    </x:row>
    <x:row r="36">
      <x:c r="A36" s="49" t="str">
        <x:v>Non</x:v>
      </x:c>
      <x:c r="B36" s="50" t="str">
        <x:v>Sortie</x:v>
      </x:c>
      <x:c r="C36" s="50" t="str">
        <x:v>Autre charge 3</x:v>
      </x:c>
      <x:c r="D36" s="50" t="str">
        <x:v>Fixe</x:v>
      </x:c>
      <x:c r="E36" s="50" t="str">
        <x:v>Annuelle</x:v>
      </x:c>
      <x:c r="F36" s="59"/>
      <x:c r="G36" s="59" t="str">
        <x:v>Équilibré</x:v>
      </x:c>
      <x:c r="H36" s="60"/>
      <x:c r="I36" s="61" t="n">
        <x:f>IF($A36&lt;&gt;"Oui",0,IF($D36="Fixe",IF($F36="",0,$F36),IF($G36="Prudent",IF($F36="",0,$F36)*IF($B36="Entrée",0.9,1.1),IF($G36="Équilibré",IF($F36="",0,$F36),IF($H36="",0,$H36)))))</x:f>
        <x:v>0</x:v>
      </x:c>
      <x:c r="J36" s="66" t="n">
        <x:f>IF($A36&lt;&gt;"Oui",0,IF($E36="Hebdomadaire",52,IF($E36="Toutes les 4 semaines",13,IF($E36="Mensuelle",12,IF($E36="Trimestrielle",4,IF($E36="Semestrielle",2,IF($E36="Annuelle",1,0)))))))</x:f>
        <x:v>0</x:v>
      </x:c>
      <x:c r="K36" s="61" t="n">
        <x:f>I36*J36</x:f>
        <x:v>0</x:v>
      </x:c>
      <x:c r="L36" s="69"/>
      <x:c r="M36" s="50" t="str">
        <x:v>Non</x:v>
      </x:c>
      <x:c r="N36" s="50" t="str"/>
    </x:row>
    <x:row r="37">
      <x:c r="A37" s="49" t="str">
        <x:v>Non</x:v>
      </x:c>
      <x:c r="B37" s="50" t="str">
        <x:v>Entrée</x:v>
      </x:c>
      <x:c r="C37" s="50" t="str">
        <x:v>Autre entrée 1</x:v>
      </x:c>
      <x:c r="D37" s="50" t="str">
        <x:v>Variable</x:v>
      </x:c>
      <x:c r="E37" s="50" t="str">
        <x:v>Annuelle</x:v>
      </x:c>
      <x:c r="F37" s="59"/>
      <x:c r="G37" s="59" t="str">
        <x:v>Prudent</x:v>
      </x:c>
      <x:c r="H37" s="60"/>
      <x:c r="I37" s="61" t="n">
        <x:f>IF($A37&lt;&gt;"Oui",0,IF($D37="Fixe",IF($F37="",0,$F37),IF($G37="Prudent",IF($F37="",0,$F37)*IF($B37="Entrée",0.9,1.1),IF($G37="Équilibré",IF($F37="",0,$F37),IF($H37="",0,$H37)))))</x:f>
        <x:v>0</x:v>
      </x:c>
      <x:c r="J37" s="66" t="n">
        <x:f>IF($A37&lt;&gt;"Oui",0,IF($E37="Hebdomadaire",52,IF($E37="Toutes les 4 semaines",13,IF($E37="Mensuelle",12,IF($E37="Trimestrielle",4,IF($E37="Semestrielle",2,IF($E37="Annuelle",1,0)))))))</x:f>
        <x:v>0</x:v>
      </x:c>
      <x:c r="K37" s="61" t="n">
        <x:f>I37*J37</x:f>
        <x:v>0</x:v>
      </x:c>
      <x:c r="L37" s="69"/>
      <x:c r="M37" s="50" t="str">
        <x:v>Non</x:v>
      </x:c>
      <x:c r="N37" s="50" t="str"/>
    </x:row>
    <x:row r="38">
      <x:c r="A38" s="49" t="str">
        <x:v>Non</x:v>
      </x:c>
      <x:c r="B38" s="50" t="str">
        <x:v>Entrée</x:v>
      </x:c>
      <x:c r="C38" s="50" t="str">
        <x:v>Autre entrée 2</x:v>
      </x:c>
      <x:c r="D38" s="50" t="str">
        <x:v>Fixe</x:v>
      </x:c>
      <x:c r="E38" s="50" t="str">
        <x:v>Trimestrielle</x:v>
      </x:c>
      <x:c r="F38" s="59"/>
      <x:c r="G38" s="59" t="str">
        <x:v>Équilibré</x:v>
      </x:c>
      <x:c r="H38" s="60"/>
      <x:c r="I38" s="61" t="n">
        <x:f>IF($A38&lt;&gt;"Oui",0,IF($D38="Fixe",IF($F38="",0,$F38),IF($G38="Prudent",IF($F38="",0,$F38)*IF($B38="Entrée",0.9,1.1),IF($G38="Équilibré",IF($F38="",0,$F38),IF($H38="",0,$H38)))))</x:f>
        <x:v>0</x:v>
      </x:c>
      <x:c r="J38" s="66" t="n">
        <x:f>IF($A38&lt;&gt;"Oui",0,IF($E38="Hebdomadaire",52,IF($E38="Toutes les 4 semaines",13,IF($E38="Mensuelle",12,IF($E38="Trimestrielle",4,IF($E38="Semestrielle",2,IF($E38="Annuelle",1,0)))))))</x:f>
        <x:v>0</x:v>
      </x:c>
      <x:c r="K38" s="61" t="n">
        <x:f>I38*J38</x:f>
        <x:v>0</x:v>
      </x:c>
      <x:c r="L38" s="69"/>
      <x:c r="M38" s="50" t="str">
        <x:v>Non</x:v>
      </x:c>
      <x:c r="N38" s="50" t="str"/>
    </x:row>
    <x:row r="39">
      <x:c r="A39" s="49" t="str">
        <x:v>Non</x:v>
      </x:c>
      <x:c r="B39" s="50" t="str">
        <x:v>Sortie</x:v>
      </x:c>
      <x:c r="C39" s="50" t="str">
        <x:v>Dépense irrégulière connue 1</x:v>
      </x:c>
      <x:c r="D39" s="50" t="str">
        <x:v>Variable</x:v>
      </x:c>
      <x:c r="E39" s="50" t="str">
        <x:v>Annuelle</x:v>
      </x:c>
      <x:c r="F39" s="59"/>
      <x:c r="G39" s="59" t="str">
        <x:v>Prudent</x:v>
      </x:c>
      <x:c r="H39" s="60"/>
      <x:c r="I39" s="61" t="n">
        <x:f>IF($A39&lt;&gt;"Oui",0,IF($D39="Fixe",IF($F39="",0,$F39),IF($G39="Prudent",IF($F39="",0,$F39)*IF($B39="Entrée",0.9,1.1),IF($G39="Équilibré",IF($F39="",0,$F39),IF($H39="",0,$H39)))))</x:f>
        <x:v>0</x:v>
      </x:c>
      <x:c r="J39" s="66" t="n">
        <x:f>IF($A39&lt;&gt;"Oui",0,IF($E39="Hebdomadaire",52,IF($E39="Toutes les 4 semaines",13,IF($E39="Mensuelle",12,IF($E39="Trimestrielle",4,IF($E39="Semestrielle",2,IF($E39="Annuelle",1,0)))))))</x:f>
        <x:v>0</x:v>
      </x:c>
      <x:c r="K39" s="61" t="n">
        <x:f>I39*J39</x:f>
        <x:v>0</x:v>
      </x:c>
      <x:c r="L39" s="69"/>
      <x:c r="M39" s="50" t="str">
        <x:v>Non</x:v>
      </x:c>
      <x:c r="N39" s="50" t="str"/>
    </x:row>
    <x:row r="40">
      <x:c r="A40" s="49" t="str">
        <x:v>Non</x:v>
      </x:c>
      <x:c r="B40" s="50" t="str">
        <x:v>Sortie</x:v>
      </x:c>
      <x:c r="C40" s="50" t="str">
        <x:v>Dépense irrégulière connue 2</x:v>
      </x:c>
      <x:c r="D40" s="50" t="str">
        <x:v>Variable</x:v>
      </x:c>
      <x:c r="E40" s="50" t="str">
        <x:v>Semestrielle</x:v>
      </x:c>
      <x:c r="F40" s="59"/>
      <x:c r="G40" s="59" t="str">
        <x:v>Prudent</x:v>
      </x:c>
      <x:c r="H40" s="60"/>
      <x:c r="I40" s="61" t="n">
        <x:f>IF($A40&lt;&gt;"Oui",0,IF($D40="Fixe",IF($F40="",0,$F40),IF($G40="Prudent",IF($F40="",0,$F40)*IF($B40="Entrée",0.9,1.1),IF($G40="Équilibré",IF($F40="",0,$F40),IF($H40="",0,$H40)))))</x:f>
        <x:v>0</x:v>
      </x:c>
      <x:c r="J40" s="66" t="n">
        <x:f>IF($A40&lt;&gt;"Oui",0,IF($E40="Hebdomadaire",52,IF($E40="Toutes les 4 semaines",13,IF($E40="Mensuelle",12,IF($E40="Trimestrielle",4,IF($E40="Semestrielle",2,IF($E40="Annuelle",1,0)))))))</x:f>
        <x:v>0</x:v>
      </x:c>
      <x:c r="K40" s="61" t="n">
        <x:f>I40*J40</x:f>
        <x:v>0</x:v>
      </x:c>
      <x:c r="L40" s="69"/>
      <x:c r="M40" s="50" t="str">
        <x:v>Non</x:v>
      </x:c>
      <x:c r="N40" s="50" t="str"/>
    </x:row>
    <x:row r="41">
      <x:c r="A41" s="49" t="str">
        <x:v>Non</x:v>
      </x:c>
      <x:c r="B41" s="50" t="str">
        <x:v>Sortie</x:v>
      </x:c>
      <x:c r="C41" s="50" t="str">
        <x:v>Charge toutes les 4 semaines</x:v>
      </x:c>
      <x:c r="D41" s="50" t="str">
        <x:v>Fixe</x:v>
      </x:c>
      <x:c r="E41" s="50" t="str">
        <x:v>Toutes les 4 semaines</x:v>
      </x:c>
      <x:c r="F41" s="59"/>
      <x:c r="G41" s="59" t="str">
        <x:v>Équilibré</x:v>
      </x:c>
      <x:c r="H41" s="60"/>
      <x:c r="I41" s="61" t="n">
        <x:f>IF($A41&lt;&gt;"Oui",0,IF($D41="Fixe",IF($F41="",0,$F41),IF($G41="Prudent",IF($F41="",0,$F41)*IF($B41="Entrée",0.9,1.1),IF($G41="Équilibré",IF($F41="",0,$F41),IF($H41="",0,$H41)))))</x:f>
        <x:v>0</x:v>
      </x:c>
      <x:c r="J41" s="66" t="n">
        <x:f>IF($A41&lt;&gt;"Oui",0,IF($E41="Hebdomadaire",52,IF($E41="Toutes les 4 semaines",13,IF($E41="Mensuelle",12,IF($E41="Trimestrielle",4,IF($E41="Semestrielle",2,IF($E41="Annuelle",1,0)))))))</x:f>
        <x:v>0</x:v>
      </x:c>
      <x:c r="K41" s="61" t="n">
        <x:f>I41*J41</x:f>
        <x:v>0</x:v>
      </x:c>
      <x:c r="L41" s="69"/>
      <x:c r="M41" s="50" t="str">
        <x:v>Non</x:v>
      </x:c>
      <x:c r="N41" s="50" t="str"/>
    </x:row>
    <x:row r="42">
      <x:c r="A42" s="49" t="str">
        <x:v>Non</x:v>
      </x:c>
      <x:c r="B42" s="50" t="str">
        <x:v>Sortie</x:v>
      </x:c>
      <x:c r="C42" s="50" t="str">
        <x:v>Autre charge personnalisée</x:v>
      </x:c>
      <x:c r="D42" s="50" t="str">
        <x:v>Variable</x:v>
      </x:c>
      <x:c r="E42" s="50" t="str">
        <x:v>Mensuelle</x:v>
      </x:c>
      <x:c r="F42" s="59"/>
      <x:c r="G42" s="59" t="str">
        <x:v>Personnalisé</x:v>
      </x:c>
      <x:c r="H42" s="60"/>
      <x:c r="I42" s="61" t="n">
        <x:f>IF($A42&lt;&gt;"Oui",0,IF($D42="Fixe",IF($F42="",0,$F42),IF($G42="Prudent",IF($F42="",0,$F42)*IF($B42="Entrée",0.9,1.1),IF($G42="Équilibré",IF($F42="",0,$F42),IF($H42="",0,$H42)))))</x:f>
        <x:v>0</x:v>
      </x:c>
      <x:c r="J42" s="66" t="n">
        <x:f>IF($A42&lt;&gt;"Oui",0,IF($E42="Hebdomadaire",52,IF($E42="Toutes les 4 semaines",13,IF($E42="Mensuelle",12,IF($E42="Trimestrielle",4,IF($E42="Semestrielle",2,IF($E42="Annuelle",1,0)))))))</x:f>
        <x:v>0</x:v>
      </x:c>
      <x:c r="K42" s="61" t="n">
        <x:f>I42*J42</x:f>
        <x:v>0</x:v>
      </x:c>
      <x:c r="L42" s="69"/>
      <x:c r="M42" s="50" t="str">
        <x:v>Non</x:v>
      </x:c>
      <x:c r="N42" s="50" t="str"/>
    </x:row>
    <x:row r="43">
      <x:c r="A43" s="52" t="str">
        <x:v>Non</x:v>
      </x:c>
      <x:c r="B43" s="53" t="str">
        <x:v>Entrée</x:v>
      </x:c>
      <x:c r="C43" s="53" t="str">
        <x:v>Autre entrée personnalisée</x:v>
      </x:c>
      <x:c r="D43" s="53" t="str">
        <x:v>Variable</x:v>
      </x:c>
      <x:c r="E43" s="53" t="str">
        <x:v>Mensuelle</x:v>
      </x:c>
      <x:c r="F43" s="62"/>
      <x:c r="G43" s="62" t="str">
        <x:v>Personnalisé</x:v>
      </x:c>
      <x:c r="H43" s="63"/>
      <x:c r="I43" s="64" t="n">
        <x:f>IF($A43&lt;&gt;"Oui",0,IF($D43="Fixe",IF($F43="",0,$F43),IF($G43="Prudent",IF($F43="",0,$F43)*IF($B43="Entrée",0.9,1.1),IF($G43="Équilibré",IF($F43="",0,$F43),IF($H43="",0,$H43)))))</x:f>
        <x:v>0</x:v>
      </x:c>
      <x:c r="J43" s="67" t="n">
        <x:f>IF($A43&lt;&gt;"Oui",0,IF($E43="Hebdomadaire",52,IF($E43="Toutes les 4 semaines",13,IF($E43="Mensuelle",12,IF($E43="Trimestrielle",4,IF($E43="Semestrielle",2,IF($E43="Annuelle",1,0)))))))</x:f>
        <x:v>0</x:v>
      </x:c>
      <x:c r="K43" s="64" t="n">
        <x:f>I43*J43</x:f>
        <x:v>0</x:v>
      </x:c>
      <x:c r="L43" s="70"/>
      <x:c r="M43" s="53" t="str">
        <x:v>Non</x:v>
      </x:c>
      <x:c r="N43" s="53" t="str"/>
    </x:row>
    <x:row r="45">
      <x:c r="A45" s="24" t="str">
        <x:v>Règle variable : revenu prudent = 90 % de la moyenne ; charge prudente = 110 %. Pour un rythme inhabituel, calculez le total annuel et utilisez une ligne Annuelle.</x:v>
      </x:c>
      <x:c r="B45" s="24"/>
      <x:c r="C45" s="24"/>
      <x:c r="D45" s="24"/>
      <x:c r="E45" s="24"/>
      <x:c r="F45" s="24"/>
      <x:c r="G45" s="24"/>
      <x:c r="H45" s="24"/>
      <x:c r="I45" s="24"/>
      <x:c r="J45" s="24"/>
      <x:c r="K45" s="24"/>
      <x:c r="L45" s="24"/>
      <x:c r="M45" s="24"/>
      <x:c r="N45" s="24"/>
    </x:row>
    <x:row r="47">
      <x:c r="A47" s="72" t="str">
        <x:v>Sources de méthode : https://github.com/ZA512/reboot/blob/main/docs/reboot-method.md — https://github.com/ZA512/reboot/blob/main/docs/PRD_REBOOT_Complement_Phase_Demarrage_v1.1.md</x:v>
      </x:c>
      <x:c r="B47" s="72"/>
      <x:c r="C47" s="72"/>
      <x:c r="D47" s="72"/>
      <x:c r="E47" s="72"/>
      <x:c r="F47" s="72"/>
      <x:c r="G47" s="72"/>
      <x:c r="H47" s="72"/>
      <x:c r="I47" s="72"/>
      <x:c r="J47" s="72"/>
      <x:c r="K47" s="72"/>
      <x:c r="L47" s="72"/>
      <x:c r="M47" s="72"/>
      <x:c r="N47" s="72"/>
    </x:row>
  </x:sheetData>
  <x:mergeCells>
    <x:mergeCell ref="A1:N1"/>
    <x:mergeCell ref="A2:N2"/>
    <x:mergeCell ref="A4:N4"/>
    <x:mergeCell ref="B7:F7"/>
    <x:mergeCell ref="G7:N7"/>
    <x:mergeCell ref="A9:N9"/>
    <x:mergeCell ref="M10:N11"/>
    <x:mergeCell ref="A45:N45"/>
    <x:mergeCell ref="A47:N47"/>
  </x:mergeCells>
  <x:conditionalFormatting sqref="B7:F7">
    <x:cfRule type="containsText" dxfId="0" priority="1" operator="containsText" text="VIABLE"/>
    <x:cfRule type="containsText" dxfId="1" priority="2" operator="containsText" text="DÉFICIT"/>
    <x:cfRule type="containsText" dxfId="2" priority="3" operator="containsText" text="TROP SERRÉ"/>
  </x:conditionalFormatting>
  <x:dataValidations count="6">
    <x:dataValidation type="list" sqref="A14:A43">
      <x:formula1>"Oui,Non"</x:formula1>
    </x:dataValidation>
    <x:dataValidation type="list" sqref="B14:B43">
      <x:formula1>"Entrée,Sortie"</x:formula1>
    </x:dataValidation>
    <x:dataValidation type="list" sqref="D14:D43">
      <x:formula1>"Fixe,Variable"</x:formula1>
    </x:dataValidation>
    <x:dataValidation type="list" sqref="E14:E43">
      <x:formula1>"Hebdomadaire,Toutes les 4 semaines,Mensuelle,Trimestrielle,Semestrielle,Annuelle"</x:formula1>
    </x:dataValidation>
    <x:dataValidation type="list" sqref="G14:G43">
      <x:formula1>"Prudent,Équilibré,Personnalisé"</x:formula1>
    </x:dataValidation>
    <x:dataValidation type="list" sqref="M14:M43">
      <x:formula1>"Oui,Non"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7" hidden="0" customWidth="1"/>
    <x:col min="2" max="2" width="15" hidden="0" customWidth="1"/>
    <x:col min="3" max="3" width="27" hidden="0" customWidth="1"/>
    <x:col min="4" max="4" width="15" hidden="0" customWidth="1"/>
    <x:col min="5" max="5" width="27" hidden="0" customWidth="1"/>
    <x:col min="6" max="6" width="15" hidden="0" customWidth="1"/>
    <x:col min="7" max="7" width="28" hidden="0" customWidth="1"/>
    <x:col min="8" max="8" width="20" hidden="0" customWidth="1"/>
    <x:col min="9" max="9" width="30" hidden="0" customWidth="1"/>
    <x:col min="10" max="10" width="18"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4" hidden="0" customWidth="1"/>
    <x:col min="25" max="25" width="4" hidden="0" customWidth="1"/>
    <x:col min="26" max="26" width="4" hidden="0" customWidth="1"/>
    <x:col min="27" max="27" width="4" hidden="0" customWidth="1"/>
    <x:col min="28" max="28" width="4" hidden="0" customWidth="1"/>
    <x:col min="29" max="29" width="4" hidden="0" customWidth="1"/>
    <x:col min="30" max="30" width="4" hidden="0" customWidth="1"/>
    <x:col min="31" max="31" width="4" hidden="0" customWidth="1"/>
    <x:col min="32" max="32" width="4" hidden="0" customWidth="1"/>
    <x:col min="33" max="33" width="4" hidden="0" customWidth="1"/>
    <x:col min="34" max="34" width="4" hidden="0" customWidth="1"/>
    <x:col min="35" max="35" width="4" hidden="0" customWidth="1"/>
    <x:col min="36" max="36" width="4" hidden="0" customWidth="1"/>
    <x:col min="37" max="37" width="4" hidden="0" customWidth="1"/>
    <x:col min="38" max="38" width="4" hidden="0" customWidth="1"/>
    <x:col min="39" max="39" width="4" hidden="0" customWidth="1"/>
    <x:col min="40" max="40" width="4" hidden="0" customWidth="1"/>
    <x:col min="41" max="41" width="4" hidden="0" customWidth="1"/>
    <x:col min="42" max="42" width="4" hidden="0" customWidth="1"/>
    <x:col min="43" max="43" width="4" hidden="0" customWidth="1"/>
    <x:col min="44" max="44" width="4" hidden="0" customWidth="1"/>
    <x:col min="45" max="45" width="4" hidden="0" customWidth="1"/>
    <x:col min="46" max="46" width="4" hidden="0" customWidth="1"/>
    <x:col min="47" max="47" width="4" hidden="0" customWidth="1"/>
    <x:col min="48" max="48" width="4" hidden="0" customWidth="1"/>
    <x:col min="49" max="49" width="4" hidden="0" customWidth="1"/>
    <x:col min="50" max="50" width="4" hidden="0" customWidth="1"/>
    <x:col min="51" max="51" width="4" hidden="0" customWidth="1"/>
    <x:col min="52" max="52" width="4" hidden="0" customWidth="1"/>
    <x:col min="53" max="53" width="4" hidden="0" customWidth="1"/>
  </x:cols>
  <x:sheetData>
    <x:row r="1" ht="34" customHeight="1">
      <x:c r="A1" s="3" t="str">
        <x:v>REBOOT — 2. Choisir un démarrage sûr</x:v>
      </x:c>
      <x:c r="B1" s="3" t="str">
        <x:v>REBOOT — 2. Choisir un démarrage sûr</x:v>
      </x:c>
      <x:c r="C1" s="3" t="str">
        <x:v>REBOOT — 2. Choisir un démarrage sûr</x:v>
      </x:c>
      <x:c r="D1" s="3" t="str">
        <x:v>REBOOT — 2. Choisir un démarrage sûr</x:v>
      </x:c>
      <x:c r="E1" s="3" t="str">
        <x:v>REBOOT — 2. Choisir un démarrage sûr</x:v>
      </x:c>
      <x:c r="F1" s="3" t="str">
        <x:v>REBOOT — 2. Choisir un démarrage sûr</x:v>
      </x:c>
      <x:c r="G1" s="3" t="str">
        <x:v>REBOOT — 2. Choisir un démarrage sûr</x:v>
      </x:c>
      <x:c r="H1" s="3" t="str">
        <x:v>REBOOT — 2. Choisir un démarrage sûr</x:v>
      </x:c>
      <x:c r="I1" s="3" t="str">
        <x:v>REBOOT — 2. Choisir un démarrage sûr</x:v>
      </x:c>
      <x:c r="J1" s="3" t="str">
        <x:v>REBOOT — 2. Choisir un démarrage sûr</x:v>
      </x:c>
    </x:row>
    <x:row r="2" ht="34" customHeight="1">
      <x:c r="A2" s="7" t="str">
        <x:v>Le budget durable répond à la capacité annuelle. Cet onglet vérifie séparément le calendrier réel, le coussin, le découvert et un éventuel budget de lancement. Changez la date du premier REBOOT pour tester un autre moment.</x:v>
      </x:c>
      <x:c r="B2" s="7" t="str">
        <x:v>Le budget durable répond à la capacité annuelle. Cet onglet vérifie séparément le calendrier réel, le coussin, le découvert et un éventuel budget de lancement. Changez la date du premier REBOOT pour tester un autre moment.</x:v>
      </x:c>
      <x:c r="C2" s="7" t="str">
        <x:v>Le budget durable répond à la capacité annuelle. Cet onglet vérifie séparément le calendrier réel, le coussin, le découvert et un éventuel budget de lancement. Changez la date du premier REBOOT pour tester un autre moment.</x:v>
      </x:c>
      <x:c r="D2" s="7" t="str">
        <x:v>Le budget durable répond à la capacité annuelle. Cet onglet vérifie séparément le calendrier réel, le coussin, le découvert et un éventuel budget de lancement. Changez la date du premier REBOOT pour tester un autre moment.</x:v>
      </x:c>
      <x:c r="E2" s="7" t="str">
        <x:v>Le budget durable répond à la capacité annuelle. Cet onglet vérifie séparément le calendrier réel, le coussin, le découvert et un éventuel budget de lancement. Changez la date du premier REBOOT pour tester un autre moment.</x:v>
      </x:c>
      <x:c r="F2" s="7" t="str">
        <x:v>Le budget durable répond à la capacité annuelle. Cet onglet vérifie séparément le calendrier réel, le coussin, le découvert et un éventuel budget de lancement. Changez la date du premier REBOOT pour tester un autre moment.</x:v>
      </x:c>
      <x:c r="G2" s="7" t="str">
        <x:v>Le budget durable répond à la capacité annuelle. Cet onglet vérifie séparément le calendrier réel, le coussin, le découvert et un éventuel budget de lancement. Changez la date du premier REBOOT pour tester un autre moment.</x:v>
      </x:c>
      <x:c r="H2" s="7" t="str">
        <x:v>Le budget durable répond à la capacité annuelle. Cet onglet vérifie séparément le calendrier réel, le coussin, le découvert et un éventuel budget de lancement. Changez la date du premier REBOOT pour tester un autre moment.</x:v>
      </x:c>
      <x:c r="I2" s="7" t="str">
        <x:v>Le budget durable répond à la capacité annuelle. Cet onglet vérifie séparément le calendrier réel, le coussin, le découvert et un éventuel budget de lancement. Changez la date du premier REBOOT pour tester un autre moment.</x:v>
      </x:c>
      <x:c r="J2" s="7" t="str">
        <x:v>Le budget durable répond à la capacité annuelle. Cet onglet vérifie séparément le calendrier réel, le coussin, le découvert et un éventuel budget de lancement. Changez la date du premier REBOOT pour tester un autre moment.</x:v>
      </x:c>
    </x:row>
    <x:row r="4" ht="24" customHeight="1">
      <x:c r="A4" s="10" t="str">
        <x:v>1. Situation réelle et date à tester</x:v>
      </x:c>
      <x:c r="B4" s="10" t="str">
        <x:v>1. Situation réelle et date à tester</x:v>
      </x:c>
      <x:c r="C4" s="10" t="str">
        <x:v>1. Situation réelle et date à tester</x:v>
      </x:c>
      <x:c r="D4" s="10" t="str">
        <x:v>1. Situation réelle et date à tester</x:v>
      </x:c>
      <x:c r="E4" s="10" t="str">
        <x:v>1. Situation réelle et date à tester</x:v>
      </x:c>
      <x:c r="F4" s="10" t="str">
        <x:v>1. Situation réelle et date à tester</x:v>
      </x:c>
      <x:c r="G4" s="10" t="str">
        <x:v>1. Situation réelle et date à tester</x:v>
      </x:c>
      <x:c r="H4" s="10" t="str">
        <x:v>1. Situation réelle et date à tester</x:v>
      </x:c>
      <x:c r="I4" s="10" t="str">
        <x:v>1. Situation réelle et date à tester</x:v>
      </x:c>
      <x:c r="J4" s="10" t="str">
        <x:v>1. Situation réelle et date à tester</x:v>
      </x:c>
    </x:row>
    <x:row r="5">
      <x:c r="A5" s="75" t="str">
        <x:v>Date d’évaluation</x:v>
      </x:c>
      <x:c r="B5" s="79" t="n">
        <x:v>46236</x:v>
      </x:c>
      <x:c r="C5" s="80" t="str">
        <x:v>Premier REBOOT à tester</x:v>
      </x:c>
      <x:c r="D5" s="79" t="n">
        <x:v>46242</x:v>
      </x:c>
      <x:c r="E5" s="75" t="str">
        <x:v>Compte consulté aujourd’hui ?</x:v>
      </x:c>
      <x:c r="F5" s="78" t="str">
        <x:v>Non</x:v>
      </x:c>
      <x:c r="G5" s="75" t="str">
        <x:v>Toutes opérations connues ?</x:v>
      </x:c>
      <x:c r="H5" s="78" t="str">
        <x:v>Non</x:v>
      </x:c>
      <x:c r="I5" s="75" t="str">
        <x:v>Grosse dépense proche financée ?</x:v>
      </x:c>
      <x:c r="J5" s="78" t="str">
        <x:v>Non</x:v>
      </x:c>
    </x:row>
    <x:row r="6">
      <x:c r="A6" s="75"/>
      <x:c r="B6" s="75"/>
      <x:c r="C6" s="75"/>
      <x:c r="D6" s="75"/>
      <x:c r="E6" s="75"/>
      <x:c r="F6" s="75"/>
      <x:c r="G6" s="75"/>
      <x:c r="H6" s="75"/>
      <x:c r="I6" s="75"/>
      <x:c r="J6" s="75"/>
    </x:row>
    <x:row r="7">
      <x:c r="A7" s="75" t="str">
        <x:v>Solde comptable</x:v>
      </x:c>
      <x:c r="B7" s="81" t="n">
        <x:v>0</x:v>
      </x:c>
      <x:c r="C7" s="82" t="str">
        <x:v>Cartes non débitées</x:v>
      </x:c>
      <x:c r="D7" s="81" t="n">
        <x:v>0</x:v>
      </x:c>
      <x:c r="E7" s="82" t="str">
        <x:v>Débit différé à venir</x:v>
      </x:c>
      <x:c r="F7" s="81" t="n">
        <x:v>0</x:v>
      </x:c>
      <x:c r="G7" s="82" t="str">
        <x:v>Chèques non débités</x:v>
      </x:c>
      <x:c r="H7" s="81" t="n">
        <x:v>0</x:v>
      </x:c>
      <x:c r="I7" s="82" t="str">
        <x:v>Virements sortants engagés</x:v>
      </x:c>
      <x:c r="J7" s="81" t="n">
        <x:v>0</x:v>
      </x:c>
    </x:row>
    <x:row r="8">
      <x:c r="A8" s="75" t="str">
        <x:v>Allocations virtuelles protégées</x:v>
      </x:c>
      <x:c r="B8" s="81" t="n">
        <x:v>0</x:v>
      </x:c>
      <x:c r="C8" s="82" t="str">
        <x:v>Découvert autorisé</x:v>
      </x:c>
      <x:c r="D8" s="81" t="n">
        <x:v>0</x:v>
      </x:c>
      <x:c r="E8" s="82" t="str">
        <x:v>Objectif de solde</x:v>
      </x:c>
      <x:c r="F8" s="81" t="n">
        <x:v>0</x:v>
      </x:c>
      <x:c r="G8" s="82" t="str">
        <x:v>Marge d’incertitude</x:v>
      </x:c>
      <x:c r="H8" s="81" t="n">
        <x:v>0</x:v>
      </x:c>
      <x:c r="I8" s="82" t="str">
        <x:v>Part du coussin financée par découvert</x:v>
      </x:c>
      <x:c r="J8" s="81" t="n">
        <x:v>0</x:v>
      </x:c>
    </x:row>
    <x:row r="10" ht="44" customHeight="1">
      <x:c r="A10" s="90" t="str">
        <x:v>Trésorerie réellement disponible</x:v>
      </x:c>
      <x:c r="B10" s="16" t="n">
        <x:f>B7-D7-F7-H7-J7-B8</x:f>
        <x:v>0</x:v>
      </x:c>
      <x:c r="C10" s="90" t="str">
        <x:v>Budget durable</x:v>
      </x:c>
      <x:c r="D10" s="91" t="n">
        <x:f>'1 Budget annuel'!H5</x:f>
        <x:v>0</x:v>
      </x:c>
      <x:c r="E10" s="92" t="str">
        <x:v>Minimum viable</x:v>
      </x:c>
      <x:c r="F10" s="91" t="n">
        <x:f>'1 Budget annuel'!H11</x:f>
        <x:v>0</x:v>
      </x:c>
      <x:c r="G10" s="90" t="str">
        <x:v>Diagnostic annuel</x:v>
      </x:c>
      <x:c r="H10" s="93" t="str">
        <x:f>'1 Budget annuel'!B7</x:f>
        <x:v>À COMPLÉTER</x:v>
      </x:c>
      <x:c r="I10" s="90" t="str">
        <x:v>Solde projeté au démarrage</x:v>
      </x:c>
      <x:c r="J10" s="16" t="n">
        <x:f>B10+SUMIFS($N$42:$N$412,$L$42:$L$412,"&lt;"&amp;D5)</x:f>
        <x:v>0</x:v>
      </x:c>
    </x:row>
    <x:row r="12" ht="24" customHeight="1">
      <x:c r="A12" s="10" t="str">
        <x:v>2. Coussin et contrôle du démarrage direct</x:v>
      </x:c>
      <x:c r="B12" s="10" t="str">
        <x:v>2. Coussin et contrôle du démarrage direct</x:v>
      </x:c>
      <x:c r="C12" s="10" t="str">
        <x:v>2. Coussin et contrôle du démarrage direct</x:v>
      </x:c>
      <x:c r="D12" s="10" t="str">
        <x:v>2. Coussin et contrôle du démarrage direct</x:v>
      </x:c>
      <x:c r="E12" s="10" t="str">
        <x:v>2. Coussin et contrôle du démarrage direct</x:v>
      </x:c>
      <x:c r="F12" s="10" t="str">
        <x:v>2. Coussin et contrôle du démarrage direct</x:v>
      </x:c>
      <x:c r="G12" s="10" t="str">
        <x:v>2. Coussin et contrôle du démarrage direct</x:v>
      </x:c>
      <x:c r="H12" s="10" t="str">
        <x:v>2. Coussin et contrôle du démarrage direct</x:v>
      </x:c>
      <x:c r="I12" s="10" t="str">
        <x:v>2. Coussin et contrôle du démarrage direct</x:v>
      </x:c>
      <x:c r="J12" s="10" t="str">
        <x:v>2. Coussin et contrôle du démarrage direct</x:v>
      </x:c>
    </x:row>
    <x:row r="13">
      <x:c r="A13" t="str">
        <x:v>Point bas au budget durable</x:v>
      </x:c>
      <x:c r="B13" s="84" t="n">
        <x:f>MIN($R$42:$R$412)</x:f>
        <x:v>0</x:v>
      </x:c>
      <x:c r="C13" t="str">
        <x:v>Coussin technique</x:v>
      </x:c>
      <x:c r="D13" s="84" t="n">
        <x:f>MAX(0,-MIN($Q$42:$Q$412))</x:f>
        <x:v>0</x:v>
      </x:c>
      <x:c r="E13" t="str">
        <x:v>Coussin cible</x:v>
      </x:c>
      <x:c r="F13" s="84" t="n">
        <x:f>D13+H8</x:f>
        <x:v>0</x:v>
      </x:c>
      <x:c r="G13" t="str">
        <x:v>Trésorerie propre requise</x:v>
      </x:c>
      <x:c r="H13" s="84" t="n">
        <x:f>MAX(0,F13-J8)</x:f>
        <x:v>0</x:v>
      </x:c>
      <x:c r="I13" t="str">
        <x:v>Niveau de fonctionnement</x:v>
      </x:c>
      <x:c r="J13" s="84" t="n">
        <x:f>F8+H13</x:f>
        <x:v>0</x:v>
      </x:c>
    </x:row>
    <x:row r="14">
      <x:c r="A14" t="str">
        <x:v>Plancher normal</x:v>
      </x:c>
      <x:c r="B14" s="84" t="n">
        <x:f>F8-J8</x:f>
        <x:v>0</x:v>
      </x:c>
      <x:c r="C14" t="str">
        <x:v>Plancher temporaire de lancement</x:v>
      </x:c>
      <x:c r="D14" s="84" t="n">
        <x:f>MIN(B14,J10)</x:f>
        <x:v>0</x:v>
      </x:c>
      <x:c r="E14" t="str">
        <x:v>Écart à constituer</x:v>
      </x:c>
      <x:c r="F14" s="84" t="n">
        <x:f>MAX(0,J13-J10)</x:f>
        <x:v>0</x:v>
      </x:c>
      <x:c r="G14" t="str">
        <x:v>Couverture du coussin</x:v>
      </x:c>
      <x:c r="H14" s="94" t="n">
        <x:f>IF(F13=0,1,MIN(1,(MAX(0,J10-F8)+J8)/F13))</x:f>
        <x:v>1</x:v>
      </x:c>
      <x:c r="I14" t="str">
        <x:v>Données de contrôle</x:v>
      </x:c>
      <x:c r="J14" s="83" t="str">
        <x:f>IF(AND(F5="Oui",H5="Oui",J5="Oui",D5&gt;=B5,COUNTIF('1 Budget annuel'!$A$14:$A$43,"Oui")&gt;0),"Données prêtes","À compléter")</x:f>
        <x:v>À compléter</x:v>
      </x:c>
    </x:row>
    <x:row r="15">
      <x:c r="A15" t="str">
        <x:v>Démarrage direct</x:v>
      </x:c>
      <x:c r="B15" s="19" t="str">
        <x:f>IF(J14&lt;&gt;"Données prêtes","À COMPLÉTER",IF(D10&lt;F10,"BUDGET DURABLE TROP SERRÉ",IF(OR(J8&gt;D8,J8&gt;F13),"FINANCEMENT DU COUSSIN INCOHÉRENT",IF(J10&lt;J13,"COUSSIN À CONSTITUER",IF(B13&lt;B14,"PROJECTION SOUS LE PLANCHER","PRÊT À VÉRIFIER")))))</x:f>
        <x:v>À COMPLÉTER</x:v>
      </x:c>
      <x:c r="C15" s="20"/>
      <x:c r="D15" s="20"/>
      <x:c r="E15" s="20"/>
      <x:c r="F15" s="20"/>
      <x:c r="G15" s="20"/>
      <x:c r="H15" s="20"/>
      <x:c r="I15" s="20"/>
      <x:c r="J15" s="21"/>
    </x:row>
    <x:row r="17" ht="24" customHeight="1">
      <x:c r="A17" s="10" t="str">
        <x:v>3. Plans temporaires simulés sur toute la période</x:v>
      </x:c>
      <x:c r="B17" s="10" t="str">
        <x:v>3. Plans temporaires simulés sur toute la période</x:v>
      </x:c>
      <x:c r="C17" s="10" t="str">
        <x:v>3. Plans temporaires simulés sur toute la période</x:v>
      </x:c>
      <x:c r="D17" s="10" t="str">
        <x:v>3. Plans temporaires simulés sur toute la période</x:v>
      </x:c>
      <x:c r="E17" s="10" t="str">
        <x:v>3. Plans temporaires simulés sur toute la période</x:v>
      </x:c>
      <x:c r="F17" s="10" t="str">
        <x:v>3. Plans temporaires simulés sur toute la période</x:v>
      </x:c>
      <x:c r="G17" s="10" t="str">
        <x:v>3. Plans temporaires simulés sur toute la période</x:v>
      </x:c>
      <x:c r="H17" s="10" t="str">
        <x:v>3. Plans temporaires simulés sur toute la période</x:v>
      </x:c>
      <x:c r="I17" s="10" t="str">
        <x:v>3. Plans temporaires simulés sur toute la période</x:v>
      </x:c>
      <x:c r="J17" s="10" t="str">
        <x:v>3. Plans temporaires simulés sur toute la période</x:v>
      </x:c>
    </x:row>
    <x:row r="18">
      <x:c r="A18" s="34" t="str">
        <x:v>Plan</x:v>
      </x:c>
      <x:c r="B18" s="34" t="str">
        <x:v>Budget de lancement</x:v>
      </x:c>
      <x:c r="C18" s="34" t="str">
        <x:v>Passage estimé</x:v>
      </x:c>
      <x:c r="D18" s="34" t="str">
        <x:v>Point bas</x:v>
      </x:c>
      <x:c r="E18" s="34" t="str">
        <x:v>Solde fin d’horizon</x:v>
      </x:c>
      <x:c r="F18" s="34" t="str">
        <x:v>Compression</x:v>
      </x:c>
      <x:c r="G18" s="34" t="str">
        <x:v>Verdict</x:v>
      </x:c>
      <x:c r="H18" s="34" t="str">
        <x:v>Lecture</x:v>
      </x:c>
    </x:row>
    <x:row r="19">
      <x:c r="A19" s="97" t="str">
        <x:v>Direct</x:v>
      </x:c>
      <x:c r="B19" s="98" t="n">
        <x:f>$D$10</x:f>
        <x:v>0</x:v>
      </x:c>
      <x:c r="C19" s="99" t="n">
        <x:f>$D$5</x:f>
        <x:v>46242</x:v>
      </x:c>
      <x:c r="D19" s="98" t="n">
        <x:f>$B$13</x:f>
        <x:v>0</x:v>
      </x:c>
      <x:c r="E19" s="98" t="n">
        <x:f>$R$412</x:f>
        <x:v>0</x:v>
      </x:c>
      <x:c r="F19" s="100" t="n">
        <x:f>0</x:f>
        <x:v>0</x:v>
      </x:c>
      <x:c r="G19" s="97" t="str">
        <x:f>$B$15</x:f>
        <x:v>À COMPLÉTER</x:v>
      </x:c>
      <x:c r="H19" s="97" t="str">
        <x:v>Aucune réduction temporaire</x:v>
      </x:c>
    </x:row>
    <x:row r="20">
      <x:c r="A20" s="101" t="n">
        <x:v>4</x:v>
      </x:c>
      <x:c r="B20" s="102" t="n">
        <x:f>MAX(0,INT($D$10-$F$14/A20))</x:f>
        <x:v>0</x:v>
      </x:c>
      <x:c r="C20" s="103" t="n">
        <x:f>$D$5+A20*7</x:f>
        <x:v>46270</x:v>
      </x:c>
      <x:c r="D20" s="102" t="n">
        <x:f>MIN($S$42:$S$412)</x:f>
        <x:v>0</x:v>
      </x:c>
      <x:c r="E20" s="102" t="n">
        <x:f>$S$412</x:f>
        <x:v>0</x:v>
      </x:c>
      <x:c r="F20" s="104" t="n">
        <x:f>IF($D$10=0,0,($D$10-B20)/$D$10)</x:f>
        <x:v>0</x:v>
      </x:c>
      <x:c r="G20" s="101" t="str">
        <x:f>IF($J$14&lt;&gt;"Données prêtes","À COMPLÉTER",IF($D$10&lt;$F$10,"BUDGET DURABLE TROP SERRÉ",IF(OR($J$8&gt;$D$8,$J$8&gt;$F$13),"COUSSIN INCOHÉRENT",IF(B20&lt;$F$10,"LANCEMENT TROP SERRÉ",IF(D20&lt;$D$14,"FRANCHIT LE PLANCHER","POSSIBLE À VÉRIFIER")))))</x:f>
        <x:v>À COMPLÉTER</x:v>
      </x:c>
      <x:c r="H20" s="101" t="str">
        <x:v>Effort court et plus fort</x:v>
      </x:c>
    </x:row>
    <x:row r="21">
      <x:c r="A21" s="101" t="n">
        <x:v>8</x:v>
      </x:c>
      <x:c r="B21" s="102" t="n">
        <x:f>MAX(0,INT($D$10-$F$14/A21))</x:f>
        <x:v>0</x:v>
      </x:c>
      <x:c r="C21" s="103" t="n">
        <x:f>$D$5+A21*7</x:f>
        <x:v>46298</x:v>
      </x:c>
      <x:c r="D21" s="102" t="n">
        <x:f>MIN($T$42:$T$412)</x:f>
        <x:v>0</x:v>
      </x:c>
      <x:c r="E21" s="102" t="n">
        <x:f>$T$412</x:f>
        <x:v>0</x:v>
      </x:c>
      <x:c r="F21" s="104" t="n">
        <x:f>IF($D$10=0,0,($D$10-B21)/$D$10)</x:f>
        <x:v>0</x:v>
      </x:c>
      <x:c r="G21" s="101" t="str">
        <x:f>IF($J$14&lt;&gt;"Données prêtes","À COMPLÉTER",IF($D$10&lt;$F$10,"BUDGET DURABLE TROP SERRÉ",IF(OR($J$8&gt;$D$8,$J$8&gt;$F$13),"COUSSIN INCOHÉRENT",IF(B21&lt;$F$10,"LANCEMENT TROP SERRÉ",IF(D21&lt;$D$14,"FRANCHIT LE PLANCHER","POSSIBLE À VÉRIFIER")))))</x:f>
        <x:v>À COMPLÉTER</x:v>
      </x:c>
      <x:c r="H21" s="101" t="str">
        <x:v>Environ deux mois</x:v>
      </x:c>
    </x:row>
    <x:row r="22">
      <x:c r="A22" s="101" t="n">
        <x:v>13</x:v>
      </x:c>
      <x:c r="B22" s="102" t="n">
        <x:f>MAX(0,INT($D$10-$F$14/A22))</x:f>
        <x:v>0</x:v>
      </x:c>
      <x:c r="C22" s="103" t="n">
        <x:f>$D$5+A22*7</x:f>
        <x:v>46333</x:v>
      </x:c>
      <x:c r="D22" s="102" t="n">
        <x:f>MIN($U$42:$U$412)</x:f>
        <x:v>0</x:v>
      </x:c>
      <x:c r="E22" s="102" t="n">
        <x:f>$U$412</x:f>
        <x:v>0</x:v>
      </x:c>
      <x:c r="F22" s="104" t="n">
        <x:f>IF($D$10=0,0,($D$10-B22)/$D$10)</x:f>
        <x:v>0</x:v>
      </x:c>
      <x:c r="G22" s="101" t="str">
        <x:f>IF($J$14&lt;&gt;"Données prêtes","À COMPLÉTER",IF($D$10&lt;$F$10,"BUDGET DURABLE TROP SERRÉ",IF(OR($J$8&gt;$D$8,$J$8&gt;$F$13),"COUSSIN INCOHÉRENT",IF(B22&lt;$F$10,"LANCEMENT TROP SERRÉ",IF(D22&lt;$D$14,"FRANCHIT LE PLANCHER","POSSIBLE À VÉRIFIER")))))</x:f>
        <x:v>À COMPLÉTER</x:v>
      </x:c>
      <x:c r="H22" s="101" t="str">
        <x:v>Environ trois mois</x:v>
      </x:c>
    </x:row>
    <x:row r="23">
      <x:c r="A23" s="101" t="n">
        <x:v>26</x:v>
      </x:c>
      <x:c r="B23" s="102" t="n">
        <x:f>MAX(0,INT($D$10-$F$14/A23))</x:f>
        <x:v>0</x:v>
      </x:c>
      <x:c r="C23" s="103" t="n">
        <x:f>$D$5+A23*7</x:f>
        <x:v>46424</x:v>
      </x:c>
      <x:c r="D23" s="102" t="n">
        <x:f>MIN($V$42:$V$412)</x:f>
        <x:v>0</x:v>
      </x:c>
      <x:c r="E23" s="102" t="n">
        <x:f>$V$412</x:f>
        <x:v>0</x:v>
      </x:c>
      <x:c r="F23" s="104" t="n">
        <x:f>IF($D$10=0,0,($D$10-B23)/$D$10)</x:f>
        <x:v>0</x:v>
      </x:c>
      <x:c r="G23" s="101" t="str">
        <x:f>IF($J$14&lt;&gt;"Données prêtes","À COMPLÉTER",IF($D$10&lt;$F$10,"BUDGET DURABLE TROP SERRÉ",IF(OR($J$8&gt;$D$8,$J$8&gt;$F$13),"COUSSIN INCOHÉRENT",IF(B23&lt;$F$10,"LANCEMENT TROP SERRÉ",IF(D23&lt;$D$14,"FRANCHIT LE PLANCHER","POSSIBLE À VÉRIFIER")))))</x:f>
        <x:v>À COMPLÉTER</x:v>
      </x:c>
      <x:c r="H23" s="101" t="str">
        <x:v>Environ six mois</x:v>
      </x:c>
    </x:row>
    <x:row r="24">
      <x:c r="A24" s="105" t="n">
        <x:v>52</x:v>
      </x:c>
      <x:c r="B24" s="106" t="n">
        <x:f>MAX(0,INT($D$10-$F$14/A24))</x:f>
        <x:v>0</x:v>
      </x:c>
      <x:c r="C24" s="107" t="n">
        <x:f>$D$5+A24*7</x:f>
        <x:v>46606</x:v>
      </x:c>
      <x:c r="D24" s="106" t="n">
        <x:f>MIN($W$42:$W$412)</x:f>
        <x:v>0</x:v>
      </x:c>
      <x:c r="E24" s="106" t="n">
        <x:f>$W$412</x:f>
        <x:v>0</x:v>
      </x:c>
      <x:c r="F24" s="108" t="n">
        <x:f>IF($D$10=0,0,($D$10-B24)/$D$10)</x:f>
        <x:v>0</x:v>
      </x:c>
      <x:c r="G24" s="105" t="str">
        <x:f>IF($J$14&lt;&gt;"Données prêtes","À COMPLÉTER",IF($D$10&lt;$F$10,"BUDGET DURABLE TROP SERRÉ",IF(OR($J$8&gt;$D$8,$J$8&gt;$F$13),"COUSSIN INCOHÉRENT",IF(B24&lt;$F$10,"LANCEMENT TROP SERRÉ",IF(D24&lt;$D$14,"FRANCHIT LE PLANCHER","POSSIBLE À VÉRIFIER")))))</x:f>
        <x:v>À COMPLÉTER</x:v>
      </x:c>
      <x:c r="H24" s="105" t="str">
        <x:v>Effort le plus doux sur un an</x:v>
      </x:c>
    </x:row>
    <x:row r="26" ht="24" customHeight="1">
      <x:c r="A26" s="10" t="str">
        <x:v>4. Décision humaine — jamais automatique</x:v>
      </x:c>
      <x:c r="B26" s="10" t="str">
        <x:v>4. Décision humaine — jamais automatique</x:v>
      </x:c>
      <x:c r="C26" s="10" t="str">
        <x:v>4. Décision humaine — jamais automatique</x:v>
      </x:c>
      <x:c r="D26" s="10" t="str">
        <x:v>4. Décision humaine — jamais automatique</x:v>
      </x:c>
      <x:c r="E26" s="10" t="str">
        <x:v>4. Décision humaine — jamais automatique</x:v>
      </x:c>
      <x:c r="F26" s="10" t="str">
        <x:v>4. Décision humaine — jamais automatique</x:v>
      </x:c>
      <x:c r="G26" s="10" t="str">
        <x:v>4. Décision humaine — jamais automatique</x:v>
      </x:c>
      <x:c r="H26" s="10" t="str">
        <x:v>4. Décision humaine — jamais automatique</x:v>
      </x:c>
      <x:c r="I26" s="10" t="str">
        <x:v>4. Décision humaine — jamais automatique</x:v>
      </x:c>
      <x:c r="J26" s="10" t="str">
        <x:v>4. Décision humaine — jamais automatique</x:v>
      </x:c>
    </x:row>
    <x:row r="28">
      <x:c r="A28" t="str">
        <x:v>Plan choisi</x:v>
      </x:c>
      <x:c r="B28" s="27" t="str"/>
      <x:c r="C28" t="str">
        <x:v>Budget applicable</x:v>
      </x:c>
      <x:c r="D28" s="84" t="n">
        <x:f>IF(B28="Direct",B19,IF(B28="4 cycles",B20,IF(B28="8 cycles",B21,IF(B28="13 cycles",B22,IF(B28="26 cycles",B23,IF(B28="52 cycles",B24,0))))))</x:f>
        <x:v>0</x:v>
      </x:c>
      <x:c r="E28" t="str">
        <x:v>Réévaluation estimée</x:v>
      </x:c>
      <x:c r="F28" s="109" t="str">
        <x:f>IF(B28="Direct",C19,IF(B28="4 cycles",C20,IF(B28="8 cycles",C21,IF(B28="13 cycles",C22,IF(B28="26 cycles",C23,IF(B28="52 cycles",C24,""))))))</x:f>
      </x:c>
      <x:c r="G28" t="str">
        <x:v>Verdict du choix</x:v>
      </x:c>
      <x:c r="H28" s="83" t="str">
        <x:f>IF(B28="Direct",G19,IF(B28="4 cycles",G20,IF(B28="8 cycles",G21,IF(B28="13 cycles",G22,IF(B28="26 cycles",G23,IF(B28="52 cycles",G24,"Choisissez un plan"))))))</x:f>
        <x:v>Choisissez un plan</x:v>
      </x:c>
    </x:row>
    <x:row r="30" ht="34" customHeight="1">
      <x:c r="A30" s="111" t="str">
        <x:f>IF(B15="PRÊT À VÉRIFIER","Recommandation : démarrage direct possible après vérification humaine.",IF(G24="POSSIBLE À VÉRIFIER","Recommandation : le plan 52 cycles est le moins compressé ; comparez-le aux plans plus courts.",IF(G23="POSSIBLE À VÉRIFIER","Recommandation : tester le plan 26 cycles.",IF(G22="POSSIBLE À VÉRIFIER","Recommandation : tester le plan 13 cycles.","Aucun plan n’est sûr avec les données actuelles : changer la date, financer la dépense proche ou revoir les hypothèses."))))</x:f>
        <x:v>Aucun plan n’est sûr avec les données actuelles : changer la date, financer la dépense proche ou revoir les hypothèses.</x:v>
      </x:c>
      <x:c r="B30" s="111"/>
      <x:c r="C30" s="111"/>
      <x:c r="D30" s="111"/>
      <x:c r="E30" s="111"/>
      <x:c r="F30" s="111"/>
      <x:c r="G30" s="111"/>
      <x:c r="H30" s="111"/>
      <x:c r="I30" s="111"/>
      <x:c r="J30" s="111"/>
    </x:row>
    <x:row r="32">
      <x:c r="A32" s="112" t="str">
        <x:v>Important : la date affichée est une estimation. À cette date, saisissez à nouveau le solde réel, vérifiez les opérations en attente et relancez la projection. Le budget temporaire ne remonte jamais tout seul au budget durable. Le découvert utilisé pour le coussin reste de l’argent financé par la banque, avec risque de frais ou de réduction d’autorisation.</x:v>
      </x:c>
      <x:c r="B32" s="112"/>
      <x:c r="C32" s="112"/>
      <x:c r="D32" s="112"/>
      <x:c r="E32" s="112"/>
      <x:c r="F32" s="112"/>
      <x:c r="G32" s="112"/>
      <x:c r="H32" s="112"/>
      <x:c r="I32" s="112"/>
      <x:c r="J32" s="112"/>
    </x:row>
    <x:row r="33">
      <x:c r="A33" s="112"/>
      <x:c r="B33" s="112"/>
      <x:c r="C33" s="112"/>
      <x:c r="D33" s="112"/>
      <x:c r="E33" s="112"/>
      <x:c r="F33" s="112"/>
      <x:c r="G33" s="112"/>
      <x:c r="H33" s="112"/>
      <x:c r="I33" s="112"/>
      <x:c r="J33" s="112"/>
    </x:row>
    <x:row r="40">
      <x:c r="L40" s="31" t="str">
        <x:v>Calcul audit : projection quotidienne jusqu’à 52 semaines après le premier REBOOT (ne pas modifier)</x:v>
      </x:c>
      <x:c r="M40" s="31"/>
      <x:c r="N40" s="31"/>
      <x:c r="O40" s="31"/>
      <x:c r="P40" s="31"/>
      <x:c r="Q40" s="31"/>
      <x:c r="R40" s="31"/>
      <x:c r="S40" s="31"/>
      <x:c r="T40" s="31"/>
      <x:c r="U40" s="31"/>
      <x:c r="V40" s="31"/>
      <x:c r="W40" s="31"/>
      <x:c r="X40" s="31"/>
      <x:c r="Y40" s="31"/>
      <x:c r="Z40" s="31"/>
      <x:c r="AA40" s="31"/>
      <x:c r="AB40" s="31"/>
      <x:c r="AC40" s="31"/>
      <x:c r="AD40" s="31"/>
      <x:c r="AE40" s="31"/>
      <x:c r="AF40" s="31"/>
      <x:c r="AG40" s="31"/>
      <x:c r="AH40" s="31"/>
      <x:c r="AI40" s="31"/>
      <x:c r="AJ40" s="31"/>
      <x:c r="AK40" s="31"/>
      <x:c r="AL40" s="31"/>
      <x:c r="AM40" s="31"/>
      <x:c r="AN40" s="31"/>
      <x:c r="AO40" s="31"/>
      <x:c r="AP40" s="31"/>
      <x:c r="AQ40" s="31"/>
      <x:c r="AR40" s="31"/>
      <x:c r="AS40" s="31"/>
      <x:c r="AT40" s="31"/>
      <x:c r="AU40" s="31"/>
      <x:c r="AV40" s="31"/>
      <x:c r="AW40" s="31"/>
      <x:c r="AX40" s="31"/>
      <x:c r="AY40" s="31"/>
      <x:c r="AZ40" s="31"/>
      <x:c r="BA40" s="31"/>
    </x:row>
    <x:row r="41">
      <x:c r="L41" s="113" t="str">
        <x:v>Date</x:v>
      </x:c>
      <x:c r="M41" s="113" t="str">
        <x:v>Jour REBOOT</x:v>
      </x:c>
      <x:c r="N41" s="113" t="str">
        <x:v>Flux récurrents nets</x:v>
      </x:c>
      <x:c r="O41" s="113" t="str">
        <x:v>Budget durable engagé</x:v>
      </x:c>
      <x:c r="P41" s="113" t="str">
        <x:v>Variation du jour</x:v>
      </x:c>
      <x:c r="Q41" s="113" t="str">
        <x:v>Variation cumulée</x:v>
      </x:c>
      <x:c r="R41" s="113" t="str">
        <x:v>Solde durable</x:v>
      </x:c>
      <x:c r="S41" s="113" t="str">
        <x:v>Plan 4</x:v>
      </x:c>
      <x:c r="T41" s="113" t="str">
        <x:v>Plan 8</x:v>
      </x:c>
      <x:c r="U41" s="113" t="str">
        <x:v>Plan 13</x:v>
      </x:c>
      <x:c r="V41" s="113" t="str">
        <x:v>Plan 26</x:v>
      </x:c>
      <x:c r="W41" s="113" t="str">
        <x:v>Plan 52</x:v>
      </x:c>
      <x:c r="X41" s="113" t="str">
        <x:v>Flux 1</x:v>
      </x:c>
      <x:c r="Y41" s="113" t="str">
        <x:v>Flux 2</x:v>
      </x:c>
      <x:c r="Z41" s="113" t="str">
        <x:v>Flux 3</x:v>
      </x:c>
      <x:c r="AA41" s="113" t="str">
        <x:v>Flux 4</x:v>
      </x:c>
      <x:c r="AB41" s="113" t="str">
        <x:v>Flux 5</x:v>
      </x:c>
      <x:c r="AC41" s="113" t="str">
        <x:v>Flux 6</x:v>
      </x:c>
      <x:c r="AD41" s="113" t="str">
        <x:v>Flux 7</x:v>
      </x:c>
      <x:c r="AE41" s="113" t="str">
        <x:v>Flux 8</x:v>
      </x:c>
      <x:c r="AF41" s="113" t="str">
        <x:v>Flux 9</x:v>
      </x:c>
      <x:c r="AG41" s="113" t="str">
        <x:v>Flux 10</x:v>
      </x:c>
      <x:c r="AH41" s="113" t="str">
        <x:v>Flux 11</x:v>
      </x:c>
      <x:c r="AI41" s="113" t="str">
        <x:v>Flux 12</x:v>
      </x:c>
      <x:c r="AJ41" s="113" t="str">
        <x:v>Flux 13</x:v>
      </x:c>
      <x:c r="AK41" s="113" t="str">
        <x:v>Flux 14</x:v>
      </x:c>
      <x:c r="AL41" s="113" t="str">
        <x:v>Flux 15</x:v>
      </x:c>
      <x:c r="AM41" s="113" t="str">
        <x:v>Flux 16</x:v>
      </x:c>
      <x:c r="AN41" s="113" t="str">
        <x:v>Flux 17</x:v>
      </x:c>
      <x:c r="AO41" s="113" t="str">
        <x:v>Flux 18</x:v>
      </x:c>
      <x:c r="AP41" s="113" t="str">
        <x:v>Flux 19</x:v>
      </x:c>
      <x:c r="AQ41" s="113" t="str">
        <x:v>Flux 20</x:v>
      </x:c>
      <x:c r="AR41" s="113" t="str">
        <x:v>Flux 21</x:v>
      </x:c>
      <x:c r="AS41" s="113" t="str">
        <x:v>Flux 22</x:v>
      </x:c>
      <x:c r="AT41" s="113" t="str">
        <x:v>Flux 23</x:v>
      </x:c>
      <x:c r="AU41" s="113" t="str">
        <x:v>Flux 24</x:v>
      </x:c>
      <x:c r="AV41" s="113" t="str">
        <x:v>Flux 25</x:v>
      </x:c>
      <x:c r="AW41" s="113" t="str">
        <x:v>Flux 26</x:v>
      </x:c>
      <x:c r="AX41" s="113" t="str">
        <x:v>Flux 27</x:v>
      </x:c>
      <x:c r="AY41" s="113" t="str">
        <x:v>Flux 28</x:v>
      </x:c>
      <x:c r="AZ41" s="113" t="str">
        <x:v>Flux 29</x:v>
      </x:c>
      <x:c r="BA41" s="113" t="str">
        <x:v>Flux 30</x:v>
      </x:c>
    </x:row>
    <x:row r="42">
      <x:c r="L42" s="114" t="n">
        <x:f>$B$5</x:f>
        <x:v>46236</x:v>
      </x:c>
      <x:c r="M42" s="115" t="b">
        <x:f>AND(L42&gt;=$D$5,L42&lt;=$D$5+363,MOD(L42-$D$5,7)=0)</x:f>
        <x:v>0</x:v>
      </x:c>
      <x:c r="N42" s="116" t="n">
        <x:f>SUM(X42:BA42)</x:f>
        <x:v>0</x:v>
      </x:c>
      <x:c r="O42" s="116" t="n">
        <x:f>IF(M42,$D$10,0)</x:f>
        <x:v>0</x:v>
      </x:c>
      <x:c r="P42" s="116" t="n">
        <x:f>N42-O42</x:f>
        <x:v>0</x:v>
      </x:c>
      <x:c r="Q42" s="116" t="n">
        <x:f>IF(L42&lt;$D$5,0,P42)</x:f>
        <x:v>0</x:v>
      </x:c>
      <x:c r="R42" s="116" t="str">
        <x:f>IF(L42&lt;$D$5,"",$J$10+Q42)</x:f>
      </x:c>
      <x:c r="S42" s="116" t="str">
        <x:f>IF($L42&lt;$D$5,"",$J$10+$N42-IF($M42,IF(INT(($L42-$D$5)/7)&lt;$A$20,$B$20,$D$10),0))</x:f>
      </x:c>
      <x:c r="T42" s="116" t="str">
        <x:f>IF($L42&lt;$D$5,"",$J$10+$N42-IF($M42,IF(INT(($L42-$D$5)/7)&lt;$A$21,$B$21,$D$10),0))</x:f>
      </x:c>
      <x:c r="U42" s="116" t="str">
        <x:f>IF($L42&lt;$D$5,"",$J$10+$N42-IF($M42,IF(INT(($L42-$D$5)/7)&lt;$A$22,$B$22,$D$10),0))</x:f>
      </x:c>
      <x:c r="V42" s="116" t="str">
        <x:f>IF($L42&lt;$D$5,"",$J$10+$N42-IF($M42,IF(INT(($L42-$D$5)/7)&lt;$A$23,$B$23,$D$10),0))</x:f>
      </x:c>
      <x:c r="W42" s="116" t="str">
        <x:f>IF($L42&lt;$D$5,"",$J$10+$N42-IF($M42,IF(INT(($L42-$D$5)/7)&lt;$A$24,$B$24,$D$10),0))</x:f>
      </x:c>
      <x:c r="X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Y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Z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A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B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C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D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E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F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G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H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I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J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K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L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M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N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O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P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Q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R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S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T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U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V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W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X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Y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AZ42" s="116"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c r="BA42" s="117" t="n">
        <x:f>IF(OR(INDEX('1 Budget annuel'!$A$14:$A$43,COLUMN()-COLUMN($X$42)+1)&lt;&gt;"Oui",INDEX('1 Budget annuel'!$L$14:$L$43,COLUMN()-COLUMN($X$42)+1)="",AND(INDEX('1 Budget annuel'!$B$14:$B$43,COLUMN()-COLUMN($X$42)+1)="Sortie",INDEX('1 Budget annuel'!$M$14:$M$43,COLUMN()-COLUMN($X$42)+1)="Oui"),$L42&lt;INDEX('1 Budget annuel'!$L$14:$L$43,COLUMN()-COLUMN($X$42)+1),$L42&gt;$D$5+363),0,IF(OR(AND(INDEX('1 Budget annuel'!$E$14:$E$43,COLUMN()-COLUMN($X$42)+1)="Hebdomadaire",MOD($L42-INDEX('1 Budget annuel'!$L$14:$L$43,COLUMN()-COLUMN($X$42)+1),7)=0),AND(INDEX('1 Budget annuel'!$E$14:$E$43,COLUMN()-COLUMN($X$42)+1)="Toutes les 4 semaines",MOD($L42-INDEX('1 Budget annuel'!$L$14:$L$43,COLUMN()-COLUMN($X$42)+1),28)=0),AND(INDEX('1 Budget annuel'!$E$14:$E$43,COLUMN()-COLUMN($X$42)+1)="Mensuelle",DAY($L42)=MIN(DAY(INDEX('1 Budget annuel'!$L$14:$L$43,COLUMN()-COLUMN($X$42)+1)),DAY(EOMONTH($L42,0)))),AND(INDEX('1 Budget annuel'!$E$14:$E$43,COLUMN()-COLUMN($X$42)+1)="Trimestrielle",MOD((YEAR($L42)-YEAR(INDEX('1 Budget annuel'!$L$14:$L$43,COLUMN()-COLUMN($X$42)+1)))*12+MONTH($L42)-MONTH(INDEX('1 Budget annuel'!$L$14:$L$43,COLUMN()-COLUMN($X$42)+1)),3)=0,DAY($L42)=MIN(DAY(INDEX('1 Budget annuel'!$L$14:$L$43,COLUMN()-COLUMN($X$42)+1)),DAY(EOMONTH($L42,0)))),AND(INDEX('1 Budget annuel'!$E$14:$E$43,COLUMN()-COLUMN($X$42)+1)="Semestrielle",MOD((YEAR($L42)-YEAR(INDEX('1 Budget annuel'!$L$14:$L$43,COLUMN()-COLUMN($X$42)+1)))*12+MONTH($L42)-MONTH(INDEX('1 Budget annuel'!$L$14:$L$43,COLUMN()-COLUMN($X$42)+1)),6)=0,DAY($L42)=MIN(DAY(INDEX('1 Budget annuel'!$L$14:$L$43,COLUMN()-COLUMN($X$42)+1)),DAY(EOMONTH($L42,0)))),AND(INDEX('1 Budget annuel'!$E$14:$E$43,COLUMN()-COLUMN($X$42)+1)="Annuelle",MOD((YEAR($L42)-YEAR(INDEX('1 Budget annuel'!$L$14:$L$43,COLUMN()-COLUMN($X$42)+1)))*12+MONTH($L42)-MONTH(INDEX('1 Budget annuel'!$L$14:$L$43,COLUMN()-COLUMN($X$42)+1)),12)=0,DAY($L42)=MIN(DAY(INDEX('1 Budget annuel'!$L$14:$L$43,COLUMN()-COLUMN($X$42)+1)),DAY(EOMONTH($L42,0))))),IF(INDEX('1 Budget annuel'!$B$14:$B$43,COLUMN()-COLUMN($X$42)+1)="Entrée",INDEX('1 Budget annuel'!$I$14:$I$43,COLUMN()-COLUMN($X$42)+1),-INDEX('1 Budget annuel'!$I$14:$I$43,COLUMN()-COLUMN($X$42)+1)),0))</x:f>
        <x:v>0</x:v>
      </x:c>
    </x:row>
    <x:row r="43">
      <x:c r="L43" s="114" t="n">
        <x:f>L42+1</x:f>
        <x:v>46237</x:v>
      </x:c>
      <x:c r="M43" s="115" t="b">
        <x:f>AND(L43&gt;=$D$5,L43&lt;=$D$5+363,MOD(L43-$D$5,7)=0)</x:f>
        <x:v>0</x:v>
      </x:c>
      <x:c r="N43" s="116" t="n">
        <x:f>SUM(X43:BA43)</x:f>
        <x:v>0</x:v>
      </x:c>
      <x:c r="O43" s="116" t="n">
        <x:f>IF(M43,$D$10,0)</x:f>
        <x:v>0</x:v>
      </x:c>
      <x:c r="P43" s="116" t="n">
        <x:f>N43-O43</x:f>
        <x:v>0</x:v>
      </x:c>
      <x:c r="Q43" s="116" t="n">
        <x:f>IF(L43&lt;$D$5,0,IF(L43=$D$5,P43,Q42+P43))</x:f>
        <x:v>0</x:v>
      </x:c>
      <x:c r="R43" s="116" t="str">
        <x:f>IF(L43&lt;$D$5,"",$J$10+Q43)</x:f>
      </x:c>
      <x:c r="S43" s="116" t="str">
        <x:f>IF($L43&lt;$D$5,"",IF($L43=$D$5,$J$10+$N43-IF($M43,IF(INT(($L43-$D$5)/7)&lt;$A$20,$B$20,$D$10),0),S42+$N43-IF($M43,IF(INT(($L43-$D$5)/7)&lt;$A$20,$B$20,$D$10),0)))</x:f>
      </x:c>
      <x:c r="T43" s="116" t="str">
        <x:f>IF($L43&lt;$D$5,"",IF($L43=$D$5,$J$10+$N43-IF($M43,IF(INT(($L43-$D$5)/7)&lt;$A$21,$B$21,$D$10),0),T42+$N43-IF($M43,IF(INT(($L43-$D$5)/7)&lt;$A$21,$B$21,$D$10),0)))</x:f>
      </x:c>
      <x:c r="U43" s="116" t="str">
        <x:f>IF($L43&lt;$D$5,"",IF($L43=$D$5,$J$10+$N43-IF($M43,IF(INT(($L43-$D$5)/7)&lt;$A$22,$B$22,$D$10),0),U42+$N43-IF($M43,IF(INT(($L43-$D$5)/7)&lt;$A$22,$B$22,$D$10),0)))</x:f>
      </x:c>
      <x:c r="V43" s="116" t="str">
        <x:f>IF($L43&lt;$D$5,"",IF($L43=$D$5,$J$10+$N43-IF($M43,IF(INT(($L43-$D$5)/7)&lt;$A$23,$B$23,$D$10),0),V42+$N43-IF($M43,IF(INT(($L43-$D$5)/7)&lt;$A$23,$B$23,$D$10),0)))</x:f>
      </x:c>
      <x:c r="W43" s="116" t="str">
        <x:f>IF($L43&lt;$D$5,"",IF($L43=$D$5,$J$10+$N43-IF($M43,IF(INT(($L43-$D$5)/7)&lt;$A$24,$B$24,$D$10),0),W42+$N43-IF($M43,IF(INT(($L43-$D$5)/7)&lt;$A$24,$B$24,$D$10),0)))</x:f>
      </x:c>
      <x:c r="X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Y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Z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A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B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C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D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E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F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G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H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I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J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K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L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M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N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O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P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Q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R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S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T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U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V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W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X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Y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AZ43" s="116"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c r="BA43" s="117" t="n">
        <x:f>IF(OR(INDEX('1 Budget annuel'!$A$14:$A$43,COLUMN()-COLUMN($X$42)+1)&lt;&gt;"Oui",INDEX('1 Budget annuel'!$L$14:$L$43,COLUMN()-COLUMN($X$42)+1)="",AND(INDEX('1 Budget annuel'!$B$14:$B$43,COLUMN()-COLUMN($X$42)+1)="Sortie",INDEX('1 Budget annuel'!$M$14:$M$43,COLUMN()-COLUMN($X$42)+1)="Oui"),$L43&lt;INDEX('1 Budget annuel'!$L$14:$L$43,COLUMN()-COLUMN($X$42)+1),$L43&gt;$D$5+363),0,IF(OR(AND(INDEX('1 Budget annuel'!$E$14:$E$43,COLUMN()-COLUMN($X$42)+1)="Hebdomadaire",MOD($L43-INDEX('1 Budget annuel'!$L$14:$L$43,COLUMN()-COLUMN($X$42)+1),7)=0),AND(INDEX('1 Budget annuel'!$E$14:$E$43,COLUMN()-COLUMN($X$42)+1)="Toutes les 4 semaines",MOD($L43-INDEX('1 Budget annuel'!$L$14:$L$43,COLUMN()-COLUMN($X$42)+1),28)=0),AND(INDEX('1 Budget annuel'!$E$14:$E$43,COLUMN()-COLUMN($X$42)+1)="Mensuelle",DAY($L43)=MIN(DAY(INDEX('1 Budget annuel'!$L$14:$L$43,COLUMN()-COLUMN($X$42)+1)),DAY(EOMONTH($L43,0)))),AND(INDEX('1 Budget annuel'!$E$14:$E$43,COLUMN()-COLUMN($X$42)+1)="Trimestrielle",MOD((YEAR($L43)-YEAR(INDEX('1 Budget annuel'!$L$14:$L$43,COLUMN()-COLUMN($X$42)+1)))*12+MONTH($L43)-MONTH(INDEX('1 Budget annuel'!$L$14:$L$43,COLUMN()-COLUMN($X$42)+1)),3)=0,DAY($L43)=MIN(DAY(INDEX('1 Budget annuel'!$L$14:$L$43,COLUMN()-COLUMN($X$42)+1)),DAY(EOMONTH($L43,0)))),AND(INDEX('1 Budget annuel'!$E$14:$E$43,COLUMN()-COLUMN($X$42)+1)="Semestrielle",MOD((YEAR($L43)-YEAR(INDEX('1 Budget annuel'!$L$14:$L$43,COLUMN()-COLUMN($X$42)+1)))*12+MONTH($L43)-MONTH(INDEX('1 Budget annuel'!$L$14:$L$43,COLUMN()-COLUMN($X$42)+1)),6)=0,DAY($L43)=MIN(DAY(INDEX('1 Budget annuel'!$L$14:$L$43,COLUMN()-COLUMN($X$42)+1)),DAY(EOMONTH($L43,0)))),AND(INDEX('1 Budget annuel'!$E$14:$E$43,COLUMN()-COLUMN($X$42)+1)="Annuelle",MOD((YEAR($L43)-YEAR(INDEX('1 Budget annuel'!$L$14:$L$43,COLUMN()-COLUMN($X$42)+1)))*12+MONTH($L43)-MONTH(INDEX('1 Budget annuel'!$L$14:$L$43,COLUMN()-COLUMN($X$42)+1)),12)=0,DAY($L43)=MIN(DAY(INDEX('1 Budget annuel'!$L$14:$L$43,COLUMN()-COLUMN($X$42)+1)),DAY(EOMONTH($L43,0))))),IF(INDEX('1 Budget annuel'!$B$14:$B$43,COLUMN()-COLUMN($X$42)+1)="Entrée",INDEX('1 Budget annuel'!$I$14:$I$43,COLUMN()-COLUMN($X$42)+1),-INDEX('1 Budget annuel'!$I$14:$I$43,COLUMN()-COLUMN($X$42)+1)),0))</x:f>
        <x:v>0</x:v>
      </x:c>
    </x:row>
    <x:row r="44">
      <x:c r="L44" s="114" t="n">
        <x:f>L43+1</x:f>
        <x:v>46238</x:v>
      </x:c>
      <x:c r="M44" s="115" t="b">
        <x:f>AND(L44&gt;=$D$5,L44&lt;=$D$5+363,MOD(L44-$D$5,7)=0)</x:f>
        <x:v>0</x:v>
      </x:c>
      <x:c r="N44" s="116" t="n">
        <x:f>SUM(X44:BA44)</x:f>
        <x:v>0</x:v>
      </x:c>
      <x:c r="O44" s="116" t="n">
        <x:f>IF(M44,$D$10,0)</x:f>
        <x:v>0</x:v>
      </x:c>
      <x:c r="P44" s="116" t="n">
        <x:f>N44-O44</x:f>
        <x:v>0</x:v>
      </x:c>
      <x:c r="Q44" s="116" t="n">
        <x:f>IF(L44&lt;$D$5,0,IF(L44=$D$5,P44,Q43+P44))</x:f>
        <x:v>0</x:v>
      </x:c>
      <x:c r="R44" s="116" t="str">
        <x:f>IF(L44&lt;$D$5,"",$J$10+Q44)</x:f>
      </x:c>
      <x:c r="S44" s="116" t="str">
        <x:f>IF($L44&lt;$D$5,"",IF($L44=$D$5,$J$10+$N44-IF($M44,IF(INT(($L44-$D$5)/7)&lt;$A$20,$B$20,$D$10),0),S43+$N44-IF($M44,IF(INT(($L44-$D$5)/7)&lt;$A$20,$B$20,$D$10),0)))</x:f>
      </x:c>
      <x:c r="T44" s="116" t="str">
        <x:f>IF($L44&lt;$D$5,"",IF($L44=$D$5,$J$10+$N44-IF($M44,IF(INT(($L44-$D$5)/7)&lt;$A$21,$B$21,$D$10),0),T43+$N44-IF($M44,IF(INT(($L44-$D$5)/7)&lt;$A$21,$B$21,$D$10),0)))</x:f>
      </x:c>
      <x:c r="U44" s="116" t="str">
        <x:f>IF($L44&lt;$D$5,"",IF($L44=$D$5,$J$10+$N44-IF($M44,IF(INT(($L44-$D$5)/7)&lt;$A$22,$B$22,$D$10),0),U43+$N44-IF($M44,IF(INT(($L44-$D$5)/7)&lt;$A$22,$B$22,$D$10),0)))</x:f>
      </x:c>
      <x:c r="V44" s="116" t="str">
        <x:f>IF($L44&lt;$D$5,"",IF($L44=$D$5,$J$10+$N44-IF($M44,IF(INT(($L44-$D$5)/7)&lt;$A$23,$B$23,$D$10),0),V43+$N44-IF($M44,IF(INT(($L44-$D$5)/7)&lt;$A$23,$B$23,$D$10),0)))</x:f>
      </x:c>
      <x:c r="W44" s="116" t="str">
        <x:f>IF($L44&lt;$D$5,"",IF($L44=$D$5,$J$10+$N44-IF($M44,IF(INT(($L44-$D$5)/7)&lt;$A$24,$B$24,$D$10),0),W43+$N44-IF($M44,IF(INT(($L44-$D$5)/7)&lt;$A$24,$B$24,$D$10),0)))</x:f>
      </x:c>
      <x:c r="X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Y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Z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A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B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C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D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E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F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G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H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I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J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K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L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M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N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O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P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Q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R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S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T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U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V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W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X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Y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AZ44" s="116"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c r="BA44" s="117" t="n">
        <x:f>IF(OR(INDEX('1 Budget annuel'!$A$14:$A$43,COLUMN()-COLUMN($X$42)+1)&lt;&gt;"Oui",INDEX('1 Budget annuel'!$L$14:$L$43,COLUMN()-COLUMN($X$42)+1)="",AND(INDEX('1 Budget annuel'!$B$14:$B$43,COLUMN()-COLUMN($X$42)+1)="Sortie",INDEX('1 Budget annuel'!$M$14:$M$43,COLUMN()-COLUMN($X$42)+1)="Oui"),$L44&lt;INDEX('1 Budget annuel'!$L$14:$L$43,COLUMN()-COLUMN($X$42)+1),$L44&gt;$D$5+363),0,IF(OR(AND(INDEX('1 Budget annuel'!$E$14:$E$43,COLUMN()-COLUMN($X$42)+1)="Hebdomadaire",MOD($L44-INDEX('1 Budget annuel'!$L$14:$L$43,COLUMN()-COLUMN($X$42)+1),7)=0),AND(INDEX('1 Budget annuel'!$E$14:$E$43,COLUMN()-COLUMN($X$42)+1)="Toutes les 4 semaines",MOD($L44-INDEX('1 Budget annuel'!$L$14:$L$43,COLUMN()-COLUMN($X$42)+1),28)=0),AND(INDEX('1 Budget annuel'!$E$14:$E$43,COLUMN()-COLUMN($X$42)+1)="Mensuelle",DAY($L44)=MIN(DAY(INDEX('1 Budget annuel'!$L$14:$L$43,COLUMN()-COLUMN($X$42)+1)),DAY(EOMONTH($L44,0)))),AND(INDEX('1 Budget annuel'!$E$14:$E$43,COLUMN()-COLUMN($X$42)+1)="Trimestrielle",MOD((YEAR($L44)-YEAR(INDEX('1 Budget annuel'!$L$14:$L$43,COLUMN()-COLUMN($X$42)+1)))*12+MONTH($L44)-MONTH(INDEX('1 Budget annuel'!$L$14:$L$43,COLUMN()-COLUMN($X$42)+1)),3)=0,DAY($L44)=MIN(DAY(INDEX('1 Budget annuel'!$L$14:$L$43,COLUMN()-COLUMN($X$42)+1)),DAY(EOMONTH($L44,0)))),AND(INDEX('1 Budget annuel'!$E$14:$E$43,COLUMN()-COLUMN($X$42)+1)="Semestrielle",MOD((YEAR($L44)-YEAR(INDEX('1 Budget annuel'!$L$14:$L$43,COLUMN()-COLUMN($X$42)+1)))*12+MONTH($L44)-MONTH(INDEX('1 Budget annuel'!$L$14:$L$43,COLUMN()-COLUMN($X$42)+1)),6)=0,DAY($L44)=MIN(DAY(INDEX('1 Budget annuel'!$L$14:$L$43,COLUMN()-COLUMN($X$42)+1)),DAY(EOMONTH($L44,0)))),AND(INDEX('1 Budget annuel'!$E$14:$E$43,COLUMN()-COLUMN($X$42)+1)="Annuelle",MOD((YEAR($L44)-YEAR(INDEX('1 Budget annuel'!$L$14:$L$43,COLUMN()-COLUMN($X$42)+1)))*12+MONTH($L44)-MONTH(INDEX('1 Budget annuel'!$L$14:$L$43,COLUMN()-COLUMN($X$42)+1)),12)=0,DAY($L44)=MIN(DAY(INDEX('1 Budget annuel'!$L$14:$L$43,COLUMN()-COLUMN($X$42)+1)),DAY(EOMONTH($L44,0))))),IF(INDEX('1 Budget annuel'!$B$14:$B$43,COLUMN()-COLUMN($X$42)+1)="Entrée",INDEX('1 Budget annuel'!$I$14:$I$43,COLUMN()-COLUMN($X$42)+1),-INDEX('1 Budget annuel'!$I$14:$I$43,COLUMN()-COLUMN($X$42)+1)),0))</x:f>
        <x:v>0</x:v>
      </x:c>
    </x:row>
    <x:row r="45">
      <x:c r="L45" s="114" t="n">
        <x:f>L44+1</x:f>
        <x:v>46239</x:v>
      </x:c>
      <x:c r="M45" s="115" t="b">
        <x:f>AND(L45&gt;=$D$5,L45&lt;=$D$5+363,MOD(L45-$D$5,7)=0)</x:f>
        <x:v>0</x:v>
      </x:c>
      <x:c r="N45" s="116" t="n">
        <x:f>SUM(X45:BA45)</x:f>
        <x:v>0</x:v>
      </x:c>
      <x:c r="O45" s="116" t="n">
        <x:f>IF(M45,$D$10,0)</x:f>
        <x:v>0</x:v>
      </x:c>
      <x:c r="P45" s="116" t="n">
        <x:f>N45-O45</x:f>
        <x:v>0</x:v>
      </x:c>
      <x:c r="Q45" s="116" t="n">
        <x:f>IF(L45&lt;$D$5,0,IF(L45=$D$5,P45,Q44+P45))</x:f>
        <x:v>0</x:v>
      </x:c>
      <x:c r="R45" s="116" t="str">
        <x:f>IF(L45&lt;$D$5,"",$J$10+Q45)</x:f>
      </x:c>
      <x:c r="S45" s="116" t="str">
        <x:f>IF($L45&lt;$D$5,"",IF($L45=$D$5,$J$10+$N45-IF($M45,IF(INT(($L45-$D$5)/7)&lt;$A$20,$B$20,$D$10),0),S44+$N45-IF($M45,IF(INT(($L45-$D$5)/7)&lt;$A$20,$B$20,$D$10),0)))</x:f>
      </x:c>
      <x:c r="T45" s="116" t="str">
        <x:f>IF($L45&lt;$D$5,"",IF($L45=$D$5,$J$10+$N45-IF($M45,IF(INT(($L45-$D$5)/7)&lt;$A$21,$B$21,$D$10),0),T44+$N45-IF($M45,IF(INT(($L45-$D$5)/7)&lt;$A$21,$B$21,$D$10),0)))</x:f>
      </x:c>
      <x:c r="U45" s="116" t="str">
        <x:f>IF($L45&lt;$D$5,"",IF($L45=$D$5,$J$10+$N45-IF($M45,IF(INT(($L45-$D$5)/7)&lt;$A$22,$B$22,$D$10),0),U44+$N45-IF($M45,IF(INT(($L45-$D$5)/7)&lt;$A$22,$B$22,$D$10),0)))</x:f>
      </x:c>
      <x:c r="V45" s="116" t="str">
        <x:f>IF($L45&lt;$D$5,"",IF($L45=$D$5,$J$10+$N45-IF($M45,IF(INT(($L45-$D$5)/7)&lt;$A$23,$B$23,$D$10),0),V44+$N45-IF($M45,IF(INT(($L45-$D$5)/7)&lt;$A$23,$B$23,$D$10),0)))</x:f>
      </x:c>
      <x:c r="W45" s="116" t="str">
        <x:f>IF($L45&lt;$D$5,"",IF($L45=$D$5,$J$10+$N45-IF($M45,IF(INT(($L45-$D$5)/7)&lt;$A$24,$B$24,$D$10),0),W44+$N45-IF($M45,IF(INT(($L45-$D$5)/7)&lt;$A$24,$B$24,$D$10),0)))</x:f>
      </x:c>
      <x:c r="X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Y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Z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A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B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C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D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E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F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G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H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I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J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K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L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M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N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O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P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Q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R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S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T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U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V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W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X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Y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AZ45" s="116"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c r="BA45" s="117" t="n">
        <x:f>IF(OR(INDEX('1 Budget annuel'!$A$14:$A$43,COLUMN()-COLUMN($X$42)+1)&lt;&gt;"Oui",INDEX('1 Budget annuel'!$L$14:$L$43,COLUMN()-COLUMN($X$42)+1)="",AND(INDEX('1 Budget annuel'!$B$14:$B$43,COLUMN()-COLUMN($X$42)+1)="Sortie",INDEX('1 Budget annuel'!$M$14:$M$43,COLUMN()-COLUMN($X$42)+1)="Oui"),$L45&lt;INDEX('1 Budget annuel'!$L$14:$L$43,COLUMN()-COLUMN($X$42)+1),$L45&gt;$D$5+363),0,IF(OR(AND(INDEX('1 Budget annuel'!$E$14:$E$43,COLUMN()-COLUMN($X$42)+1)="Hebdomadaire",MOD($L45-INDEX('1 Budget annuel'!$L$14:$L$43,COLUMN()-COLUMN($X$42)+1),7)=0),AND(INDEX('1 Budget annuel'!$E$14:$E$43,COLUMN()-COLUMN($X$42)+1)="Toutes les 4 semaines",MOD($L45-INDEX('1 Budget annuel'!$L$14:$L$43,COLUMN()-COLUMN($X$42)+1),28)=0),AND(INDEX('1 Budget annuel'!$E$14:$E$43,COLUMN()-COLUMN($X$42)+1)="Mensuelle",DAY($L45)=MIN(DAY(INDEX('1 Budget annuel'!$L$14:$L$43,COLUMN()-COLUMN($X$42)+1)),DAY(EOMONTH($L45,0)))),AND(INDEX('1 Budget annuel'!$E$14:$E$43,COLUMN()-COLUMN($X$42)+1)="Trimestrielle",MOD((YEAR($L45)-YEAR(INDEX('1 Budget annuel'!$L$14:$L$43,COLUMN()-COLUMN($X$42)+1)))*12+MONTH($L45)-MONTH(INDEX('1 Budget annuel'!$L$14:$L$43,COLUMN()-COLUMN($X$42)+1)),3)=0,DAY($L45)=MIN(DAY(INDEX('1 Budget annuel'!$L$14:$L$43,COLUMN()-COLUMN($X$42)+1)),DAY(EOMONTH($L45,0)))),AND(INDEX('1 Budget annuel'!$E$14:$E$43,COLUMN()-COLUMN($X$42)+1)="Semestrielle",MOD((YEAR($L45)-YEAR(INDEX('1 Budget annuel'!$L$14:$L$43,COLUMN()-COLUMN($X$42)+1)))*12+MONTH($L45)-MONTH(INDEX('1 Budget annuel'!$L$14:$L$43,COLUMN()-COLUMN($X$42)+1)),6)=0,DAY($L45)=MIN(DAY(INDEX('1 Budget annuel'!$L$14:$L$43,COLUMN()-COLUMN($X$42)+1)),DAY(EOMONTH($L45,0)))),AND(INDEX('1 Budget annuel'!$E$14:$E$43,COLUMN()-COLUMN($X$42)+1)="Annuelle",MOD((YEAR($L45)-YEAR(INDEX('1 Budget annuel'!$L$14:$L$43,COLUMN()-COLUMN($X$42)+1)))*12+MONTH($L45)-MONTH(INDEX('1 Budget annuel'!$L$14:$L$43,COLUMN()-COLUMN($X$42)+1)),12)=0,DAY($L45)=MIN(DAY(INDEX('1 Budget annuel'!$L$14:$L$43,COLUMN()-COLUMN($X$42)+1)),DAY(EOMONTH($L45,0))))),IF(INDEX('1 Budget annuel'!$B$14:$B$43,COLUMN()-COLUMN($X$42)+1)="Entrée",INDEX('1 Budget annuel'!$I$14:$I$43,COLUMN()-COLUMN($X$42)+1),-INDEX('1 Budget annuel'!$I$14:$I$43,COLUMN()-COLUMN($X$42)+1)),0))</x:f>
        <x:v>0</x:v>
      </x:c>
    </x:row>
    <x:row r="46">
      <x:c r="L46" s="114" t="n">
        <x:f>L45+1</x:f>
        <x:v>46240</x:v>
      </x:c>
      <x:c r="M46" s="115" t="b">
        <x:f>AND(L46&gt;=$D$5,L46&lt;=$D$5+363,MOD(L46-$D$5,7)=0)</x:f>
        <x:v>0</x:v>
      </x:c>
      <x:c r="N46" s="116" t="n">
        <x:f>SUM(X46:BA46)</x:f>
        <x:v>0</x:v>
      </x:c>
      <x:c r="O46" s="116" t="n">
        <x:f>IF(M46,$D$10,0)</x:f>
        <x:v>0</x:v>
      </x:c>
      <x:c r="P46" s="116" t="n">
        <x:f>N46-O46</x:f>
        <x:v>0</x:v>
      </x:c>
      <x:c r="Q46" s="116" t="n">
        <x:f>IF(L46&lt;$D$5,0,IF(L46=$D$5,P46,Q45+P46))</x:f>
        <x:v>0</x:v>
      </x:c>
      <x:c r="R46" s="116" t="str">
        <x:f>IF(L46&lt;$D$5,"",$J$10+Q46)</x:f>
      </x:c>
      <x:c r="S46" s="116" t="str">
        <x:f>IF($L46&lt;$D$5,"",IF($L46=$D$5,$J$10+$N46-IF($M46,IF(INT(($L46-$D$5)/7)&lt;$A$20,$B$20,$D$10),0),S45+$N46-IF($M46,IF(INT(($L46-$D$5)/7)&lt;$A$20,$B$20,$D$10),0)))</x:f>
      </x:c>
      <x:c r="T46" s="116" t="str">
        <x:f>IF($L46&lt;$D$5,"",IF($L46=$D$5,$J$10+$N46-IF($M46,IF(INT(($L46-$D$5)/7)&lt;$A$21,$B$21,$D$10),0),T45+$N46-IF($M46,IF(INT(($L46-$D$5)/7)&lt;$A$21,$B$21,$D$10),0)))</x:f>
      </x:c>
      <x:c r="U46" s="116" t="str">
        <x:f>IF($L46&lt;$D$5,"",IF($L46=$D$5,$J$10+$N46-IF($M46,IF(INT(($L46-$D$5)/7)&lt;$A$22,$B$22,$D$10),0),U45+$N46-IF($M46,IF(INT(($L46-$D$5)/7)&lt;$A$22,$B$22,$D$10),0)))</x:f>
      </x:c>
      <x:c r="V46" s="116" t="str">
        <x:f>IF($L46&lt;$D$5,"",IF($L46=$D$5,$J$10+$N46-IF($M46,IF(INT(($L46-$D$5)/7)&lt;$A$23,$B$23,$D$10),0),V45+$N46-IF($M46,IF(INT(($L46-$D$5)/7)&lt;$A$23,$B$23,$D$10),0)))</x:f>
      </x:c>
      <x:c r="W46" s="116" t="str">
        <x:f>IF($L46&lt;$D$5,"",IF($L46=$D$5,$J$10+$N46-IF($M46,IF(INT(($L46-$D$5)/7)&lt;$A$24,$B$24,$D$10),0),W45+$N46-IF($M46,IF(INT(($L46-$D$5)/7)&lt;$A$24,$B$24,$D$10),0)))</x:f>
      </x:c>
      <x:c r="X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Y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Z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A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B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C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D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E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F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G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H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I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J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K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L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M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N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O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P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Q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R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S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T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U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V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W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X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Y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AZ46" s="116"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c r="BA46" s="117" t="n">
        <x:f>IF(OR(INDEX('1 Budget annuel'!$A$14:$A$43,COLUMN()-COLUMN($X$42)+1)&lt;&gt;"Oui",INDEX('1 Budget annuel'!$L$14:$L$43,COLUMN()-COLUMN($X$42)+1)="",AND(INDEX('1 Budget annuel'!$B$14:$B$43,COLUMN()-COLUMN($X$42)+1)="Sortie",INDEX('1 Budget annuel'!$M$14:$M$43,COLUMN()-COLUMN($X$42)+1)="Oui"),$L46&lt;INDEX('1 Budget annuel'!$L$14:$L$43,COLUMN()-COLUMN($X$42)+1),$L46&gt;$D$5+363),0,IF(OR(AND(INDEX('1 Budget annuel'!$E$14:$E$43,COLUMN()-COLUMN($X$42)+1)="Hebdomadaire",MOD($L46-INDEX('1 Budget annuel'!$L$14:$L$43,COLUMN()-COLUMN($X$42)+1),7)=0),AND(INDEX('1 Budget annuel'!$E$14:$E$43,COLUMN()-COLUMN($X$42)+1)="Toutes les 4 semaines",MOD($L46-INDEX('1 Budget annuel'!$L$14:$L$43,COLUMN()-COLUMN($X$42)+1),28)=0),AND(INDEX('1 Budget annuel'!$E$14:$E$43,COLUMN()-COLUMN($X$42)+1)="Mensuelle",DAY($L46)=MIN(DAY(INDEX('1 Budget annuel'!$L$14:$L$43,COLUMN()-COLUMN($X$42)+1)),DAY(EOMONTH($L46,0)))),AND(INDEX('1 Budget annuel'!$E$14:$E$43,COLUMN()-COLUMN($X$42)+1)="Trimestrielle",MOD((YEAR($L46)-YEAR(INDEX('1 Budget annuel'!$L$14:$L$43,COLUMN()-COLUMN($X$42)+1)))*12+MONTH($L46)-MONTH(INDEX('1 Budget annuel'!$L$14:$L$43,COLUMN()-COLUMN($X$42)+1)),3)=0,DAY($L46)=MIN(DAY(INDEX('1 Budget annuel'!$L$14:$L$43,COLUMN()-COLUMN($X$42)+1)),DAY(EOMONTH($L46,0)))),AND(INDEX('1 Budget annuel'!$E$14:$E$43,COLUMN()-COLUMN($X$42)+1)="Semestrielle",MOD((YEAR($L46)-YEAR(INDEX('1 Budget annuel'!$L$14:$L$43,COLUMN()-COLUMN($X$42)+1)))*12+MONTH($L46)-MONTH(INDEX('1 Budget annuel'!$L$14:$L$43,COLUMN()-COLUMN($X$42)+1)),6)=0,DAY($L46)=MIN(DAY(INDEX('1 Budget annuel'!$L$14:$L$43,COLUMN()-COLUMN($X$42)+1)),DAY(EOMONTH($L46,0)))),AND(INDEX('1 Budget annuel'!$E$14:$E$43,COLUMN()-COLUMN($X$42)+1)="Annuelle",MOD((YEAR($L46)-YEAR(INDEX('1 Budget annuel'!$L$14:$L$43,COLUMN()-COLUMN($X$42)+1)))*12+MONTH($L46)-MONTH(INDEX('1 Budget annuel'!$L$14:$L$43,COLUMN()-COLUMN($X$42)+1)),12)=0,DAY($L46)=MIN(DAY(INDEX('1 Budget annuel'!$L$14:$L$43,COLUMN()-COLUMN($X$42)+1)),DAY(EOMONTH($L46,0))))),IF(INDEX('1 Budget annuel'!$B$14:$B$43,COLUMN()-COLUMN($X$42)+1)="Entrée",INDEX('1 Budget annuel'!$I$14:$I$43,COLUMN()-COLUMN($X$42)+1),-INDEX('1 Budget annuel'!$I$14:$I$43,COLUMN()-COLUMN($X$42)+1)),0))</x:f>
        <x:v>0</x:v>
      </x:c>
    </x:row>
    <x:row r="47">
      <x:c r="L47" s="114" t="n">
        <x:f>L46+1</x:f>
        <x:v>46241</x:v>
      </x:c>
      <x:c r="M47" s="115" t="b">
        <x:f>AND(L47&gt;=$D$5,L47&lt;=$D$5+363,MOD(L47-$D$5,7)=0)</x:f>
        <x:v>0</x:v>
      </x:c>
      <x:c r="N47" s="116" t="n">
        <x:f>SUM(X47:BA47)</x:f>
        <x:v>0</x:v>
      </x:c>
      <x:c r="O47" s="116" t="n">
        <x:f>IF(M47,$D$10,0)</x:f>
        <x:v>0</x:v>
      </x:c>
      <x:c r="P47" s="116" t="n">
        <x:f>N47-O47</x:f>
        <x:v>0</x:v>
      </x:c>
      <x:c r="Q47" s="116" t="n">
        <x:f>IF(L47&lt;$D$5,0,IF(L47=$D$5,P47,Q46+P47))</x:f>
        <x:v>0</x:v>
      </x:c>
      <x:c r="R47" s="116" t="str">
        <x:f>IF(L47&lt;$D$5,"",$J$10+Q47)</x:f>
      </x:c>
      <x:c r="S47" s="116" t="str">
        <x:f>IF($L47&lt;$D$5,"",IF($L47=$D$5,$J$10+$N47-IF($M47,IF(INT(($L47-$D$5)/7)&lt;$A$20,$B$20,$D$10),0),S46+$N47-IF($M47,IF(INT(($L47-$D$5)/7)&lt;$A$20,$B$20,$D$10),0)))</x:f>
      </x:c>
      <x:c r="T47" s="116" t="str">
        <x:f>IF($L47&lt;$D$5,"",IF($L47=$D$5,$J$10+$N47-IF($M47,IF(INT(($L47-$D$5)/7)&lt;$A$21,$B$21,$D$10),0),T46+$N47-IF($M47,IF(INT(($L47-$D$5)/7)&lt;$A$21,$B$21,$D$10),0)))</x:f>
      </x:c>
      <x:c r="U47" s="116" t="str">
        <x:f>IF($L47&lt;$D$5,"",IF($L47=$D$5,$J$10+$N47-IF($M47,IF(INT(($L47-$D$5)/7)&lt;$A$22,$B$22,$D$10),0),U46+$N47-IF($M47,IF(INT(($L47-$D$5)/7)&lt;$A$22,$B$22,$D$10),0)))</x:f>
      </x:c>
      <x:c r="V47" s="116" t="str">
        <x:f>IF($L47&lt;$D$5,"",IF($L47=$D$5,$J$10+$N47-IF($M47,IF(INT(($L47-$D$5)/7)&lt;$A$23,$B$23,$D$10),0),V46+$N47-IF($M47,IF(INT(($L47-$D$5)/7)&lt;$A$23,$B$23,$D$10),0)))</x:f>
      </x:c>
      <x:c r="W47" s="116" t="str">
        <x:f>IF($L47&lt;$D$5,"",IF($L47=$D$5,$J$10+$N47-IF($M47,IF(INT(($L47-$D$5)/7)&lt;$A$24,$B$24,$D$10),0),W46+$N47-IF($M47,IF(INT(($L47-$D$5)/7)&lt;$A$24,$B$24,$D$10),0)))</x:f>
      </x:c>
      <x:c r="X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Y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Z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A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B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C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D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E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F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G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H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I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J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K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L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M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N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O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P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Q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R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S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T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U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V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W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X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Y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AZ47" s="116"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c r="BA47" s="117" t="n">
        <x:f>IF(OR(INDEX('1 Budget annuel'!$A$14:$A$43,COLUMN()-COLUMN($X$42)+1)&lt;&gt;"Oui",INDEX('1 Budget annuel'!$L$14:$L$43,COLUMN()-COLUMN($X$42)+1)="",AND(INDEX('1 Budget annuel'!$B$14:$B$43,COLUMN()-COLUMN($X$42)+1)="Sortie",INDEX('1 Budget annuel'!$M$14:$M$43,COLUMN()-COLUMN($X$42)+1)="Oui"),$L47&lt;INDEX('1 Budget annuel'!$L$14:$L$43,COLUMN()-COLUMN($X$42)+1),$L47&gt;$D$5+363),0,IF(OR(AND(INDEX('1 Budget annuel'!$E$14:$E$43,COLUMN()-COLUMN($X$42)+1)="Hebdomadaire",MOD($L47-INDEX('1 Budget annuel'!$L$14:$L$43,COLUMN()-COLUMN($X$42)+1),7)=0),AND(INDEX('1 Budget annuel'!$E$14:$E$43,COLUMN()-COLUMN($X$42)+1)="Toutes les 4 semaines",MOD($L47-INDEX('1 Budget annuel'!$L$14:$L$43,COLUMN()-COLUMN($X$42)+1),28)=0),AND(INDEX('1 Budget annuel'!$E$14:$E$43,COLUMN()-COLUMN($X$42)+1)="Mensuelle",DAY($L47)=MIN(DAY(INDEX('1 Budget annuel'!$L$14:$L$43,COLUMN()-COLUMN($X$42)+1)),DAY(EOMONTH($L47,0)))),AND(INDEX('1 Budget annuel'!$E$14:$E$43,COLUMN()-COLUMN($X$42)+1)="Trimestrielle",MOD((YEAR($L47)-YEAR(INDEX('1 Budget annuel'!$L$14:$L$43,COLUMN()-COLUMN($X$42)+1)))*12+MONTH($L47)-MONTH(INDEX('1 Budget annuel'!$L$14:$L$43,COLUMN()-COLUMN($X$42)+1)),3)=0,DAY($L47)=MIN(DAY(INDEX('1 Budget annuel'!$L$14:$L$43,COLUMN()-COLUMN($X$42)+1)),DAY(EOMONTH($L47,0)))),AND(INDEX('1 Budget annuel'!$E$14:$E$43,COLUMN()-COLUMN($X$42)+1)="Semestrielle",MOD((YEAR($L47)-YEAR(INDEX('1 Budget annuel'!$L$14:$L$43,COLUMN()-COLUMN($X$42)+1)))*12+MONTH($L47)-MONTH(INDEX('1 Budget annuel'!$L$14:$L$43,COLUMN()-COLUMN($X$42)+1)),6)=0,DAY($L47)=MIN(DAY(INDEX('1 Budget annuel'!$L$14:$L$43,COLUMN()-COLUMN($X$42)+1)),DAY(EOMONTH($L47,0)))),AND(INDEX('1 Budget annuel'!$E$14:$E$43,COLUMN()-COLUMN($X$42)+1)="Annuelle",MOD((YEAR($L47)-YEAR(INDEX('1 Budget annuel'!$L$14:$L$43,COLUMN()-COLUMN($X$42)+1)))*12+MONTH($L47)-MONTH(INDEX('1 Budget annuel'!$L$14:$L$43,COLUMN()-COLUMN($X$42)+1)),12)=0,DAY($L47)=MIN(DAY(INDEX('1 Budget annuel'!$L$14:$L$43,COLUMN()-COLUMN($X$42)+1)),DAY(EOMONTH($L47,0))))),IF(INDEX('1 Budget annuel'!$B$14:$B$43,COLUMN()-COLUMN($X$42)+1)="Entrée",INDEX('1 Budget annuel'!$I$14:$I$43,COLUMN()-COLUMN($X$42)+1),-INDEX('1 Budget annuel'!$I$14:$I$43,COLUMN()-COLUMN($X$42)+1)),0))</x:f>
        <x:v>0</x:v>
      </x:c>
    </x:row>
    <x:row r="48">
      <x:c r="L48" s="114" t="n">
        <x:f>L47+1</x:f>
        <x:v>46242</x:v>
      </x:c>
      <x:c r="M48" s="115" t="b">
        <x:f>AND(L48&gt;=$D$5,L48&lt;=$D$5+363,MOD(L48-$D$5,7)=0)</x:f>
        <x:v>1</x:v>
      </x:c>
      <x:c r="N48" s="116" t="n">
        <x:f>SUM(X48:BA48)</x:f>
        <x:v>0</x:v>
      </x:c>
      <x:c r="O48" s="116" t="n">
        <x:f>IF(M48,$D$10,0)</x:f>
        <x:v>0</x:v>
      </x:c>
      <x:c r="P48" s="116" t="n">
        <x:f>N48-O48</x:f>
        <x:v>0</x:v>
      </x:c>
      <x:c r="Q48" s="116" t="n">
        <x:f>IF(L48&lt;$D$5,0,IF(L48=$D$5,P48,Q47+P48))</x:f>
        <x:v>0</x:v>
      </x:c>
      <x:c r="R48" s="116" t="n">
        <x:f>IF(L48&lt;$D$5,"",$J$10+Q48)</x:f>
        <x:v>0</x:v>
      </x:c>
      <x:c r="S48" s="116" t="n">
        <x:f>IF($L48&lt;$D$5,"",IF($L48=$D$5,$J$10+$N48-IF($M48,IF(INT(($L48-$D$5)/7)&lt;$A$20,$B$20,$D$10),0),S47+$N48-IF($M48,IF(INT(($L48-$D$5)/7)&lt;$A$20,$B$20,$D$10),0)))</x:f>
        <x:v>0</x:v>
      </x:c>
      <x:c r="T48" s="116" t="n">
        <x:f>IF($L48&lt;$D$5,"",IF($L48=$D$5,$J$10+$N48-IF($M48,IF(INT(($L48-$D$5)/7)&lt;$A$21,$B$21,$D$10),0),T47+$N48-IF($M48,IF(INT(($L48-$D$5)/7)&lt;$A$21,$B$21,$D$10),0)))</x:f>
        <x:v>0</x:v>
      </x:c>
      <x:c r="U48" s="116" t="n">
        <x:f>IF($L48&lt;$D$5,"",IF($L48=$D$5,$J$10+$N48-IF($M48,IF(INT(($L48-$D$5)/7)&lt;$A$22,$B$22,$D$10),0),U47+$N48-IF($M48,IF(INT(($L48-$D$5)/7)&lt;$A$22,$B$22,$D$10),0)))</x:f>
        <x:v>0</x:v>
      </x:c>
      <x:c r="V48" s="116" t="n">
        <x:f>IF($L48&lt;$D$5,"",IF($L48=$D$5,$J$10+$N48-IF($M48,IF(INT(($L48-$D$5)/7)&lt;$A$23,$B$23,$D$10),0),V47+$N48-IF($M48,IF(INT(($L48-$D$5)/7)&lt;$A$23,$B$23,$D$10),0)))</x:f>
        <x:v>0</x:v>
      </x:c>
      <x:c r="W48" s="116" t="n">
        <x:f>IF($L48&lt;$D$5,"",IF($L48=$D$5,$J$10+$N48-IF($M48,IF(INT(($L48-$D$5)/7)&lt;$A$24,$B$24,$D$10),0),W47+$N48-IF($M48,IF(INT(($L48-$D$5)/7)&lt;$A$24,$B$24,$D$10),0)))</x:f>
        <x:v>0</x:v>
      </x:c>
      <x:c r="X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Y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Z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A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B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C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D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E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F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G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H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I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J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K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L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M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N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O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P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Q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R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S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T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U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V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W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X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Y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AZ48" s="116"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c r="BA48" s="117" t="n">
        <x:f>IF(OR(INDEX('1 Budget annuel'!$A$14:$A$43,COLUMN()-COLUMN($X$42)+1)&lt;&gt;"Oui",INDEX('1 Budget annuel'!$L$14:$L$43,COLUMN()-COLUMN($X$42)+1)="",AND(INDEX('1 Budget annuel'!$B$14:$B$43,COLUMN()-COLUMN($X$42)+1)="Sortie",INDEX('1 Budget annuel'!$M$14:$M$43,COLUMN()-COLUMN($X$42)+1)="Oui"),$L48&lt;INDEX('1 Budget annuel'!$L$14:$L$43,COLUMN()-COLUMN($X$42)+1),$L48&gt;$D$5+363),0,IF(OR(AND(INDEX('1 Budget annuel'!$E$14:$E$43,COLUMN()-COLUMN($X$42)+1)="Hebdomadaire",MOD($L48-INDEX('1 Budget annuel'!$L$14:$L$43,COLUMN()-COLUMN($X$42)+1),7)=0),AND(INDEX('1 Budget annuel'!$E$14:$E$43,COLUMN()-COLUMN($X$42)+1)="Toutes les 4 semaines",MOD($L48-INDEX('1 Budget annuel'!$L$14:$L$43,COLUMN()-COLUMN($X$42)+1),28)=0),AND(INDEX('1 Budget annuel'!$E$14:$E$43,COLUMN()-COLUMN($X$42)+1)="Mensuelle",DAY($L48)=MIN(DAY(INDEX('1 Budget annuel'!$L$14:$L$43,COLUMN()-COLUMN($X$42)+1)),DAY(EOMONTH($L48,0)))),AND(INDEX('1 Budget annuel'!$E$14:$E$43,COLUMN()-COLUMN($X$42)+1)="Trimestrielle",MOD((YEAR($L48)-YEAR(INDEX('1 Budget annuel'!$L$14:$L$43,COLUMN()-COLUMN($X$42)+1)))*12+MONTH($L48)-MONTH(INDEX('1 Budget annuel'!$L$14:$L$43,COLUMN()-COLUMN($X$42)+1)),3)=0,DAY($L48)=MIN(DAY(INDEX('1 Budget annuel'!$L$14:$L$43,COLUMN()-COLUMN($X$42)+1)),DAY(EOMONTH($L48,0)))),AND(INDEX('1 Budget annuel'!$E$14:$E$43,COLUMN()-COLUMN($X$42)+1)="Semestrielle",MOD((YEAR($L48)-YEAR(INDEX('1 Budget annuel'!$L$14:$L$43,COLUMN()-COLUMN($X$42)+1)))*12+MONTH($L48)-MONTH(INDEX('1 Budget annuel'!$L$14:$L$43,COLUMN()-COLUMN($X$42)+1)),6)=0,DAY($L48)=MIN(DAY(INDEX('1 Budget annuel'!$L$14:$L$43,COLUMN()-COLUMN($X$42)+1)),DAY(EOMONTH($L48,0)))),AND(INDEX('1 Budget annuel'!$E$14:$E$43,COLUMN()-COLUMN($X$42)+1)="Annuelle",MOD((YEAR($L48)-YEAR(INDEX('1 Budget annuel'!$L$14:$L$43,COLUMN()-COLUMN($X$42)+1)))*12+MONTH($L48)-MONTH(INDEX('1 Budget annuel'!$L$14:$L$43,COLUMN()-COLUMN($X$42)+1)),12)=0,DAY($L48)=MIN(DAY(INDEX('1 Budget annuel'!$L$14:$L$43,COLUMN()-COLUMN($X$42)+1)),DAY(EOMONTH($L48,0))))),IF(INDEX('1 Budget annuel'!$B$14:$B$43,COLUMN()-COLUMN($X$42)+1)="Entrée",INDEX('1 Budget annuel'!$I$14:$I$43,COLUMN()-COLUMN($X$42)+1),-INDEX('1 Budget annuel'!$I$14:$I$43,COLUMN()-COLUMN($X$42)+1)),0))</x:f>
        <x:v>0</x:v>
      </x:c>
    </x:row>
    <x:row r="49">
      <x:c r="L49" s="114" t="n">
        <x:f>L48+1</x:f>
        <x:v>46243</x:v>
      </x:c>
      <x:c r="M49" s="115" t="b">
        <x:f>AND(L49&gt;=$D$5,L49&lt;=$D$5+363,MOD(L49-$D$5,7)=0)</x:f>
        <x:v>0</x:v>
      </x:c>
      <x:c r="N49" s="116" t="n">
        <x:f>SUM(X49:BA49)</x:f>
        <x:v>0</x:v>
      </x:c>
      <x:c r="O49" s="116" t="n">
        <x:f>IF(M49,$D$10,0)</x:f>
        <x:v>0</x:v>
      </x:c>
      <x:c r="P49" s="116" t="n">
        <x:f>N49-O49</x:f>
        <x:v>0</x:v>
      </x:c>
      <x:c r="Q49" s="116" t="n">
        <x:f>IF(L49&lt;$D$5,0,IF(L49=$D$5,P49,Q48+P49))</x:f>
        <x:v>0</x:v>
      </x:c>
      <x:c r="R49" s="116" t="n">
        <x:f>IF(L49&lt;$D$5,"",$J$10+Q49)</x:f>
        <x:v>0</x:v>
      </x:c>
      <x:c r="S49" s="116" t="n">
        <x:f>IF($L49&lt;$D$5,"",IF($L49=$D$5,$J$10+$N49-IF($M49,IF(INT(($L49-$D$5)/7)&lt;$A$20,$B$20,$D$10),0),S48+$N49-IF($M49,IF(INT(($L49-$D$5)/7)&lt;$A$20,$B$20,$D$10),0)))</x:f>
        <x:v>0</x:v>
      </x:c>
      <x:c r="T49" s="116" t="n">
        <x:f>IF($L49&lt;$D$5,"",IF($L49=$D$5,$J$10+$N49-IF($M49,IF(INT(($L49-$D$5)/7)&lt;$A$21,$B$21,$D$10),0),T48+$N49-IF($M49,IF(INT(($L49-$D$5)/7)&lt;$A$21,$B$21,$D$10),0)))</x:f>
        <x:v>0</x:v>
      </x:c>
      <x:c r="U49" s="116" t="n">
        <x:f>IF($L49&lt;$D$5,"",IF($L49=$D$5,$J$10+$N49-IF($M49,IF(INT(($L49-$D$5)/7)&lt;$A$22,$B$22,$D$10),0),U48+$N49-IF($M49,IF(INT(($L49-$D$5)/7)&lt;$A$22,$B$22,$D$10),0)))</x:f>
        <x:v>0</x:v>
      </x:c>
      <x:c r="V49" s="116" t="n">
        <x:f>IF($L49&lt;$D$5,"",IF($L49=$D$5,$J$10+$N49-IF($M49,IF(INT(($L49-$D$5)/7)&lt;$A$23,$B$23,$D$10),0),V48+$N49-IF($M49,IF(INT(($L49-$D$5)/7)&lt;$A$23,$B$23,$D$10),0)))</x:f>
        <x:v>0</x:v>
      </x:c>
      <x:c r="W49" s="116" t="n">
        <x:f>IF($L49&lt;$D$5,"",IF($L49=$D$5,$J$10+$N49-IF($M49,IF(INT(($L49-$D$5)/7)&lt;$A$24,$B$24,$D$10),0),W48+$N49-IF($M49,IF(INT(($L49-$D$5)/7)&lt;$A$24,$B$24,$D$10),0)))</x:f>
        <x:v>0</x:v>
      </x:c>
      <x:c r="X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Y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Z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A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B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C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D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E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F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G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H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I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J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K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L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M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N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O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P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Q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R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S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T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U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V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W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X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Y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AZ49" s="116"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c r="BA49" s="117" t="n">
        <x:f>IF(OR(INDEX('1 Budget annuel'!$A$14:$A$43,COLUMN()-COLUMN($X$42)+1)&lt;&gt;"Oui",INDEX('1 Budget annuel'!$L$14:$L$43,COLUMN()-COLUMN($X$42)+1)="",AND(INDEX('1 Budget annuel'!$B$14:$B$43,COLUMN()-COLUMN($X$42)+1)="Sortie",INDEX('1 Budget annuel'!$M$14:$M$43,COLUMN()-COLUMN($X$42)+1)="Oui"),$L49&lt;INDEX('1 Budget annuel'!$L$14:$L$43,COLUMN()-COLUMN($X$42)+1),$L49&gt;$D$5+363),0,IF(OR(AND(INDEX('1 Budget annuel'!$E$14:$E$43,COLUMN()-COLUMN($X$42)+1)="Hebdomadaire",MOD($L49-INDEX('1 Budget annuel'!$L$14:$L$43,COLUMN()-COLUMN($X$42)+1),7)=0),AND(INDEX('1 Budget annuel'!$E$14:$E$43,COLUMN()-COLUMN($X$42)+1)="Toutes les 4 semaines",MOD($L49-INDEX('1 Budget annuel'!$L$14:$L$43,COLUMN()-COLUMN($X$42)+1),28)=0),AND(INDEX('1 Budget annuel'!$E$14:$E$43,COLUMN()-COLUMN($X$42)+1)="Mensuelle",DAY($L49)=MIN(DAY(INDEX('1 Budget annuel'!$L$14:$L$43,COLUMN()-COLUMN($X$42)+1)),DAY(EOMONTH($L49,0)))),AND(INDEX('1 Budget annuel'!$E$14:$E$43,COLUMN()-COLUMN($X$42)+1)="Trimestrielle",MOD((YEAR($L49)-YEAR(INDEX('1 Budget annuel'!$L$14:$L$43,COLUMN()-COLUMN($X$42)+1)))*12+MONTH($L49)-MONTH(INDEX('1 Budget annuel'!$L$14:$L$43,COLUMN()-COLUMN($X$42)+1)),3)=0,DAY($L49)=MIN(DAY(INDEX('1 Budget annuel'!$L$14:$L$43,COLUMN()-COLUMN($X$42)+1)),DAY(EOMONTH($L49,0)))),AND(INDEX('1 Budget annuel'!$E$14:$E$43,COLUMN()-COLUMN($X$42)+1)="Semestrielle",MOD((YEAR($L49)-YEAR(INDEX('1 Budget annuel'!$L$14:$L$43,COLUMN()-COLUMN($X$42)+1)))*12+MONTH($L49)-MONTH(INDEX('1 Budget annuel'!$L$14:$L$43,COLUMN()-COLUMN($X$42)+1)),6)=0,DAY($L49)=MIN(DAY(INDEX('1 Budget annuel'!$L$14:$L$43,COLUMN()-COLUMN($X$42)+1)),DAY(EOMONTH($L49,0)))),AND(INDEX('1 Budget annuel'!$E$14:$E$43,COLUMN()-COLUMN($X$42)+1)="Annuelle",MOD((YEAR($L49)-YEAR(INDEX('1 Budget annuel'!$L$14:$L$43,COLUMN()-COLUMN($X$42)+1)))*12+MONTH($L49)-MONTH(INDEX('1 Budget annuel'!$L$14:$L$43,COLUMN()-COLUMN($X$42)+1)),12)=0,DAY($L49)=MIN(DAY(INDEX('1 Budget annuel'!$L$14:$L$43,COLUMN()-COLUMN($X$42)+1)),DAY(EOMONTH($L49,0))))),IF(INDEX('1 Budget annuel'!$B$14:$B$43,COLUMN()-COLUMN($X$42)+1)="Entrée",INDEX('1 Budget annuel'!$I$14:$I$43,COLUMN()-COLUMN($X$42)+1),-INDEX('1 Budget annuel'!$I$14:$I$43,COLUMN()-COLUMN($X$42)+1)),0))</x:f>
        <x:v>0</x:v>
      </x:c>
    </x:row>
    <x:row r="50">
      <x:c r="L50" s="114" t="n">
        <x:f>L49+1</x:f>
        <x:v>46244</x:v>
      </x:c>
      <x:c r="M50" s="115" t="b">
        <x:f>AND(L50&gt;=$D$5,L50&lt;=$D$5+363,MOD(L50-$D$5,7)=0)</x:f>
        <x:v>0</x:v>
      </x:c>
      <x:c r="N50" s="116" t="n">
        <x:f>SUM(X50:BA50)</x:f>
        <x:v>0</x:v>
      </x:c>
      <x:c r="O50" s="116" t="n">
        <x:f>IF(M50,$D$10,0)</x:f>
        <x:v>0</x:v>
      </x:c>
      <x:c r="P50" s="116" t="n">
        <x:f>N50-O50</x:f>
        <x:v>0</x:v>
      </x:c>
      <x:c r="Q50" s="116" t="n">
        <x:f>IF(L50&lt;$D$5,0,IF(L50=$D$5,P50,Q49+P50))</x:f>
        <x:v>0</x:v>
      </x:c>
      <x:c r="R50" s="116" t="n">
        <x:f>IF(L50&lt;$D$5,"",$J$10+Q50)</x:f>
        <x:v>0</x:v>
      </x:c>
      <x:c r="S50" s="116" t="n">
        <x:f>IF($L50&lt;$D$5,"",IF($L50=$D$5,$J$10+$N50-IF($M50,IF(INT(($L50-$D$5)/7)&lt;$A$20,$B$20,$D$10),0),S49+$N50-IF($M50,IF(INT(($L50-$D$5)/7)&lt;$A$20,$B$20,$D$10),0)))</x:f>
        <x:v>0</x:v>
      </x:c>
      <x:c r="T50" s="116" t="n">
        <x:f>IF($L50&lt;$D$5,"",IF($L50=$D$5,$J$10+$N50-IF($M50,IF(INT(($L50-$D$5)/7)&lt;$A$21,$B$21,$D$10),0),T49+$N50-IF($M50,IF(INT(($L50-$D$5)/7)&lt;$A$21,$B$21,$D$10),0)))</x:f>
        <x:v>0</x:v>
      </x:c>
      <x:c r="U50" s="116" t="n">
        <x:f>IF($L50&lt;$D$5,"",IF($L50=$D$5,$J$10+$N50-IF($M50,IF(INT(($L50-$D$5)/7)&lt;$A$22,$B$22,$D$10),0),U49+$N50-IF($M50,IF(INT(($L50-$D$5)/7)&lt;$A$22,$B$22,$D$10),0)))</x:f>
        <x:v>0</x:v>
      </x:c>
      <x:c r="V50" s="116" t="n">
        <x:f>IF($L50&lt;$D$5,"",IF($L50=$D$5,$J$10+$N50-IF($M50,IF(INT(($L50-$D$5)/7)&lt;$A$23,$B$23,$D$10),0),V49+$N50-IF($M50,IF(INT(($L50-$D$5)/7)&lt;$A$23,$B$23,$D$10),0)))</x:f>
        <x:v>0</x:v>
      </x:c>
      <x:c r="W50" s="116" t="n">
        <x:f>IF($L50&lt;$D$5,"",IF($L50=$D$5,$J$10+$N50-IF($M50,IF(INT(($L50-$D$5)/7)&lt;$A$24,$B$24,$D$10),0),W49+$N50-IF($M50,IF(INT(($L50-$D$5)/7)&lt;$A$24,$B$24,$D$10),0)))</x:f>
        <x:v>0</x:v>
      </x:c>
      <x:c r="X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Y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Z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A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B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C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D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E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F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G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H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I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J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K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L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M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N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O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P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Q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R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S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T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U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V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W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X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Y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AZ50" s="116"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c r="BA50" s="117" t="n">
        <x:f>IF(OR(INDEX('1 Budget annuel'!$A$14:$A$43,COLUMN()-COLUMN($X$42)+1)&lt;&gt;"Oui",INDEX('1 Budget annuel'!$L$14:$L$43,COLUMN()-COLUMN($X$42)+1)="",AND(INDEX('1 Budget annuel'!$B$14:$B$43,COLUMN()-COLUMN($X$42)+1)="Sortie",INDEX('1 Budget annuel'!$M$14:$M$43,COLUMN()-COLUMN($X$42)+1)="Oui"),$L50&lt;INDEX('1 Budget annuel'!$L$14:$L$43,COLUMN()-COLUMN($X$42)+1),$L50&gt;$D$5+363),0,IF(OR(AND(INDEX('1 Budget annuel'!$E$14:$E$43,COLUMN()-COLUMN($X$42)+1)="Hebdomadaire",MOD($L50-INDEX('1 Budget annuel'!$L$14:$L$43,COLUMN()-COLUMN($X$42)+1),7)=0),AND(INDEX('1 Budget annuel'!$E$14:$E$43,COLUMN()-COLUMN($X$42)+1)="Toutes les 4 semaines",MOD($L50-INDEX('1 Budget annuel'!$L$14:$L$43,COLUMN()-COLUMN($X$42)+1),28)=0),AND(INDEX('1 Budget annuel'!$E$14:$E$43,COLUMN()-COLUMN($X$42)+1)="Mensuelle",DAY($L50)=MIN(DAY(INDEX('1 Budget annuel'!$L$14:$L$43,COLUMN()-COLUMN($X$42)+1)),DAY(EOMONTH($L50,0)))),AND(INDEX('1 Budget annuel'!$E$14:$E$43,COLUMN()-COLUMN($X$42)+1)="Trimestrielle",MOD((YEAR($L50)-YEAR(INDEX('1 Budget annuel'!$L$14:$L$43,COLUMN()-COLUMN($X$42)+1)))*12+MONTH($L50)-MONTH(INDEX('1 Budget annuel'!$L$14:$L$43,COLUMN()-COLUMN($X$42)+1)),3)=0,DAY($L50)=MIN(DAY(INDEX('1 Budget annuel'!$L$14:$L$43,COLUMN()-COLUMN($X$42)+1)),DAY(EOMONTH($L50,0)))),AND(INDEX('1 Budget annuel'!$E$14:$E$43,COLUMN()-COLUMN($X$42)+1)="Semestrielle",MOD((YEAR($L50)-YEAR(INDEX('1 Budget annuel'!$L$14:$L$43,COLUMN()-COLUMN($X$42)+1)))*12+MONTH($L50)-MONTH(INDEX('1 Budget annuel'!$L$14:$L$43,COLUMN()-COLUMN($X$42)+1)),6)=0,DAY($L50)=MIN(DAY(INDEX('1 Budget annuel'!$L$14:$L$43,COLUMN()-COLUMN($X$42)+1)),DAY(EOMONTH($L50,0)))),AND(INDEX('1 Budget annuel'!$E$14:$E$43,COLUMN()-COLUMN($X$42)+1)="Annuelle",MOD((YEAR($L50)-YEAR(INDEX('1 Budget annuel'!$L$14:$L$43,COLUMN()-COLUMN($X$42)+1)))*12+MONTH($L50)-MONTH(INDEX('1 Budget annuel'!$L$14:$L$43,COLUMN()-COLUMN($X$42)+1)),12)=0,DAY($L50)=MIN(DAY(INDEX('1 Budget annuel'!$L$14:$L$43,COLUMN()-COLUMN($X$42)+1)),DAY(EOMONTH($L50,0))))),IF(INDEX('1 Budget annuel'!$B$14:$B$43,COLUMN()-COLUMN($X$42)+1)="Entrée",INDEX('1 Budget annuel'!$I$14:$I$43,COLUMN()-COLUMN($X$42)+1),-INDEX('1 Budget annuel'!$I$14:$I$43,COLUMN()-COLUMN($X$42)+1)),0))</x:f>
        <x:v>0</x:v>
      </x:c>
    </x:row>
    <x:row r="51">
      <x:c r="L51" s="114" t="n">
        <x:f>L50+1</x:f>
        <x:v>46245</x:v>
      </x:c>
      <x:c r="M51" s="115" t="b">
        <x:f>AND(L51&gt;=$D$5,L51&lt;=$D$5+363,MOD(L51-$D$5,7)=0)</x:f>
        <x:v>0</x:v>
      </x:c>
      <x:c r="N51" s="116" t="n">
        <x:f>SUM(X51:BA51)</x:f>
        <x:v>0</x:v>
      </x:c>
      <x:c r="O51" s="116" t="n">
        <x:f>IF(M51,$D$10,0)</x:f>
        <x:v>0</x:v>
      </x:c>
      <x:c r="P51" s="116" t="n">
        <x:f>N51-O51</x:f>
        <x:v>0</x:v>
      </x:c>
      <x:c r="Q51" s="116" t="n">
        <x:f>IF(L51&lt;$D$5,0,IF(L51=$D$5,P51,Q50+P51))</x:f>
        <x:v>0</x:v>
      </x:c>
      <x:c r="R51" s="116" t="n">
        <x:f>IF(L51&lt;$D$5,"",$J$10+Q51)</x:f>
        <x:v>0</x:v>
      </x:c>
      <x:c r="S51" s="116" t="n">
        <x:f>IF($L51&lt;$D$5,"",IF($L51=$D$5,$J$10+$N51-IF($M51,IF(INT(($L51-$D$5)/7)&lt;$A$20,$B$20,$D$10),0),S50+$N51-IF($M51,IF(INT(($L51-$D$5)/7)&lt;$A$20,$B$20,$D$10),0)))</x:f>
        <x:v>0</x:v>
      </x:c>
      <x:c r="T51" s="116" t="n">
        <x:f>IF($L51&lt;$D$5,"",IF($L51=$D$5,$J$10+$N51-IF($M51,IF(INT(($L51-$D$5)/7)&lt;$A$21,$B$21,$D$10),0),T50+$N51-IF($M51,IF(INT(($L51-$D$5)/7)&lt;$A$21,$B$21,$D$10),0)))</x:f>
        <x:v>0</x:v>
      </x:c>
      <x:c r="U51" s="116" t="n">
        <x:f>IF($L51&lt;$D$5,"",IF($L51=$D$5,$J$10+$N51-IF($M51,IF(INT(($L51-$D$5)/7)&lt;$A$22,$B$22,$D$10),0),U50+$N51-IF($M51,IF(INT(($L51-$D$5)/7)&lt;$A$22,$B$22,$D$10),0)))</x:f>
        <x:v>0</x:v>
      </x:c>
      <x:c r="V51" s="116" t="n">
        <x:f>IF($L51&lt;$D$5,"",IF($L51=$D$5,$J$10+$N51-IF($M51,IF(INT(($L51-$D$5)/7)&lt;$A$23,$B$23,$D$10),0),V50+$N51-IF($M51,IF(INT(($L51-$D$5)/7)&lt;$A$23,$B$23,$D$10),0)))</x:f>
        <x:v>0</x:v>
      </x:c>
      <x:c r="W51" s="116" t="n">
        <x:f>IF($L51&lt;$D$5,"",IF($L51=$D$5,$J$10+$N51-IF($M51,IF(INT(($L51-$D$5)/7)&lt;$A$24,$B$24,$D$10),0),W50+$N51-IF($M51,IF(INT(($L51-$D$5)/7)&lt;$A$24,$B$24,$D$10),0)))</x:f>
        <x:v>0</x:v>
      </x:c>
      <x:c r="X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Y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Z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A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B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C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D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E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F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G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H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I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J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K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L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M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N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O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P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Q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R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S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T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U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V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W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X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Y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AZ51" s="116"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c r="BA51" s="117" t="n">
        <x:f>IF(OR(INDEX('1 Budget annuel'!$A$14:$A$43,COLUMN()-COLUMN($X$42)+1)&lt;&gt;"Oui",INDEX('1 Budget annuel'!$L$14:$L$43,COLUMN()-COLUMN($X$42)+1)="",AND(INDEX('1 Budget annuel'!$B$14:$B$43,COLUMN()-COLUMN($X$42)+1)="Sortie",INDEX('1 Budget annuel'!$M$14:$M$43,COLUMN()-COLUMN($X$42)+1)="Oui"),$L51&lt;INDEX('1 Budget annuel'!$L$14:$L$43,COLUMN()-COLUMN($X$42)+1),$L51&gt;$D$5+363),0,IF(OR(AND(INDEX('1 Budget annuel'!$E$14:$E$43,COLUMN()-COLUMN($X$42)+1)="Hebdomadaire",MOD($L51-INDEX('1 Budget annuel'!$L$14:$L$43,COLUMN()-COLUMN($X$42)+1),7)=0),AND(INDEX('1 Budget annuel'!$E$14:$E$43,COLUMN()-COLUMN($X$42)+1)="Toutes les 4 semaines",MOD($L51-INDEX('1 Budget annuel'!$L$14:$L$43,COLUMN()-COLUMN($X$42)+1),28)=0),AND(INDEX('1 Budget annuel'!$E$14:$E$43,COLUMN()-COLUMN($X$42)+1)="Mensuelle",DAY($L51)=MIN(DAY(INDEX('1 Budget annuel'!$L$14:$L$43,COLUMN()-COLUMN($X$42)+1)),DAY(EOMONTH($L51,0)))),AND(INDEX('1 Budget annuel'!$E$14:$E$43,COLUMN()-COLUMN($X$42)+1)="Trimestrielle",MOD((YEAR($L51)-YEAR(INDEX('1 Budget annuel'!$L$14:$L$43,COLUMN()-COLUMN($X$42)+1)))*12+MONTH($L51)-MONTH(INDEX('1 Budget annuel'!$L$14:$L$43,COLUMN()-COLUMN($X$42)+1)),3)=0,DAY($L51)=MIN(DAY(INDEX('1 Budget annuel'!$L$14:$L$43,COLUMN()-COLUMN($X$42)+1)),DAY(EOMONTH($L51,0)))),AND(INDEX('1 Budget annuel'!$E$14:$E$43,COLUMN()-COLUMN($X$42)+1)="Semestrielle",MOD((YEAR($L51)-YEAR(INDEX('1 Budget annuel'!$L$14:$L$43,COLUMN()-COLUMN($X$42)+1)))*12+MONTH($L51)-MONTH(INDEX('1 Budget annuel'!$L$14:$L$43,COLUMN()-COLUMN($X$42)+1)),6)=0,DAY($L51)=MIN(DAY(INDEX('1 Budget annuel'!$L$14:$L$43,COLUMN()-COLUMN($X$42)+1)),DAY(EOMONTH($L51,0)))),AND(INDEX('1 Budget annuel'!$E$14:$E$43,COLUMN()-COLUMN($X$42)+1)="Annuelle",MOD((YEAR($L51)-YEAR(INDEX('1 Budget annuel'!$L$14:$L$43,COLUMN()-COLUMN($X$42)+1)))*12+MONTH($L51)-MONTH(INDEX('1 Budget annuel'!$L$14:$L$43,COLUMN()-COLUMN($X$42)+1)),12)=0,DAY($L51)=MIN(DAY(INDEX('1 Budget annuel'!$L$14:$L$43,COLUMN()-COLUMN($X$42)+1)),DAY(EOMONTH($L51,0))))),IF(INDEX('1 Budget annuel'!$B$14:$B$43,COLUMN()-COLUMN($X$42)+1)="Entrée",INDEX('1 Budget annuel'!$I$14:$I$43,COLUMN()-COLUMN($X$42)+1),-INDEX('1 Budget annuel'!$I$14:$I$43,COLUMN()-COLUMN($X$42)+1)),0))</x:f>
        <x:v>0</x:v>
      </x:c>
    </x:row>
    <x:row r="52">
      <x:c r="L52" s="114" t="n">
        <x:f>L51+1</x:f>
        <x:v>46246</x:v>
      </x:c>
      <x:c r="M52" s="115" t="b">
        <x:f>AND(L52&gt;=$D$5,L52&lt;=$D$5+363,MOD(L52-$D$5,7)=0)</x:f>
        <x:v>0</x:v>
      </x:c>
      <x:c r="N52" s="116" t="n">
        <x:f>SUM(X52:BA52)</x:f>
        <x:v>0</x:v>
      </x:c>
      <x:c r="O52" s="116" t="n">
        <x:f>IF(M52,$D$10,0)</x:f>
        <x:v>0</x:v>
      </x:c>
      <x:c r="P52" s="116" t="n">
        <x:f>N52-O52</x:f>
        <x:v>0</x:v>
      </x:c>
      <x:c r="Q52" s="116" t="n">
        <x:f>IF(L52&lt;$D$5,0,IF(L52=$D$5,P52,Q51+P52))</x:f>
        <x:v>0</x:v>
      </x:c>
      <x:c r="R52" s="116" t="n">
        <x:f>IF(L52&lt;$D$5,"",$J$10+Q52)</x:f>
        <x:v>0</x:v>
      </x:c>
      <x:c r="S52" s="116" t="n">
        <x:f>IF($L52&lt;$D$5,"",IF($L52=$D$5,$J$10+$N52-IF($M52,IF(INT(($L52-$D$5)/7)&lt;$A$20,$B$20,$D$10),0),S51+$N52-IF($M52,IF(INT(($L52-$D$5)/7)&lt;$A$20,$B$20,$D$10),0)))</x:f>
        <x:v>0</x:v>
      </x:c>
      <x:c r="T52" s="116" t="n">
        <x:f>IF($L52&lt;$D$5,"",IF($L52=$D$5,$J$10+$N52-IF($M52,IF(INT(($L52-$D$5)/7)&lt;$A$21,$B$21,$D$10),0),T51+$N52-IF($M52,IF(INT(($L52-$D$5)/7)&lt;$A$21,$B$21,$D$10),0)))</x:f>
        <x:v>0</x:v>
      </x:c>
      <x:c r="U52" s="116" t="n">
        <x:f>IF($L52&lt;$D$5,"",IF($L52=$D$5,$J$10+$N52-IF($M52,IF(INT(($L52-$D$5)/7)&lt;$A$22,$B$22,$D$10),0),U51+$N52-IF($M52,IF(INT(($L52-$D$5)/7)&lt;$A$22,$B$22,$D$10),0)))</x:f>
        <x:v>0</x:v>
      </x:c>
      <x:c r="V52" s="116" t="n">
        <x:f>IF($L52&lt;$D$5,"",IF($L52=$D$5,$J$10+$N52-IF($M52,IF(INT(($L52-$D$5)/7)&lt;$A$23,$B$23,$D$10),0),V51+$N52-IF($M52,IF(INT(($L52-$D$5)/7)&lt;$A$23,$B$23,$D$10),0)))</x:f>
        <x:v>0</x:v>
      </x:c>
      <x:c r="W52" s="116" t="n">
        <x:f>IF($L52&lt;$D$5,"",IF($L52=$D$5,$J$10+$N52-IF($M52,IF(INT(($L52-$D$5)/7)&lt;$A$24,$B$24,$D$10),0),W51+$N52-IF($M52,IF(INT(($L52-$D$5)/7)&lt;$A$24,$B$24,$D$10),0)))</x:f>
        <x:v>0</x:v>
      </x:c>
      <x:c r="X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Y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Z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A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B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C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D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E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F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G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H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I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J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K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L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M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N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O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P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Q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R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S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T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U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V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W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X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Y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AZ52" s="116"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c r="BA52" s="117" t="n">
        <x:f>IF(OR(INDEX('1 Budget annuel'!$A$14:$A$43,COLUMN()-COLUMN($X$42)+1)&lt;&gt;"Oui",INDEX('1 Budget annuel'!$L$14:$L$43,COLUMN()-COLUMN($X$42)+1)="",AND(INDEX('1 Budget annuel'!$B$14:$B$43,COLUMN()-COLUMN($X$42)+1)="Sortie",INDEX('1 Budget annuel'!$M$14:$M$43,COLUMN()-COLUMN($X$42)+1)="Oui"),$L52&lt;INDEX('1 Budget annuel'!$L$14:$L$43,COLUMN()-COLUMN($X$42)+1),$L52&gt;$D$5+363),0,IF(OR(AND(INDEX('1 Budget annuel'!$E$14:$E$43,COLUMN()-COLUMN($X$42)+1)="Hebdomadaire",MOD($L52-INDEX('1 Budget annuel'!$L$14:$L$43,COLUMN()-COLUMN($X$42)+1),7)=0),AND(INDEX('1 Budget annuel'!$E$14:$E$43,COLUMN()-COLUMN($X$42)+1)="Toutes les 4 semaines",MOD($L52-INDEX('1 Budget annuel'!$L$14:$L$43,COLUMN()-COLUMN($X$42)+1),28)=0),AND(INDEX('1 Budget annuel'!$E$14:$E$43,COLUMN()-COLUMN($X$42)+1)="Mensuelle",DAY($L52)=MIN(DAY(INDEX('1 Budget annuel'!$L$14:$L$43,COLUMN()-COLUMN($X$42)+1)),DAY(EOMONTH($L52,0)))),AND(INDEX('1 Budget annuel'!$E$14:$E$43,COLUMN()-COLUMN($X$42)+1)="Trimestrielle",MOD((YEAR($L52)-YEAR(INDEX('1 Budget annuel'!$L$14:$L$43,COLUMN()-COLUMN($X$42)+1)))*12+MONTH($L52)-MONTH(INDEX('1 Budget annuel'!$L$14:$L$43,COLUMN()-COLUMN($X$42)+1)),3)=0,DAY($L52)=MIN(DAY(INDEX('1 Budget annuel'!$L$14:$L$43,COLUMN()-COLUMN($X$42)+1)),DAY(EOMONTH($L52,0)))),AND(INDEX('1 Budget annuel'!$E$14:$E$43,COLUMN()-COLUMN($X$42)+1)="Semestrielle",MOD((YEAR($L52)-YEAR(INDEX('1 Budget annuel'!$L$14:$L$43,COLUMN()-COLUMN($X$42)+1)))*12+MONTH($L52)-MONTH(INDEX('1 Budget annuel'!$L$14:$L$43,COLUMN()-COLUMN($X$42)+1)),6)=0,DAY($L52)=MIN(DAY(INDEX('1 Budget annuel'!$L$14:$L$43,COLUMN()-COLUMN($X$42)+1)),DAY(EOMONTH($L52,0)))),AND(INDEX('1 Budget annuel'!$E$14:$E$43,COLUMN()-COLUMN($X$42)+1)="Annuelle",MOD((YEAR($L52)-YEAR(INDEX('1 Budget annuel'!$L$14:$L$43,COLUMN()-COLUMN($X$42)+1)))*12+MONTH($L52)-MONTH(INDEX('1 Budget annuel'!$L$14:$L$43,COLUMN()-COLUMN($X$42)+1)),12)=0,DAY($L52)=MIN(DAY(INDEX('1 Budget annuel'!$L$14:$L$43,COLUMN()-COLUMN($X$42)+1)),DAY(EOMONTH($L52,0))))),IF(INDEX('1 Budget annuel'!$B$14:$B$43,COLUMN()-COLUMN($X$42)+1)="Entrée",INDEX('1 Budget annuel'!$I$14:$I$43,COLUMN()-COLUMN($X$42)+1),-INDEX('1 Budget annuel'!$I$14:$I$43,COLUMN()-COLUMN($X$42)+1)),0))</x:f>
        <x:v>0</x:v>
      </x:c>
    </x:row>
    <x:row r="53">
      <x:c r="L53" s="114" t="n">
        <x:f>L52+1</x:f>
        <x:v>46247</x:v>
      </x:c>
      <x:c r="M53" s="115" t="b">
        <x:f>AND(L53&gt;=$D$5,L53&lt;=$D$5+363,MOD(L53-$D$5,7)=0)</x:f>
        <x:v>0</x:v>
      </x:c>
      <x:c r="N53" s="116" t="n">
        <x:f>SUM(X53:BA53)</x:f>
        <x:v>0</x:v>
      </x:c>
      <x:c r="O53" s="116" t="n">
        <x:f>IF(M53,$D$10,0)</x:f>
        <x:v>0</x:v>
      </x:c>
      <x:c r="P53" s="116" t="n">
        <x:f>N53-O53</x:f>
        <x:v>0</x:v>
      </x:c>
      <x:c r="Q53" s="116" t="n">
        <x:f>IF(L53&lt;$D$5,0,IF(L53=$D$5,P53,Q52+P53))</x:f>
        <x:v>0</x:v>
      </x:c>
      <x:c r="R53" s="116" t="n">
        <x:f>IF(L53&lt;$D$5,"",$J$10+Q53)</x:f>
        <x:v>0</x:v>
      </x:c>
      <x:c r="S53" s="116" t="n">
        <x:f>IF($L53&lt;$D$5,"",IF($L53=$D$5,$J$10+$N53-IF($M53,IF(INT(($L53-$D$5)/7)&lt;$A$20,$B$20,$D$10),0),S52+$N53-IF($M53,IF(INT(($L53-$D$5)/7)&lt;$A$20,$B$20,$D$10),0)))</x:f>
        <x:v>0</x:v>
      </x:c>
      <x:c r="T53" s="116" t="n">
        <x:f>IF($L53&lt;$D$5,"",IF($L53=$D$5,$J$10+$N53-IF($M53,IF(INT(($L53-$D$5)/7)&lt;$A$21,$B$21,$D$10),0),T52+$N53-IF($M53,IF(INT(($L53-$D$5)/7)&lt;$A$21,$B$21,$D$10),0)))</x:f>
        <x:v>0</x:v>
      </x:c>
      <x:c r="U53" s="116" t="n">
        <x:f>IF($L53&lt;$D$5,"",IF($L53=$D$5,$J$10+$N53-IF($M53,IF(INT(($L53-$D$5)/7)&lt;$A$22,$B$22,$D$10),0),U52+$N53-IF($M53,IF(INT(($L53-$D$5)/7)&lt;$A$22,$B$22,$D$10),0)))</x:f>
        <x:v>0</x:v>
      </x:c>
      <x:c r="V53" s="116" t="n">
        <x:f>IF($L53&lt;$D$5,"",IF($L53=$D$5,$J$10+$N53-IF($M53,IF(INT(($L53-$D$5)/7)&lt;$A$23,$B$23,$D$10),0),V52+$N53-IF($M53,IF(INT(($L53-$D$5)/7)&lt;$A$23,$B$23,$D$10),0)))</x:f>
        <x:v>0</x:v>
      </x:c>
      <x:c r="W53" s="116" t="n">
        <x:f>IF($L53&lt;$D$5,"",IF($L53=$D$5,$J$10+$N53-IF($M53,IF(INT(($L53-$D$5)/7)&lt;$A$24,$B$24,$D$10),0),W52+$N53-IF($M53,IF(INT(($L53-$D$5)/7)&lt;$A$24,$B$24,$D$10),0)))</x:f>
        <x:v>0</x:v>
      </x:c>
      <x:c r="X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Y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Z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A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B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C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D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E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F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G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H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I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J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K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L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M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N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O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P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Q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R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S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T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U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V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W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X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Y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AZ53" s="116"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c r="BA53" s="117" t="n">
        <x:f>IF(OR(INDEX('1 Budget annuel'!$A$14:$A$43,COLUMN()-COLUMN($X$42)+1)&lt;&gt;"Oui",INDEX('1 Budget annuel'!$L$14:$L$43,COLUMN()-COLUMN($X$42)+1)="",AND(INDEX('1 Budget annuel'!$B$14:$B$43,COLUMN()-COLUMN($X$42)+1)="Sortie",INDEX('1 Budget annuel'!$M$14:$M$43,COLUMN()-COLUMN($X$42)+1)="Oui"),$L53&lt;INDEX('1 Budget annuel'!$L$14:$L$43,COLUMN()-COLUMN($X$42)+1),$L53&gt;$D$5+363),0,IF(OR(AND(INDEX('1 Budget annuel'!$E$14:$E$43,COLUMN()-COLUMN($X$42)+1)="Hebdomadaire",MOD($L53-INDEX('1 Budget annuel'!$L$14:$L$43,COLUMN()-COLUMN($X$42)+1),7)=0),AND(INDEX('1 Budget annuel'!$E$14:$E$43,COLUMN()-COLUMN($X$42)+1)="Toutes les 4 semaines",MOD($L53-INDEX('1 Budget annuel'!$L$14:$L$43,COLUMN()-COLUMN($X$42)+1),28)=0),AND(INDEX('1 Budget annuel'!$E$14:$E$43,COLUMN()-COLUMN($X$42)+1)="Mensuelle",DAY($L53)=MIN(DAY(INDEX('1 Budget annuel'!$L$14:$L$43,COLUMN()-COLUMN($X$42)+1)),DAY(EOMONTH($L53,0)))),AND(INDEX('1 Budget annuel'!$E$14:$E$43,COLUMN()-COLUMN($X$42)+1)="Trimestrielle",MOD((YEAR($L53)-YEAR(INDEX('1 Budget annuel'!$L$14:$L$43,COLUMN()-COLUMN($X$42)+1)))*12+MONTH($L53)-MONTH(INDEX('1 Budget annuel'!$L$14:$L$43,COLUMN()-COLUMN($X$42)+1)),3)=0,DAY($L53)=MIN(DAY(INDEX('1 Budget annuel'!$L$14:$L$43,COLUMN()-COLUMN($X$42)+1)),DAY(EOMONTH($L53,0)))),AND(INDEX('1 Budget annuel'!$E$14:$E$43,COLUMN()-COLUMN($X$42)+1)="Semestrielle",MOD((YEAR($L53)-YEAR(INDEX('1 Budget annuel'!$L$14:$L$43,COLUMN()-COLUMN($X$42)+1)))*12+MONTH($L53)-MONTH(INDEX('1 Budget annuel'!$L$14:$L$43,COLUMN()-COLUMN($X$42)+1)),6)=0,DAY($L53)=MIN(DAY(INDEX('1 Budget annuel'!$L$14:$L$43,COLUMN()-COLUMN($X$42)+1)),DAY(EOMONTH($L53,0)))),AND(INDEX('1 Budget annuel'!$E$14:$E$43,COLUMN()-COLUMN($X$42)+1)="Annuelle",MOD((YEAR($L53)-YEAR(INDEX('1 Budget annuel'!$L$14:$L$43,COLUMN()-COLUMN($X$42)+1)))*12+MONTH($L53)-MONTH(INDEX('1 Budget annuel'!$L$14:$L$43,COLUMN()-COLUMN($X$42)+1)),12)=0,DAY($L53)=MIN(DAY(INDEX('1 Budget annuel'!$L$14:$L$43,COLUMN()-COLUMN($X$42)+1)),DAY(EOMONTH($L53,0))))),IF(INDEX('1 Budget annuel'!$B$14:$B$43,COLUMN()-COLUMN($X$42)+1)="Entrée",INDEX('1 Budget annuel'!$I$14:$I$43,COLUMN()-COLUMN($X$42)+1),-INDEX('1 Budget annuel'!$I$14:$I$43,COLUMN()-COLUMN($X$42)+1)),0))</x:f>
        <x:v>0</x:v>
      </x:c>
    </x:row>
    <x:row r="54">
      <x:c r="L54" s="114" t="n">
        <x:f>L53+1</x:f>
        <x:v>46248</x:v>
      </x:c>
      <x:c r="M54" s="115" t="b">
        <x:f>AND(L54&gt;=$D$5,L54&lt;=$D$5+363,MOD(L54-$D$5,7)=0)</x:f>
        <x:v>0</x:v>
      </x:c>
      <x:c r="N54" s="116" t="n">
        <x:f>SUM(X54:BA54)</x:f>
        <x:v>0</x:v>
      </x:c>
      <x:c r="O54" s="116" t="n">
        <x:f>IF(M54,$D$10,0)</x:f>
        <x:v>0</x:v>
      </x:c>
      <x:c r="P54" s="116" t="n">
        <x:f>N54-O54</x:f>
        <x:v>0</x:v>
      </x:c>
      <x:c r="Q54" s="116" t="n">
        <x:f>IF(L54&lt;$D$5,0,IF(L54=$D$5,P54,Q53+P54))</x:f>
        <x:v>0</x:v>
      </x:c>
      <x:c r="R54" s="116" t="n">
        <x:f>IF(L54&lt;$D$5,"",$J$10+Q54)</x:f>
        <x:v>0</x:v>
      </x:c>
      <x:c r="S54" s="116" t="n">
        <x:f>IF($L54&lt;$D$5,"",IF($L54=$D$5,$J$10+$N54-IF($M54,IF(INT(($L54-$D$5)/7)&lt;$A$20,$B$20,$D$10),0),S53+$N54-IF($M54,IF(INT(($L54-$D$5)/7)&lt;$A$20,$B$20,$D$10),0)))</x:f>
        <x:v>0</x:v>
      </x:c>
      <x:c r="T54" s="116" t="n">
        <x:f>IF($L54&lt;$D$5,"",IF($L54=$D$5,$J$10+$N54-IF($M54,IF(INT(($L54-$D$5)/7)&lt;$A$21,$B$21,$D$10),0),T53+$N54-IF($M54,IF(INT(($L54-$D$5)/7)&lt;$A$21,$B$21,$D$10),0)))</x:f>
        <x:v>0</x:v>
      </x:c>
      <x:c r="U54" s="116" t="n">
        <x:f>IF($L54&lt;$D$5,"",IF($L54=$D$5,$J$10+$N54-IF($M54,IF(INT(($L54-$D$5)/7)&lt;$A$22,$B$22,$D$10),0),U53+$N54-IF($M54,IF(INT(($L54-$D$5)/7)&lt;$A$22,$B$22,$D$10),0)))</x:f>
        <x:v>0</x:v>
      </x:c>
      <x:c r="V54" s="116" t="n">
        <x:f>IF($L54&lt;$D$5,"",IF($L54=$D$5,$J$10+$N54-IF($M54,IF(INT(($L54-$D$5)/7)&lt;$A$23,$B$23,$D$10),0),V53+$N54-IF($M54,IF(INT(($L54-$D$5)/7)&lt;$A$23,$B$23,$D$10),0)))</x:f>
        <x:v>0</x:v>
      </x:c>
      <x:c r="W54" s="116" t="n">
        <x:f>IF($L54&lt;$D$5,"",IF($L54=$D$5,$J$10+$N54-IF($M54,IF(INT(($L54-$D$5)/7)&lt;$A$24,$B$24,$D$10),0),W53+$N54-IF($M54,IF(INT(($L54-$D$5)/7)&lt;$A$24,$B$24,$D$10),0)))</x:f>
        <x:v>0</x:v>
      </x:c>
      <x:c r="X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Y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Z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A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B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C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D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E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F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G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H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I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J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K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L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M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N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O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P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Q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R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S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T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U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V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W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X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Y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AZ54" s="116"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c r="BA54" s="117" t="n">
        <x:f>IF(OR(INDEX('1 Budget annuel'!$A$14:$A$43,COLUMN()-COLUMN($X$42)+1)&lt;&gt;"Oui",INDEX('1 Budget annuel'!$L$14:$L$43,COLUMN()-COLUMN($X$42)+1)="",AND(INDEX('1 Budget annuel'!$B$14:$B$43,COLUMN()-COLUMN($X$42)+1)="Sortie",INDEX('1 Budget annuel'!$M$14:$M$43,COLUMN()-COLUMN($X$42)+1)="Oui"),$L54&lt;INDEX('1 Budget annuel'!$L$14:$L$43,COLUMN()-COLUMN($X$42)+1),$L54&gt;$D$5+363),0,IF(OR(AND(INDEX('1 Budget annuel'!$E$14:$E$43,COLUMN()-COLUMN($X$42)+1)="Hebdomadaire",MOD($L54-INDEX('1 Budget annuel'!$L$14:$L$43,COLUMN()-COLUMN($X$42)+1),7)=0),AND(INDEX('1 Budget annuel'!$E$14:$E$43,COLUMN()-COLUMN($X$42)+1)="Toutes les 4 semaines",MOD($L54-INDEX('1 Budget annuel'!$L$14:$L$43,COLUMN()-COLUMN($X$42)+1),28)=0),AND(INDEX('1 Budget annuel'!$E$14:$E$43,COLUMN()-COLUMN($X$42)+1)="Mensuelle",DAY($L54)=MIN(DAY(INDEX('1 Budget annuel'!$L$14:$L$43,COLUMN()-COLUMN($X$42)+1)),DAY(EOMONTH($L54,0)))),AND(INDEX('1 Budget annuel'!$E$14:$E$43,COLUMN()-COLUMN($X$42)+1)="Trimestrielle",MOD((YEAR($L54)-YEAR(INDEX('1 Budget annuel'!$L$14:$L$43,COLUMN()-COLUMN($X$42)+1)))*12+MONTH($L54)-MONTH(INDEX('1 Budget annuel'!$L$14:$L$43,COLUMN()-COLUMN($X$42)+1)),3)=0,DAY($L54)=MIN(DAY(INDEX('1 Budget annuel'!$L$14:$L$43,COLUMN()-COLUMN($X$42)+1)),DAY(EOMONTH($L54,0)))),AND(INDEX('1 Budget annuel'!$E$14:$E$43,COLUMN()-COLUMN($X$42)+1)="Semestrielle",MOD((YEAR($L54)-YEAR(INDEX('1 Budget annuel'!$L$14:$L$43,COLUMN()-COLUMN($X$42)+1)))*12+MONTH($L54)-MONTH(INDEX('1 Budget annuel'!$L$14:$L$43,COLUMN()-COLUMN($X$42)+1)),6)=0,DAY($L54)=MIN(DAY(INDEX('1 Budget annuel'!$L$14:$L$43,COLUMN()-COLUMN($X$42)+1)),DAY(EOMONTH($L54,0)))),AND(INDEX('1 Budget annuel'!$E$14:$E$43,COLUMN()-COLUMN($X$42)+1)="Annuelle",MOD((YEAR($L54)-YEAR(INDEX('1 Budget annuel'!$L$14:$L$43,COLUMN()-COLUMN($X$42)+1)))*12+MONTH($L54)-MONTH(INDEX('1 Budget annuel'!$L$14:$L$43,COLUMN()-COLUMN($X$42)+1)),12)=0,DAY($L54)=MIN(DAY(INDEX('1 Budget annuel'!$L$14:$L$43,COLUMN()-COLUMN($X$42)+1)),DAY(EOMONTH($L54,0))))),IF(INDEX('1 Budget annuel'!$B$14:$B$43,COLUMN()-COLUMN($X$42)+1)="Entrée",INDEX('1 Budget annuel'!$I$14:$I$43,COLUMN()-COLUMN($X$42)+1),-INDEX('1 Budget annuel'!$I$14:$I$43,COLUMN()-COLUMN($X$42)+1)),0))</x:f>
        <x:v>0</x:v>
      </x:c>
    </x:row>
    <x:row r="55">
      <x:c r="L55" s="114" t="n">
        <x:f>L54+1</x:f>
        <x:v>46249</x:v>
      </x:c>
      <x:c r="M55" s="115" t="b">
        <x:f>AND(L55&gt;=$D$5,L55&lt;=$D$5+363,MOD(L55-$D$5,7)=0)</x:f>
        <x:v>1</x:v>
      </x:c>
      <x:c r="N55" s="116" t="n">
        <x:f>SUM(X55:BA55)</x:f>
        <x:v>0</x:v>
      </x:c>
      <x:c r="O55" s="116" t="n">
        <x:f>IF(M55,$D$10,0)</x:f>
        <x:v>0</x:v>
      </x:c>
      <x:c r="P55" s="116" t="n">
        <x:f>N55-O55</x:f>
        <x:v>0</x:v>
      </x:c>
      <x:c r="Q55" s="116" t="n">
        <x:f>IF(L55&lt;$D$5,0,IF(L55=$D$5,P55,Q54+P55))</x:f>
        <x:v>0</x:v>
      </x:c>
      <x:c r="R55" s="116" t="n">
        <x:f>IF(L55&lt;$D$5,"",$J$10+Q55)</x:f>
        <x:v>0</x:v>
      </x:c>
      <x:c r="S55" s="116" t="n">
        <x:f>IF($L55&lt;$D$5,"",IF($L55=$D$5,$J$10+$N55-IF($M55,IF(INT(($L55-$D$5)/7)&lt;$A$20,$B$20,$D$10),0),S54+$N55-IF($M55,IF(INT(($L55-$D$5)/7)&lt;$A$20,$B$20,$D$10),0)))</x:f>
        <x:v>0</x:v>
      </x:c>
      <x:c r="T55" s="116" t="n">
        <x:f>IF($L55&lt;$D$5,"",IF($L55=$D$5,$J$10+$N55-IF($M55,IF(INT(($L55-$D$5)/7)&lt;$A$21,$B$21,$D$10),0),T54+$N55-IF($M55,IF(INT(($L55-$D$5)/7)&lt;$A$21,$B$21,$D$10),0)))</x:f>
        <x:v>0</x:v>
      </x:c>
      <x:c r="U55" s="116" t="n">
        <x:f>IF($L55&lt;$D$5,"",IF($L55=$D$5,$J$10+$N55-IF($M55,IF(INT(($L55-$D$5)/7)&lt;$A$22,$B$22,$D$10),0),U54+$N55-IF($M55,IF(INT(($L55-$D$5)/7)&lt;$A$22,$B$22,$D$10),0)))</x:f>
        <x:v>0</x:v>
      </x:c>
      <x:c r="V55" s="116" t="n">
        <x:f>IF($L55&lt;$D$5,"",IF($L55=$D$5,$J$10+$N55-IF($M55,IF(INT(($L55-$D$5)/7)&lt;$A$23,$B$23,$D$10),0),V54+$N55-IF($M55,IF(INT(($L55-$D$5)/7)&lt;$A$23,$B$23,$D$10),0)))</x:f>
        <x:v>0</x:v>
      </x:c>
      <x:c r="W55" s="116" t="n">
        <x:f>IF($L55&lt;$D$5,"",IF($L55=$D$5,$J$10+$N55-IF($M55,IF(INT(($L55-$D$5)/7)&lt;$A$24,$B$24,$D$10),0),W54+$N55-IF($M55,IF(INT(($L55-$D$5)/7)&lt;$A$24,$B$24,$D$10),0)))</x:f>
        <x:v>0</x:v>
      </x:c>
      <x:c r="X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Y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Z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A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B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C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D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E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F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G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H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I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J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K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L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M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N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O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P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Q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R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S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T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U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V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W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X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Y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AZ55" s="116"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c r="BA55" s="117" t="n">
        <x:f>IF(OR(INDEX('1 Budget annuel'!$A$14:$A$43,COLUMN()-COLUMN($X$42)+1)&lt;&gt;"Oui",INDEX('1 Budget annuel'!$L$14:$L$43,COLUMN()-COLUMN($X$42)+1)="",AND(INDEX('1 Budget annuel'!$B$14:$B$43,COLUMN()-COLUMN($X$42)+1)="Sortie",INDEX('1 Budget annuel'!$M$14:$M$43,COLUMN()-COLUMN($X$42)+1)="Oui"),$L55&lt;INDEX('1 Budget annuel'!$L$14:$L$43,COLUMN()-COLUMN($X$42)+1),$L55&gt;$D$5+363),0,IF(OR(AND(INDEX('1 Budget annuel'!$E$14:$E$43,COLUMN()-COLUMN($X$42)+1)="Hebdomadaire",MOD($L55-INDEX('1 Budget annuel'!$L$14:$L$43,COLUMN()-COLUMN($X$42)+1),7)=0),AND(INDEX('1 Budget annuel'!$E$14:$E$43,COLUMN()-COLUMN($X$42)+1)="Toutes les 4 semaines",MOD($L55-INDEX('1 Budget annuel'!$L$14:$L$43,COLUMN()-COLUMN($X$42)+1),28)=0),AND(INDEX('1 Budget annuel'!$E$14:$E$43,COLUMN()-COLUMN($X$42)+1)="Mensuelle",DAY($L55)=MIN(DAY(INDEX('1 Budget annuel'!$L$14:$L$43,COLUMN()-COLUMN($X$42)+1)),DAY(EOMONTH($L55,0)))),AND(INDEX('1 Budget annuel'!$E$14:$E$43,COLUMN()-COLUMN($X$42)+1)="Trimestrielle",MOD((YEAR($L55)-YEAR(INDEX('1 Budget annuel'!$L$14:$L$43,COLUMN()-COLUMN($X$42)+1)))*12+MONTH($L55)-MONTH(INDEX('1 Budget annuel'!$L$14:$L$43,COLUMN()-COLUMN($X$42)+1)),3)=0,DAY($L55)=MIN(DAY(INDEX('1 Budget annuel'!$L$14:$L$43,COLUMN()-COLUMN($X$42)+1)),DAY(EOMONTH($L55,0)))),AND(INDEX('1 Budget annuel'!$E$14:$E$43,COLUMN()-COLUMN($X$42)+1)="Semestrielle",MOD((YEAR($L55)-YEAR(INDEX('1 Budget annuel'!$L$14:$L$43,COLUMN()-COLUMN($X$42)+1)))*12+MONTH($L55)-MONTH(INDEX('1 Budget annuel'!$L$14:$L$43,COLUMN()-COLUMN($X$42)+1)),6)=0,DAY($L55)=MIN(DAY(INDEX('1 Budget annuel'!$L$14:$L$43,COLUMN()-COLUMN($X$42)+1)),DAY(EOMONTH($L55,0)))),AND(INDEX('1 Budget annuel'!$E$14:$E$43,COLUMN()-COLUMN($X$42)+1)="Annuelle",MOD((YEAR($L55)-YEAR(INDEX('1 Budget annuel'!$L$14:$L$43,COLUMN()-COLUMN($X$42)+1)))*12+MONTH($L55)-MONTH(INDEX('1 Budget annuel'!$L$14:$L$43,COLUMN()-COLUMN($X$42)+1)),12)=0,DAY($L55)=MIN(DAY(INDEX('1 Budget annuel'!$L$14:$L$43,COLUMN()-COLUMN($X$42)+1)),DAY(EOMONTH($L55,0))))),IF(INDEX('1 Budget annuel'!$B$14:$B$43,COLUMN()-COLUMN($X$42)+1)="Entrée",INDEX('1 Budget annuel'!$I$14:$I$43,COLUMN()-COLUMN($X$42)+1),-INDEX('1 Budget annuel'!$I$14:$I$43,COLUMN()-COLUMN($X$42)+1)),0))</x:f>
        <x:v>0</x:v>
      </x:c>
    </x:row>
    <x:row r="56">
      <x:c r="L56" s="114" t="n">
        <x:f>L55+1</x:f>
        <x:v>46250</x:v>
      </x:c>
      <x:c r="M56" s="115" t="b">
        <x:f>AND(L56&gt;=$D$5,L56&lt;=$D$5+363,MOD(L56-$D$5,7)=0)</x:f>
        <x:v>0</x:v>
      </x:c>
      <x:c r="N56" s="116" t="n">
        <x:f>SUM(X56:BA56)</x:f>
        <x:v>0</x:v>
      </x:c>
      <x:c r="O56" s="116" t="n">
        <x:f>IF(M56,$D$10,0)</x:f>
        <x:v>0</x:v>
      </x:c>
      <x:c r="P56" s="116" t="n">
        <x:f>N56-O56</x:f>
        <x:v>0</x:v>
      </x:c>
      <x:c r="Q56" s="116" t="n">
        <x:f>IF(L56&lt;$D$5,0,IF(L56=$D$5,P56,Q55+P56))</x:f>
        <x:v>0</x:v>
      </x:c>
      <x:c r="R56" s="116" t="n">
        <x:f>IF(L56&lt;$D$5,"",$J$10+Q56)</x:f>
        <x:v>0</x:v>
      </x:c>
      <x:c r="S56" s="116" t="n">
        <x:f>IF($L56&lt;$D$5,"",IF($L56=$D$5,$J$10+$N56-IF($M56,IF(INT(($L56-$D$5)/7)&lt;$A$20,$B$20,$D$10),0),S55+$N56-IF($M56,IF(INT(($L56-$D$5)/7)&lt;$A$20,$B$20,$D$10),0)))</x:f>
        <x:v>0</x:v>
      </x:c>
      <x:c r="T56" s="116" t="n">
        <x:f>IF($L56&lt;$D$5,"",IF($L56=$D$5,$J$10+$N56-IF($M56,IF(INT(($L56-$D$5)/7)&lt;$A$21,$B$21,$D$10),0),T55+$N56-IF($M56,IF(INT(($L56-$D$5)/7)&lt;$A$21,$B$21,$D$10),0)))</x:f>
        <x:v>0</x:v>
      </x:c>
      <x:c r="U56" s="116" t="n">
        <x:f>IF($L56&lt;$D$5,"",IF($L56=$D$5,$J$10+$N56-IF($M56,IF(INT(($L56-$D$5)/7)&lt;$A$22,$B$22,$D$10),0),U55+$N56-IF($M56,IF(INT(($L56-$D$5)/7)&lt;$A$22,$B$22,$D$10),0)))</x:f>
        <x:v>0</x:v>
      </x:c>
      <x:c r="V56" s="116" t="n">
        <x:f>IF($L56&lt;$D$5,"",IF($L56=$D$5,$J$10+$N56-IF($M56,IF(INT(($L56-$D$5)/7)&lt;$A$23,$B$23,$D$10),0),V55+$N56-IF($M56,IF(INT(($L56-$D$5)/7)&lt;$A$23,$B$23,$D$10),0)))</x:f>
        <x:v>0</x:v>
      </x:c>
      <x:c r="W56" s="116" t="n">
        <x:f>IF($L56&lt;$D$5,"",IF($L56=$D$5,$J$10+$N56-IF($M56,IF(INT(($L56-$D$5)/7)&lt;$A$24,$B$24,$D$10),0),W55+$N56-IF($M56,IF(INT(($L56-$D$5)/7)&lt;$A$24,$B$24,$D$10),0)))</x:f>
        <x:v>0</x:v>
      </x:c>
      <x:c r="X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Y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Z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A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B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C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D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E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F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G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H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I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J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K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L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M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N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O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P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Q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R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S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T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U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V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W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X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Y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AZ56" s="116"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c r="BA56" s="117" t="n">
        <x:f>IF(OR(INDEX('1 Budget annuel'!$A$14:$A$43,COLUMN()-COLUMN($X$42)+1)&lt;&gt;"Oui",INDEX('1 Budget annuel'!$L$14:$L$43,COLUMN()-COLUMN($X$42)+1)="",AND(INDEX('1 Budget annuel'!$B$14:$B$43,COLUMN()-COLUMN($X$42)+1)="Sortie",INDEX('1 Budget annuel'!$M$14:$M$43,COLUMN()-COLUMN($X$42)+1)="Oui"),$L56&lt;INDEX('1 Budget annuel'!$L$14:$L$43,COLUMN()-COLUMN($X$42)+1),$L56&gt;$D$5+363),0,IF(OR(AND(INDEX('1 Budget annuel'!$E$14:$E$43,COLUMN()-COLUMN($X$42)+1)="Hebdomadaire",MOD($L56-INDEX('1 Budget annuel'!$L$14:$L$43,COLUMN()-COLUMN($X$42)+1),7)=0),AND(INDEX('1 Budget annuel'!$E$14:$E$43,COLUMN()-COLUMN($X$42)+1)="Toutes les 4 semaines",MOD($L56-INDEX('1 Budget annuel'!$L$14:$L$43,COLUMN()-COLUMN($X$42)+1),28)=0),AND(INDEX('1 Budget annuel'!$E$14:$E$43,COLUMN()-COLUMN($X$42)+1)="Mensuelle",DAY($L56)=MIN(DAY(INDEX('1 Budget annuel'!$L$14:$L$43,COLUMN()-COLUMN($X$42)+1)),DAY(EOMONTH($L56,0)))),AND(INDEX('1 Budget annuel'!$E$14:$E$43,COLUMN()-COLUMN($X$42)+1)="Trimestrielle",MOD((YEAR($L56)-YEAR(INDEX('1 Budget annuel'!$L$14:$L$43,COLUMN()-COLUMN($X$42)+1)))*12+MONTH($L56)-MONTH(INDEX('1 Budget annuel'!$L$14:$L$43,COLUMN()-COLUMN($X$42)+1)),3)=0,DAY($L56)=MIN(DAY(INDEX('1 Budget annuel'!$L$14:$L$43,COLUMN()-COLUMN($X$42)+1)),DAY(EOMONTH($L56,0)))),AND(INDEX('1 Budget annuel'!$E$14:$E$43,COLUMN()-COLUMN($X$42)+1)="Semestrielle",MOD((YEAR($L56)-YEAR(INDEX('1 Budget annuel'!$L$14:$L$43,COLUMN()-COLUMN($X$42)+1)))*12+MONTH($L56)-MONTH(INDEX('1 Budget annuel'!$L$14:$L$43,COLUMN()-COLUMN($X$42)+1)),6)=0,DAY($L56)=MIN(DAY(INDEX('1 Budget annuel'!$L$14:$L$43,COLUMN()-COLUMN($X$42)+1)),DAY(EOMONTH($L56,0)))),AND(INDEX('1 Budget annuel'!$E$14:$E$43,COLUMN()-COLUMN($X$42)+1)="Annuelle",MOD((YEAR($L56)-YEAR(INDEX('1 Budget annuel'!$L$14:$L$43,COLUMN()-COLUMN($X$42)+1)))*12+MONTH($L56)-MONTH(INDEX('1 Budget annuel'!$L$14:$L$43,COLUMN()-COLUMN($X$42)+1)),12)=0,DAY($L56)=MIN(DAY(INDEX('1 Budget annuel'!$L$14:$L$43,COLUMN()-COLUMN($X$42)+1)),DAY(EOMONTH($L56,0))))),IF(INDEX('1 Budget annuel'!$B$14:$B$43,COLUMN()-COLUMN($X$42)+1)="Entrée",INDEX('1 Budget annuel'!$I$14:$I$43,COLUMN()-COLUMN($X$42)+1),-INDEX('1 Budget annuel'!$I$14:$I$43,COLUMN()-COLUMN($X$42)+1)),0))</x:f>
        <x:v>0</x:v>
      </x:c>
    </x:row>
    <x:row r="57">
      <x:c r="L57" s="114" t="n">
        <x:f>L56+1</x:f>
        <x:v>46251</x:v>
      </x:c>
      <x:c r="M57" s="115" t="b">
        <x:f>AND(L57&gt;=$D$5,L57&lt;=$D$5+363,MOD(L57-$D$5,7)=0)</x:f>
        <x:v>0</x:v>
      </x:c>
      <x:c r="N57" s="116" t="n">
        <x:f>SUM(X57:BA57)</x:f>
        <x:v>0</x:v>
      </x:c>
      <x:c r="O57" s="116" t="n">
        <x:f>IF(M57,$D$10,0)</x:f>
        <x:v>0</x:v>
      </x:c>
      <x:c r="P57" s="116" t="n">
        <x:f>N57-O57</x:f>
        <x:v>0</x:v>
      </x:c>
      <x:c r="Q57" s="116" t="n">
        <x:f>IF(L57&lt;$D$5,0,IF(L57=$D$5,P57,Q56+P57))</x:f>
        <x:v>0</x:v>
      </x:c>
      <x:c r="R57" s="116" t="n">
        <x:f>IF(L57&lt;$D$5,"",$J$10+Q57)</x:f>
        <x:v>0</x:v>
      </x:c>
      <x:c r="S57" s="116" t="n">
        <x:f>IF($L57&lt;$D$5,"",IF($L57=$D$5,$J$10+$N57-IF($M57,IF(INT(($L57-$D$5)/7)&lt;$A$20,$B$20,$D$10),0),S56+$N57-IF($M57,IF(INT(($L57-$D$5)/7)&lt;$A$20,$B$20,$D$10),0)))</x:f>
        <x:v>0</x:v>
      </x:c>
      <x:c r="T57" s="116" t="n">
        <x:f>IF($L57&lt;$D$5,"",IF($L57=$D$5,$J$10+$N57-IF($M57,IF(INT(($L57-$D$5)/7)&lt;$A$21,$B$21,$D$10),0),T56+$N57-IF($M57,IF(INT(($L57-$D$5)/7)&lt;$A$21,$B$21,$D$10),0)))</x:f>
        <x:v>0</x:v>
      </x:c>
      <x:c r="U57" s="116" t="n">
        <x:f>IF($L57&lt;$D$5,"",IF($L57=$D$5,$J$10+$N57-IF($M57,IF(INT(($L57-$D$5)/7)&lt;$A$22,$B$22,$D$10),0),U56+$N57-IF($M57,IF(INT(($L57-$D$5)/7)&lt;$A$22,$B$22,$D$10),0)))</x:f>
        <x:v>0</x:v>
      </x:c>
      <x:c r="V57" s="116" t="n">
        <x:f>IF($L57&lt;$D$5,"",IF($L57=$D$5,$J$10+$N57-IF($M57,IF(INT(($L57-$D$5)/7)&lt;$A$23,$B$23,$D$10),0),V56+$N57-IF($M57,IF(INT(($L57-$D$5)/7)&lt;$A$23,$B$23,$D$10),0)))</x:f>
        <x:v>0</x:v>
      </x:c>
      <x:c r="W57" s="116" t="n">
        <x:f>IF($L57&lt;$D$5,"",IF($L57=$D$5,$J$10+$N57-IF($M57,IF(INT(($L57-$D$5)/7)&lt;$A$24,$B$24,$D$10),0),W56+$N57-IF($M57,IF(INT(($L57-$D$5)/7)&lt;$A$24,$B$24,$D$10),0)))</x:f>
        <x:v>0</x:v>
      </x:c>
      <x:c r="X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Y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Z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A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B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C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D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E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F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G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H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I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J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K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L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M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N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O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P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Q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R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S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T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U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V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W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X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Y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AZ57" s="116"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c r="BA57" s="117" t="n">
        <x:f>IF(OR(INDEX('1 Budget annuel'!$A$14:$A$43,COLUMN()-COLUMN($X$42)+1)&lt;&gt;"Oui",INDEX('1 Budget annuel'!$L$14:$L$43,COLUMN()-COLUMN($X$42)+1)="",AND(INDEX('1 Budget annuel'!$B$14:$B$43,COLUMN()-COLUMN($X$42)+1)="Sortie",INDEX('1 Budget annuel'!$M$14:$M$43,COLUMN()-COLUMN($X$42)+1)="Oui"),$L57&lt;INDEX('1 Budget annuel'!$L$14:$L$43,COLUMN()-COLUMN($X$42)+1),$L57&gt;$D$5+363),0,IF(OR(AND(INDEX('1 Budget annuel'!$E$14:$E$43,COLUMN()-COLUMN($X$42)+1)="Hebdomadaire",MOD($L57-INDEX('1 Budget annuel'!$L$14:$L$43,COLUMN()-COLUMN($X$42)+1),7)=0),AND(INDEX('1 Budget annuel'!$E$14:$E$43,COLUMN()-COLUMN($X$42)+1)="Toutes les 4 semaines",MOD($L57-INDEX('1 Budget annuel'!$L$14:$L$43,COLUMN()-COLUMN($X$42)+1),28)=0),AND(INDEX('1 Budget annuel'!$E$14:$E$43,COLUMN()-COLUMN($X$42)+1)="Mensuelle",DAY($L57)=MIN(DAY(INDEX('1 Budget annuel'!$L$14:$L$43,COLUMN()-COLUMN($X$42)+1)),DAY(EOMONTH($L57,0)))),AND(INDEX('1 Budget annuel'!$E$14:$E$43,COLUMN()-COLUMN($X$42)+1)="Trimestrielle",MOD((YEAR($L57)-YEAR(INDEX('1 Budget annuel'!$L$14:$L$43,COLUMN()-COLUMN($X$42)+1)))*12+MONTH($L57)-MONTH(INDEX('1 Budget annuel'!$L$14:$L$43,COLUMN()-COLUMN($X$42)+1)),3)=0,DAY($L57)=MIN(DAY(INDEX('1 Budget annuel'!$L$14:$L$43,COLUMN()-COLUMN($X$42)+1)),DAY(EOMONTH($L57,0)))),AND(INDEX('1 Budget annuel'!$E$14:$E$43,COLUMN()-COLUMN($X$42)+1)="Semestrielle",MOD((YEAR($L57)-YEAR(INDEX('1 Budget annuel'!$L$14:$L$43,COLUMN()-COLUMN($X$42)+1)))*12+MONTH($L57)-MONTH(INDEX('1 Budget annuel'!$L$14:$L$43,COLUMN()-COLUMN($X$42)+1)),6)=0,DAY($L57)=MIN(DAY(INDEX('1 Budget annuel'!$L$14:$L$43,COLUMN()-COLUMN($X$42)+1)),DAY(EOMONTH($L57,0)))),AND(INDEX('1 Budget annuel'!$E$14:$E$43,COLUMN()-COLUMN($X$42)+1)="Annuelle",MOD((YEAR($L57)-YEAR(INDEX('1 Budget annuel'!$L$14:$L$43,COLUMN()-COLUMN($X$42)+1)))*12+MONTH($L57)-MONTH(INDEX('1 Budget annuel'!$L$14:$L$43,COLUMN()-COLUMN($X$42)+1)),12)=0,DAY($L57)=MIN(DAY(INDEX('1 Budget annuel'!$L$14:$L$43,COLUMN()-COLUMN($X$42)+1)),DAY(EOMONTH($L57,0))))),IF(INDEX('1 Budget annuel'!$B$14:$B$43,COLUMN()-COLUMN($X$42)+1)="Entrée",INDEX('1 Budget annuel'!$I$14:$I$43,COLUMN()-COLUMN($X$42)+1),-INDEX('1 Budget annuel'!$I$14:$I$43,COLUMN()-COLUMN($X$42)+1)),0))</x:f>
        <x:v>0</x:v>
      </x:c>
    </x:row>
    <x:row r="58">
      <x:c r="L58" s="114" t="n">
        <x:f>L57+1</x:f>
        <x:v>46252</x:v>
      </x:c>
      <x:c r="M58" s="115" t="b">
        <x:f>AND(L58&gt;=$D$5,L58&lt;=$D$5+363,MOD(L58-$D$5,7)=0)</x:f>
        <x:v>0</x:v>
      </x:c>
      <x:c r="N58" s="116" t="n">
        <x:f>SUM(X58:BA58)</x:f>
        <x:v>0</x:v>
      </x:c>
      <x:c r="O58" s="116" t="n">
        <x:f>IF(M58,$D$10,0)</x:f>
        <x:v>0</x:v>
      </x:c>
      <x:c r="P58" s="116" t="n">
        <x:f>N58-O58</x:f>
        <x:v>0</x:v>
      </x:c>
      <x:c r="Q58" s="116" t="n">
        <x:f>IF(L58&lt;$D$5,0,IF(L58=$D$5,P58,Q57+P58))</x:f>
        <x:v>0</x:v>
      </x:c>
      <x:c r="R58" s="116" t="n">
        <x:f>IF(L58&lt;$D$5,"",$J$10+Q58)</x:f>
        <x:v>0</x:v>
      </x:c>
      <x:c r="S58" s="116" t="n">
        <x:f>IF($L58&lt;$D$5,"",IF($L58=$D$5,$J$10+$N58-IF($M58,IF(INT(($L58-$D$5)/7)&lt;$A$20,$B$20,$D$10),0),S57+$N58-IF($M58,IF(INT(($L58-$D$5)/7)&lt;$A$20,$B$20,$D$10),0)))</x:f>
        <x:v>0</x:v>
      </x:c>
      <x:c r="T58" s="116" t="n">
        <x:f>IF($L58&lt;$D$5,"",IF($L58=$D$5,$J$10+$N58-IF($M58,IF(INT(($L58-$D$5)/7)&lt;$A$21,$B$21,$D$10),0),T57+$N58-IF($M58,IF(INT(($L58-$D$5)/7)&lt;$A$21,$B$21,$D$10),0)))</x:f>
        <x:v>0</x:v>
      </x:c>
      <x:c r="U58" s="116" t="n">
        <x:f>IF($L58&lt;$D$5,"",IF($L58=$D$5,$J$10+$N58-IF($M58,IF(INT(($L58-$D$5)/7)&lt;$A$22,$B$22,$D$10),0),U57+$N58-IF($M58,IF(INT(($L58-$D$5)/7)&lt;$A$22,$B$22,$D$10),0)))</x:f>
        <x:v>0</x:v>
      </x:c>
      <x:c r="V58" s="116" t="n">
        <x:f>IF($L58&lt;$D$5,"",IF($L58=$D$5,$J$10+$N58-IF($M58,IF(INT(($L58-$D$5)/7)&lt;$A$23,$B$23,$D$10),0),V57+$N58-IF($M58,IF(INT(($L58-$D$5)/7)&lt;$A$23,$B$23,$D$10),0)))</x:f>
        <x:v>0</x:v>
      </x:c>
      <x:c r="W58" s="116" t="n">
        <x:f>IF($L58&lt;$D$5,"",IF($L58=$D$5,$J$10+$N58-IF($M58,IF(INT(($L58-$D$5)/7)&lt;$A$24,$B$24,$D$10),0),W57+$N58-IF($M58,IF(INT(($L58-$D$5)/7)&lt;$A$24,$B$24,$D$10),0)))</x:f>
        <x:v>0</x:v>
      </x:c>
      <x:c r="X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Y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Z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A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B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C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D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E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F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G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H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I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J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K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L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M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N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O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P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Q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R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S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T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U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V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W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X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Y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AZ58" s="116"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c r="BA58" s="117" t="n">
        <x:f>IF(OR(INDEX('1 Budget annuel'!$A$14:$A$43,COLUMN()-COLUMN($X$42)+1)&lt;&gt;"Oui",INDEX('1 Budget annuel'!$L$14:$L$43,COLUMN()-COLUMN($X$42)+1)="",AND(INDEX('1 Budget annuel'!$B$14:$B$43,COLUMN()-COLUMN($X$42)+1)="Sortie",INDEX('1 Budget annuel'!$M$14:$M$43,COLUMN()-COLUMN($X$42)+1)="Oui"),$L58&lt;INDEX('1 Budget annuel'!$L$14:$L$43,COLUMN()-COLUMN($X$42)+1),$L58&gt;$D$5+363),0,IF(OR(AND(INDEX('1 Budget annuel'!$E$14:$E$43,COLUMN()-COLUMN($X$42)+1)="Hebdomadaire",MOD($L58-INDEX('1 Budget annuel'!$L$14:$L$43,COLUMN()-COLUMN($X$42)+1),7)=0),AND(INDEX('1 Budget annuel'!$E$14:$E$43,COLUMN()-COLUMN($X$42)+1)="Toutes les 4 semaines",MOD($L58-INDEX('1 Budget annuel'!$L$14:$L$43,COLUMN()-COLUMN($X$42)+1),28)=0),AND(INDEX('1 Budget annuel'!$E$14:$E$43,COLUMN()-COLUMN($X$42)+1)="Mensuelle",DAY($L58)=MIN(DAY(INDEX('1 Budget annuel'!$L$14:$L$43,COLUMN()-COLUMN($X$42)+1)),DAY(EOMONTH($L58,0)))),AND(INDEX('1 Budget annuel'!$E$14:$E$43,COLUMN()-COLUMN($X$42)+1)="Trimestrielle",MOD((YEAR($L58)-YEAR(INDEX('1 Budget annuel'!$L$14:$L$43,COLUMN()-COLUMN($X$42)+1)))*12+MONTH($L58)-MONTH(INDEX('1 Budget annuel'!$L$14:$L$43,COLUMN()-COLUMN($X$42)+1)),3)=0,DAY($L58)=MIN(DAY(INDEX('1 Budget annuel'!$L$14:$L$43,COLUMN()-COLUMN($X$42)+1)),DAY(EOMONTH($L58,0)))),AND(INDEX('1 Budget annuel'!$E$14:$E$43,COLUMN()-COLUMN($X$42)+1)="Semestrielle",MOD((YEAR($L58)-YEAR(INDEX('1 Budget annuel'!$L$14:$L$43,COLUMN()-COLUMN($X$42)+1)))*12+MONTH($L58)-MONTH(INDEX('1 Budget annuel'!$L$14:$L$43,COLUMN()-COLUMN($X$42)+1)),6)=0,DAY($L58)=MIN(DAY(INDEX('1 Budget annuel'!$L$14:$L$43,COLUMN()-COLUMN($X$42)+1)),DAY(EOMONTH($L58,0)))),AND(INDEX('1 Budget annuel'!$E$14:$E$43,COLUMN()-COLUMN($X$42)+1)="Annuelle",MOD((YEAR($L58)-YEAR(INDEX('1 Budget annuel'!$L$14:$L$43,COLUMN()-COLUMN($X$42)+1)))*12+MONTH($L58)-MONTH(INDEX('1 Budget annuel'!$L$14:$L$43,COLUMN()-COLUMN($X$42)+1)),12)=0,DAY($L58)=MIN(DAY(INDEX('1 Budget annuel'!$L$14:$L$43,COLUMN()-COLUMN($X$42)+1)),DAY(EOMONTH($L58,0))))),IF(INDEX('1 Budget annuel'!$B$14:$B$43,COLUMN()-COLUMN($X$42)+1)="Entrée",INDEX('1 Budget annuel'!$I$14:$I$43,COLUMN()-COLUMN($X$42)+1),-INDEX('1 Budget annuel'!$I$14:$I$43,COLUMN()-COLUMN($X$42)+1)),0))</x:f>
        <x:v>0</x:v>
      </x:c>
    </x:row>
    <x:row r="59">
      <x:c r="L59" s="114" t="n">
        <x:f>L58+1</x:f>
        <x:v>46253</x:v>
      </x:c>
      <x:c r="M59" s="115" t="b">
        <x:f>AND(L59&gt;=$D$5,L59&lt;=$D$5+363,MOD(L59-$D$5,7)=0)</x:f>
        <x:v>0</x:v>
      </x:c>
      <x:c r="N59" s="116" t="n">
        <x:f>SUM(X59:BA59)</x:f>
        <x:v>0</x:v>
      </x:c>
      <x:c r="O59" s="116" t="n">
        <x:f>IF(M59,$D$10,0)</x:f>
        <x:v>0</x:v>
      </x:c>
      <x:c r="P59" s="116" t="n">
        <x:f>N59-O59</x:f>
        <x:v>0</x:v>
      </x:c>
      <x:c r="Q59" s="116" t="n">
        <x:f>IF(L59&lt;$D$5,0,IF(L59=$D$5,P59,Q58+P59))</x:f>
        <x:v>0</x:v>
      </x:c>
      <x:c r="R59" s="116" t="n">
        <x:f>IF(L59&lt;$D$5,"",$J$10+Q59)</x:f>
        <x:v>0</x:v>
      </x:c>
      <x:c r="S59" s="116" t="n">
        <x:f>IF($L59&lt;$D$5,"",IF($L59=$D$5,$J$10+$N59-IF($M59,IF(INT(($L59-$D$5)/7)&lt;$A$20,$B$20,$D$10),0),S58+$N59-IF($M59,IF(INT(($L59-$D$5)/7)&lt;$A$20,$B$20,$D$10),0)))</x:f>
        <x:v>0</x:v>
      </x:c>
      <x:c r="T59" s="116" t="n">
        <x:f>IF($L59&lt;$D$5,"",IF($L59=$D$5,$J$10+$N59-IF($M59,IF(INT(($L59-$D$5)/7)&lt;$A$21,$B$21,$D$10),0),T58+$N59-IF($M59,IF(INT(($L59-$D$5)/7)&lt;$A$21,$B$21,$D$10),0)))</x:f>
        <x:v>0</x:v>
      </x:c>
      <x:c r="U59" s="116" t="n">
        <x:f>IF($L59&lt;$D$5,"",IF($L59=$D$5,$J$10+$N59-IF($M59,IF(INT(($L59-$D$5)/7)&lt;$A$22,$B$22,$D$10),0),U58+$N59-IF($M59,IF(INT(($L59-$D$5)/7)&lt;$A$22,$B$22,$D$10),0)))</x:f>
        <x:v>0</x:v>
      </x:c>
      <x:c r="V59" s="116" t="n">
        <x:f>IF($L59&lt;$D$5,"",IF($L59=$D$5,$J$10+$N59-IF($M59,IF(INT(($L59-$D$5)/7)&lt;$A$23,$B$23,$D$10),0),V58+$N59-IF($M59,IF(INT(($L59-$D$5)/7)&lt;$A$23,$B$23,$D$10),0)))</x:f>
        <x:v>0</x:v>
      </x:c>
      <x:c r="W59" s="116" t="n">
        <x:f>IF($L59&lt;$D$5,"",IF($L59=$D$5,$J$10+$N59-IF($M59,IF(INT(($L59-$D$5)/7)&lt;$A$24,$B$24,$D$10),0),W58+$N59-IF($M59,IF(INT(($L59-$D$5)/7)&lt;$A$24,$B$24,$D$10),0)))</x:f>
        <x:v>0</x:v>
      </x:c>
      <x:c r="X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Y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Z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A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B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C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D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E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F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G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H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I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J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K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L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M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N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O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P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Q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R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S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T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U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V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W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X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Y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AZ59" s="116"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c r="BA59" s="117" t="n">
        <x:f>IF(OR(INDEX('1 Budget annuel'!$A$14:$A$43,COLUMN()-COLUMN($X$42)+1)&lt;&gt;"Oui",INDEX('1 Budget annuel'!$L$14:$L$43,COLUMN()-COLUMN($X$42)+1)="",AND(INDEX('1 Budget annuel'!$B$14:$B$43,COLUMN()-COLUMN($X$42)+1)="Sortie",INDEX('1 Budget annuel'!$M$14:$M$43,COLUMN()-COLUMN($X$42)+1)="Oui"),$L59&lt;INDEX('1 Budget annuel'!$L$14:$L$43,COLUMN()-COLUMN($X$42)+1),$L59&gt;$D$5+363),0,IF(OR(AND(INDEX('1 Budget annuel'!$E$14:$E$43,COLUMN()-COLUMN($X$42)+1)="Hebdomadaire",MOD($L59-INDEX('1 Budget annuel'!$L$14:$L$43,COLUMN()-COLUMN($X$42)+1),7)=0),AND(INDEX('1 Budget annuel'!$E$14:$E$43,COLUMN()-COLUMN($X$42)+1)="Toutes les 4 semaines",MOD($L59-INDEX('1 Budget annuel'!$L$14:$L$43,COLUMN()-COLUMN($X$42)+1),28)=0),AND(INDEX('1 Budget annuel'!$E$14:$E$43,COLUMN()-COLUMN($X$42)+1)="Mensuelle",DAY($L59)=MIN(DAY(INDEX('1 Budget annuel'!$L$14:$L$43,COLUMN()-COLUMN($X$42)+1)),DAY(EOMONTH($L59,0)))),AND(INDEX('1 Budget annuel'!$E$14:$E$43,COLUMN()-COLUMN($X$42)+1)="Trimestrielle",MOD((YEAR($L59)-YEAR(INDEX('1 Budget annuel'!$L$14:$L$43,COLUMN()-COLUMN($X$42)+1)))*12+MONTH($L59)-MONTH(INDEX('1 Budget annuel'!$L$14:$L$43,COLUMN()-COLUMN($X$42)+1)),3)=0,DAY($L59)=MIN(DAY(INDEX('1 Budget annuel'!$L$14:$L$43,COLUMN()-COLUMN($X$42)+1)),DAY(EOMONTH($L59,0)))),AND(INDEX('1 Budget annuel'!$E$14:$E$43,COLUMN()-COLUMN($X$42)+1)="Semestrielle",MOD((YEAR($L59)-YEAR(INDEX('1 Budget annuel'!$L$14:$L$43,COLUMN()-COLUMN($X$42)+1)))*12+MONTH($L59)-MONTH(INDEX('1 Budget annuel'!$L$14:$L$43,COLUMN()-COLUMN($X$42)+1)),6)=0,DAY($L59)=MIN(DAY(INDEX('1 Budget annuel'!$L$14:$L$43,COLUMN()-COLUMN($X$42)+1)),DAY(EOMONTH($L59,0)))),AND(INDEX('1 Budget annuel'!$E$14:$E$43,COLUMN()-COLUMN($X$42)+1)="Annuelle",MOD((YEAR($L59)-YEAR(INDEX('1 Budget annuel'!$L$14:$L$43,COLUMN()-COLUMN($X$42)+1)))*12+MONTH($L59)-MONTH(INDEX('1 Budget annuel'!$L$14:$L$43,COLUMN()-COLUMN($X$42)+1)),12)=0,DAY($L59)=MIN(DAY(INDEX('1 Budget annuel'!$L$14:$L$43,COLUMN()-COLUMN($X$42)+1)),DAY(EOMONTH($L59,0))))),IF(INDEX('1 Budget annuel'!$B$14:$B$43,COLUMN()-COLUMN($X$42)+1)="Entrée",INDEX('1 Budget annuel'!$I$14:$I$43,COLUMN()-COLUMN($X$42)+1),-INDEX('1 Budget annuel'!$I$14:$I$43,COLUMN()-COLUMN($X$42)+1)),0))</x:f>
        <x:v>0</x:v>
      </x:c>
    </x:row>
    <x:row r="60">
      <x:c r="L60" s="114" t="n">
        <x:f>L59+1</x:f>
        <x:v>46254</x:v>
      </x:c>
      <x:c r="M60" s="115" t="b">
        <x:f>AND(L60&gt;=$D$5,L60&lt;=$D$5+363,MOD(L60-$D$5,7)=0)</x:f>
        <x:v>0</x:v>
      </x:c>
      <x:c r="N60" s="116" t="n">
        <x:f>SUM(X60:BA60)</x:f>
        <x:v>0</x:v>
      </x:c>
      <x:c r="O60" s="116" t="n">
        <x:f>IF(M60,$D$10,0)</x:f>
        <x:v>0</x:v>
      </x:c>
      <x:c r="P60" s="116" t="n">
        <x:f>N60-O60</x:f>
        <x:v>0</x:v>
      </x:c>
      <x:c r="Q60" s="116" t="n">
        <x:f>IF(L60&lt;$D$5,0,IF(L60=$D$5,P60,Q59+P60))</x:f>
        <x:v>0</x:v>
      </x:c>
      <x:c r="R60" s="116" t="n">
        <x:f>IF(L60&lt;$D$5,"",$J$10+Q60)</x:f>
        <x:v>0</x:v>
      </x:c>
      <x:c r="S60" s="116" t="n">
        <x:f>IF($L60&lt;$D$5,"",IF($L60=$D$5,$J$10+$N60-IF($M60,IF(INT(($L60-$D$5)/7)&lt;$A$20,$B$20,$D$10),0),S59+$N60-IF($M60,IF(INT(($L60-$D$5)/7)&lt;$A$20,$B$20,$D$10),0)))</x:f>
        <x:v>0</x:v>
      </x:c>
      <x:c r="T60" s="116" t="n">
        <x:f>IF($L60&lt;$D$5,"",IF($L60=$D$5,$J$10+$N60-IF($M60,IF(INT(($L60-$D$5)/7)&lt;$A$21,$B$21,$D$10),0),T59+$N60-IF($M60,IF(INT(($L60-$D$5)/7)&lt;$A$21,$B$21,$D$10),0)))</x:f>
        <x:v>0</x:v>
      </x:c>
      <x:c r="U60" s="116" t="n">
        <x:f>IF($L60&lt;$D$5,"",IF($L60=$D$5,$J$10+$N60-IF($M60,IF(INT(($L60-$D$5)/7)&lt;$A$22,$B$22,$D$10),0),U59+$N60-IF($M60,IF(INT(($L60-$D$5)/7)&lt;$A$22,$B$22,$D$10),0)))</x:f>
        <x:v>0</x:v>
      </x:c>
      <x:c r="V60" s="116" t="n">
        <x:f>IF($L60&lt;$D$5,"",IF($L60=$D$5,$J$10+$N60-IF($M60,IF(INT(($L60-$D$5)/7)&lt;$A$23,$B$23,$D$10),0),V59+$N60-IF($M60,IF(INT(($L60-$D$5)/7)&lt;$A$23,$B$23,$D$10),0)))</x:f>
        <x:v>0</x:v>
      </x:c>
      <x:c r="W60" s="116" t="n">
        <x:f>IF($L60&lt;$D$5,"",IF($L60=$D$5,$J$10+$N60-IF($M60,IF(INT(($L60-$D$5)/7)&lt;$A$24,$B$24,$D$10),0),W59+$N60-IF($M60,IF(INT(($L60-$D$5)/7)&lt;$A$24,$B$24,$D$10),0)))</x:f>
        <x:v>0</x:v>
      </x:c>
      <x:c r="X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Y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Z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A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B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C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D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E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F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G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H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I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J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K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L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M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N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O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P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Q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R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S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T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U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V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W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X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Y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AZ60" s="116"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c r="BA60" s="117" t="n">
        <x:f>IF(OR(INDEX('1 Budget annuel'!$A$14:$A$43,COLUMN()-COLUMN($X$42)+1)&lt;&gt;"Oui",INDEX('1 Budget annuel'!$L$14:$L$43,COLUMN()-COLUMN($X$42)+1)="",AND(INDEX('1 Budget annuel'!$B$14:$B$43,COLUMN()-COLUMN($X$42)+1)="Sortie",INDEX('1 Budget annuel'!$M$14:$M$43,COLUMN()-COLUMN($X$42)+1)="Oui"),$L60&lt;INDEX('1 Budget annuel'!$L$14:$L$43,COLUMN()-COLUMN($X$42)+1),$L60&gt;$D$5+363),0,IF(OR(AND(INDEX('1 Budget annuel'!$E$14:$E$43,COLUMN()-COLUMN($X$42)+1)="Hebdomadaire",MOD($L60-INDEX('1 Budget annuel'!$L$14:$L$43,COLUMN()-COLUMN($X$42)+1),7)=0),AND(INDEX('1 Budget annuel'!$E$14:$E$43,COLUMN()-COLUMN($X$42)+1)="Toutes les 4 semaines",MOD($L60-INDEX('1 Budget annuel'!$L$14:$L$43,COLUMN()-COLUMN($X$42)+1),28)=0),AND(INDEX('1 Budget annuel'!$E$14:$E$43,COLUMN()-COLUMN($X$42)+1)="Mensuelle",DAY($L60)=MIN(DAY(INDEX('1 Budget annuel'!$L$14:$L$43,COLUMN()-COLUMN($X$42)+1)),DAY(EOMONTH($L60,0)))),AND(INDEX('1 Budget annuel'!$E$14:$E$43,COLUMN()-COLUMN($X$42)+1)="Trimestrielle",MOD((YEAR($L60)-YEAR(INDEX('1 Budget annuel'!$L$14:$L$43,COLUMN()-COLUMN($X$42)+1)))*12+MONTH($L60)-MONTH(INDEX('1 Budget annuel'!$L$14:$L$43,COLUMN()-COLUMN($X$42)+1)),3)=0,DAY($L60)=MIN(DAY(INDEX('1 Budget annuel'!$L$14:$L$43,COLUMN()-COLUMN($X$42)+1)),DAY(EOMONTH($L60,0)))),AND(INDEX('1 Budget annuel'!$E$14:$E$43,COLUMN()-COLUMN($X$42)+1)="Semestrielle",MOD((YEAR($L60)-YEAR(INDEX('1 Budget annuel'!$L$14:$L$43,COLUMN()-COLUMN($X$42)+1)))*12+MONTH($L60)-MONTH(INDEX('1 Budget annuel'!$L$14:$L$43,COLUMN()-COLUMN($X$42)+1)),6)=0,DAY($L60)=MIN(DAY(INDEX('1 Budget annuel'!$L$14:$L$43,COLUMN()-COLUMN($X$42)+1)),DAY(EOMONTH($L60,0)))),AND(INDEX('1 Budget annuel'!$E$14:$E$43,COLUMN()-COLUMN($X$42)+1)="Annuelle",MOD((YEAR($L60)-YEAR(INDEX('1 Budget annuel'!$L$14:$L$43,COLUMN()-COLUMN($X$42)+1)))*12+MONTH($L60)-MONTH(INDEX('1 Budget annuel'!$L$14:$L$43,COLUMN()-COLUMN($X$42)+1)),12)=0,DAY($L60)=MIN(DAY(INDEX('1 Budget annuel'!$L$14:$L$43,COLUMN()-COLUMN($X$42)+1)),DAY(EOMONTH($L60,0))))),IF(INDEX('1 Budget annuel'!$B$14:$B$43,COLUMN()-COLUMN($X$42)+1)="Entrée",INDEX('1 Budget annuel'!$I$14:$I$43,COLUMN()-COLUMN($X$42)+1),-INDEX('1 Budget annuel'!$I$14:$I$43,COLUMN()-COLUMN($X$42)+1)),0))</x:f>
        <x:v>0</x:v>
      </x:c>
    </x:row>
    <x:row r="61">
      <x:c r="L61" s="114" t="n">
        <x:f>L60+1</x:f>
        <x:v>46255</x:v>
      </x:c>
      <x:c r="M61" s="115" t="b">
        <x:f>AND(L61&gt;=$D$5,L61&lt;=$D$5+363,MOD(L61-$D$5,7)=0)</x:f>
        <x:v>0</x:v>
      </x:c>
      <x:c r="N61" s="116" t="n">
        <x:f>SUM(X61:BA61)</x:f>
        <x:v>0</x:v>
      </x:c>
      <x:c r="O61" s="116" t="n">
        <x:f>IF(M61,$D$10,0)</x:f>
        <x:v>0</x:v>
      </x:c>
      <x:c r="P61" s="116" t="n">
        <x:f>N61-O61</x:f>
        <x:v>0</x:v>
      </x:c>
      <x:c r="Q61" s="116" t="n">
        <x:f>IF(L61&lt;$D$5,0,IF(L61=$D$5,P61,Q60+P61))</x:f>
        <x:v>0</x:v>
      </x:c>
      <x:c r="R61" s="116" t="n">
        <x:f>IF(L61&lt;$D$5,"",$J$10+Q61)</x:f>
        <x:v>0</x:v>
      </x:c>
      <x:c r="S61" s="116" t="n">
        <x:f>IF($L61&lt;$D$5,"",IF($L61=$D$5,$J$10+$N61-IF($M61,IF(INT(($L61-$D$5)/7)&lt;$A$20,$B$20,$D$10),0),S60+$N61-IF($M61,IF(INT(($L61-$D$5)/7)&lt;$A$20,$B$20,$D$10),0)))</x:f>
        <x:v>0</x:v>
      </x:c>
      <x:c r="T61" s="116" t="n">
        <x:f>IF($L61&lt;$D$5,"",IF($L61=$D$5,$J$10+$N61-IF($M61,IF(INT(($L61-$D$5)/7)&lt;$A$21,$B$21,$D$10),0),T60+$N61-IF($M61,IF(INT(($L61-$D$5)/7)&lt;$A$21,$B$21,$D$10),0)))</x:f>
        <x:v>0</x:v>
      </x:c>
      <x:c r="U61" s="116" t="n">
        <x:f>IF($L61&lt;$D$5,"",IF($L61=$D$5,$J$10+$N61-IF($M61,IF(INT(($L61-$D$5)/7)&lt;$A$22,$B$22,$D$10),0),U60+$N61-IF($M61,IF(INT(($L61-$D$5)/7)&lt;$A$22,$B$22,$D$10),0)))</x:f>
        <x:v>0</x:v>
      </x:c>
      <x:c r="V61" s="116" t="n">
        <x:f>IF($L61&lt;$D$5,"",IF($L61=$D$5,$J$10+$N61-IF($M61,IF(INT(($L61-$D$5)/7)&lt;$A$23,$B$23,$D$10),0),V60+$N61-IF($M61,IF(INT(($L61-$D$5)/7)&lt;$A$23,$B$23,$D$10),0)))</x:f>
        <x:v>0</x:v>
      </x:c>
      <x:c r="W61" s="116" t="n">
        <x:f>IF($L61&lt;$D$5,"",IF($L61=$D$5,$J$10+$N61-IF($M61,IF(INT(($L61-$D$5)/7)&lt;$A$24,$B$24,$D$10),0),W60+$N61-IF($M61,IF(INT(($L61-$D$5)/7)&lt;$A$24,$B$24,$D$10),0)))</x:f>
        <x:v>0</x:v>
      </x:c>
      <x:c r="X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Y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Z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A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B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C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D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E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F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G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H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I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J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K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L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M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N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O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P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Q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R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S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T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U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V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W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X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Y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AZ61" s="116"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c r="BA61" s="117" t="n">
        <x:f>IF(OR(INDEX('1 Budget annuel'!$A$14:$A$43,COLUMN()-COLUMN($X$42)+1)&lt;&gt;"Oui",INDEX('1 Budget annuel'!$L$14:$L$43,COLUMN()-COLUMN($X$42)+1)="",AND(INDEX('1 Budget annuel'!$B$14:$B$43,COLUMN()-COLUMN($X$42)+1)="Sortie",INDEX('1 Budget annuel'!$M$14:$M$43,COLUMN()-COLUMN($X$42)+1)="Oui"),$L61&lt;INDEX('1 Budget annuel'!$L$14:$L$43,COLUMN()-COLUMN($X$42)+1),$L61&gt;$D$5+363),0,IF(OR(AND(INDEX('1 Budget annuel'!$E$14:$E$43,COLUMN()-COLUMN($X$42)+1)="Hebdomadaire",MOD($L61-INDEX('1 Budget annuel'!$L$14:$L$43,COLUMN()-COLUMN($X$42)+1),7)=0),AND(INDEX('1 Budget annuel'!$E$14:$E$43,COLUMN()-COLUMN($X$42)+1)="Toutes les 4 semaines",MOD($L61-INDEX('1 Budget annuel'!$L$14:$L$43,COLUMN()-COLUMN($X$42)+1),28)=0),AND(INDEX('1 Budget annuel'!$E$14:$E$43,COLUMN()-COLUMN($X$42)+1)="Mensuelle",DAY($L61)=MIN(DAY(INDEX('1 Budget annuel'!$L$14:$L$43,COLUMN()-COLUMN($X$42)+1)),DAY(EOMONTH($L61,0)))),AND(INDEX('1 Budget annuel'!$E$14:$E$43,COLUMN()-COLUMN($X$42)+1)="Trimestrielle",MOD((YEAR($L61)-YEAR(INDEX('1 Budget annuel'!$L$14:$L$43,COLUMN()-COLUMN($X$42)+1)))*12+MONTH($L61)-MONTH(INDEX('1 Budget annuel'!$L$14:$L$43,COLUMN()-COLUMN($X$42)+1)),3)=0,DAY($L61)=MIN(DAY(INDEX('1 Budget annuel'!$L$14:$L$43,COLUMN()-COLUMN($X$42)+1)),DAY(EOMONTH($L61,0)))),AND(INDEX('1 Budget annuel'!$E$14:$E$43,COLUMN()-COLUMN($X$42)+1)="Semestrielle",MOD((YEAR($L61)-YEAR(INDEX('1 Budget annuel'!$L$14:$L$43,COLUMN()-COLUMN($X$42)+1)))*12+MONTH($L61)-MONTH(INDEX('1 Budget annuel'!$L$14:$L$43,COLUMN()-COLUMN($X$42)+1)),6)=0,DAY($L61)=MIN(DAY(INDEX('1 Budget annuel'!$L$14:$L$43,COLUMN()-COLUMN($X$42)+1)),DAY(EOMONTH($L61,0)))),AND(INDEX('1 Budget annuel'!$E$14:$E$43,COLUMN()-COLUMN($X$42)+1)="Annuelle",MOD((YEAR($L61)-YEAR(INDEX('1 Budget annuel'!$L$14:$L$43,COLUMN()-COLUMN($X$42)+1)))*12+MONTH($L61)-MONTH(INDEX('1 Budget annuel'!$L$14:$L$43,COLUMN()-COLUMN($X$42)+1)),12)=0,DAY($L61)=MIN(DAY(INDEX('1 Budget annuel'!$L$14:$L$43,COLUMN()-COLUMN($X$42)+1)),DAY(EOMONTH($L61,0))))),IF(INDEX('1 Budget annuel'!$B$14:$B$43,COLUMN()-COLUMN($X$42)+1)="Entrée",INDEX('1 Budget annuel'!$I$14:$I$43,COLUMN()-COLUMN($X$42)+1),-INDEX('1 Budget annuel'!$I$14:$I$43,COLUMN()-COLUMN($X$42)+1)),0))</x:f>
        <x:v>0</x:v>
      </x:c>
    </x:row>
    <x:row r="62">
      <x:c r="L62" s="114" t="n">
        <x:f>L61+1</x:f>
        <x:v>46256</x:v>
      </x:c>
      <x:c r="M62" s="115" t="b">
        <x:f>AND(L62&gt;=$D$5,L62&lt;=$D$5+363,MOD(L62-$D$5,7)=0)</x:f>
        <x:v>1</x:v>
      </x:c>
      <x:c r="N62" s="116" t="n">
        <x:f>SUM(X62:BA62)</x:f>
        <x:v>0</x:v>
      </x:c>
      <x:c r="O62" s="116" t="n">
        <x:f>IF(M62,$D$10,0)</x:f>
        <x:v>0</x:v>
      </x:c>
      <x:c r="P62" s="116" t="n">
        <x:f>N62-O62</x:f>
        <x:v>0</x:v>
      </x:c>
      <x:c r="Q62" s="116" t="n">
        <x:f>IF(L62&lt;$D$5,0,IF(L62=$D$5,P62,Q61+P62))</x:f>
        <x:v>0</x:v>
      </x:c>
      <x:c r="R62" s="116" t="n">
        <x:f>IF(L62&lt;$D$5,"",$J$10+Q62)</x:f>
        <x:v>0</x:v>
      </x:c>
      <x:c r="S62" s="116" t="n">
        <x:f>IF($L62&lt;$D$5,"",IF($L62=$D$5,$J$10+$N62-IF($M62,IF(INT(($L62-$D$5)/7)&lt;$A$20,$B$20,$D$10),0),S61+$N62-IF($M62,IF(INT(($L62-$D$5)/7)&lt;$A$20,$B$20,$D$10),0)))</x:f>
        <x:v>0</x:v>
      </x:c>
      <x:c r="T62" s="116" t="n">
        <x:f>IF($L62&lt;$D$5,"",IF($L62=$D$5,$J$10+$N62-IF($M62,IF(INT(($L62-$D$5)/7)&lt;$A$21,$B$21,$D$10),0),T61+$N62-IF($M62,IF(INT(($L62-$D$5)/7)&lt;$A$21,$B$21,$D$10),0)))</x:f>
        <x:v>0</x:v>
      </x:c>
      <x:c r="U62" s="116" t="n">
        <x:f>IF($L62&lt;$D$5,"",IF($L62=$D$5,$J$10+$N62-IF($M62,IF(INT(($L62-$D$5)/7)&lt;$A$22,$B$22,$D$10),0),U61+$N62-IF($M62,IF(INT(($L62-$D$5)/7)&lt;$A$22,$B$22,$D$10),0)))</x:f>
        <x:v>0</x:v>
      </x:c>
      <x:c r="V62" s="116" t="n">
        <x:f>IF($L62&lt;$D$5,"",IF($L62=$D$5,$J$10+$N62-IF($M62,IF(INT(($L62-$D$5)/7)&lt;$A$23,$B$23,$D$10),0),V61+$N62-IF($M62,IF(INT(($L62-$D$5)/7)&lt;$A$23,$B$23,$D$10),0)))</x:f>
        <x:v>0</x:v>
      </x:c>
      <x:c r="W62" s="116" t="n">
        <x:f>IF($L62&lt;$D$5,"",IF($L62=$D$5,$J$10+$N62-IF($M62,IF(INT(($L62-$D$5)/7)&lt;$A$24,$B$24,$D$10),0),W61+$N62-IF($M62,IF(INT(($L62-$D$5)/7)&lt;$A$24,$B$24,$D$10),0)))</x:f>
        <x:v>0</x:v>
      </x:c>
      <x:c r="X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Y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Z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A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B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C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D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E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F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G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H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I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J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K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L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M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N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O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P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Q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R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S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T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U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V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W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X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Y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AZ62" s="116"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c r="BA62" s="117" t="n">
        <x:f>IF(OR(INDEX('1 Budget annuel'!$A$14:$A$43,COLUMN()-COLUMN($X$42)+1)&lt;&gt;"Oui",INDEX('1 Budget annuel'!$L$14:$L$43,COLUMN()-COLUMN($X$42)+1)="",AND(INDEX('1 Budget annuel'!$B$14:$B$43,COLUMN()-COLUMN($X$42)+1)="Sortie",INDEX('1 Budget annuel'!$M$14:$M$43,COLUMN()-COLUMN($X$42)+1)="Oui"),$L62&lt;INDEX('1 Budget annuel'!$L$14:$L$43,COLUMN()-COLUMN($X$42)+1),$L62&gt;$D$5+363),0,IF(OR(AND(INDEX('1 Budget annuel'!$E$14:$E$43,COLUMN()-COLUMN($X$42)+1)="Hebdomadaire",MOD($L62-INDEX('1 Budget annuel'!$L$14:$L$43,COLUMN()-COLUMN($X$42)+1),7)=0),AND(INDEX('1 Budget annuel'!$E$14:$E$43,COLUMN()-COLUMN($X$42)+1)="Toutes les 4 semaines",MOD($L62-INDEX('1 Budget annuel'!$L$14:$L$43,COLUMN()-COLUMN($X$42)+1),28)=0),AND(INDEX('1 Budget annuel'!$E$14:$E$43,COLUMN()-COLUMN($X$42)+1)="Mensuelle",DAY($L62)=MIN(DAY(INDEX('1 Budget annuel'!$L$14:$L$43,COLUMN()-COLUMN($X$42)+1)),DAY(EOMONTH($L62,0)))),AND(INDEX('1 Budget annuel'!$E$14:$E$43,COLUMN()-COLUMN($X$42)+1)="Trimestrielle",MOD((YEAR($L62)-YEAR(INDEX('1 Budget annuel'!$L$14:$L$43,COLUMN()-COLUMN($X$42)+1)))*12+MONTH($L62)-MONTH(INDEX('1 Budget annuel'!$L$14:$L$43,COLUMN()-COLUMN($X$42)+1)),3)=0,DAY($L62)=MIN(DAY(INDEX('1 Budget annuel'!$L$14:$L$43,COLUMN()-COLUMN($X$42)+1)),DAY(EOMONTH($L62,0)))),AND(INDEX('1 Budget annuel'!$E$14:$E$43,COLUMN()-COLUMN($X$42)+1)="Semestrielle",MOD((YEAR($L62)-YEAR(INDEX('1 Budget annuel'!$L$14:$L$43,COLUMN()-COLUMN($X$42)+1)))*12+MONTH($L62)-MONTH(INDEX('1 Budget annuel'!$L$14:$L$43,COLUMN()-COLUMN($X$42)+1)),6)=0,DAY($L62)=MIN(DAY(INDEX('1 Budget annuel'!$L$14:$L$43,COLUMN()-COLUMN($X$42)+1)),DAY(EOMONTH($L62,0)))),AND(INDEX('1 Budget annuel'!$E$14:$E$43,COLUMN()-COLUMN($X$42)+1)="Annuelle",MOD((YEAR($L62)-YEAR(INDEX('1 Budget annuel'!$L$14:$L$43,COLUMN()-COLUMN($X$42)+1)))*12+MONTH($L62)-MONTH(INDEX('1 Budget annuel'!$L$14:$L$43,COLUMN()-COLUMN($X$42)+1)),12)=0,DAY($L62)=MIN(DAY(INDEX('1 Budget annuel'!$L$14:$L$43,COLUMN()-COLUMN($X$42)+1)),DAY(EOMONTH($L62,0))))),IF(INDEX('1 Budget annuel'!$B$14:$B$43,COLUMN()-COLUMN($X$42)+1)="Entrée",INDEX('1 Budget annuel'!$I$14:$I$43,COLUMN()-COLUMN($X$42)+1),-INDEX('1 Budget annuel'!$I$14:$I$43,COLUMN()-COLUMN($X$42)+1)),0))</x:f>
        <x:v>0</x:v>
      </x:c>
    </x:row>
    <x:row r="63">
      <x:c r="L63" s="114" t="n">
        <x:f>L62+1</x:f>
        <x:v>46257</x:v>
      </x:c>
      <x:c r="M63" s="115" t="b">
        <x:f>AND(L63&gt;=$D$5,L63&lt;=$D$5+363,MOD(L63-$D$5,7)=0)</x:f>
        <x:v>0</x:v>
      </x:c>
      <x:c r="N63" s="116" t="n">
        <x:f>SUM(X63:BA63)</x:f>
        <x:v>0</x:v>
      </x:c>
      <x:c r="O63" s="116" t="n">
        <x:f>IF(M63,$D$10,0)</x:f>
        <x:v>0</x:v>
      </x:c>
      <x:c r="P63" s="116" t="n">
        <x:f>N63-O63</x:f>
        <x:v>0</x:v>
      </x:c>
      <x:c r="Q63" s="116" t="n">
        <x:f>IF(L63&lt;$D$5,0,IF(L63=$D$5,P63,Q62+P63))</x:f>
        <x:v>0</x:v>
      </x:c>
      <x:c r="R63" s="116" t="n">
        <x:f>IF(L63&lt;$D$5,"",$J$10+Q63)</x:f>
        <x:v>0</x:v>
      </x:c>
      <x:c r="S63" s="116" t="n">
        <x:f>IF($L63&lt;$D$5,"",IF($L63=$D$5,$J$10+$N63-IF($M63,IF(INT(($L63-$D$5)/7)&lt;$A$20,$B$20,$D$10),0),S62+$N63-IF($M63,IF(INT(($L63-$D$5)/7)&lt;$A$20,$B$20,$D$10),0)))</x:f>
        <x:v>0</x:v>
      </x:c>
      <x:c r="T63" s="116" t="n">
        <x:f>IF($L63&lt;$D$5,"",IF($L63=$D$5,$J$10+$N63-IF($M63,IF(INT(($L63-$D$5)/7)&lt;$A$21,$B$21,$D$10),0),T62+$N63-IF($M63,IF(INT(($L63-$D$5)/7)&lt;$A$21,$B$21,$D$10),0)))</x:f>
        <x:v>0</x:v>
      </x:c>
      <x:c r="U63" s="116" t="n">
        <x:f>IF($L63&lt;$D$5,"",IF($L63=$D$5,$J$10+$N63-IF($M63,IF(INT(($L63-$D$5)/7)&lt;$A$22,$B$22,$D$10),0),U62+$N63-IF($M63,IF(INT(($L63-$D$5)/7)&lt;$A$22,$B$22,$D$10),0)))</x:f>
        <x:v>0</x:v>
      </x:c>
      <x:c r="V63" s="116" t="n">
        <x:f>IF($L63&lt;$D$5,"",IF($L63=$D$5,$J$10+$N63-IF($M63,IF(INT(($L63-$D$5)/7)&lt;$A$23,$B$23,$D$10),0),V62+$N63-IF($M63,IF(INT(($L63-$D$5)/7)&lt;$A$23,$B$23,$D$10),0)))</x:f>
        <x:v>0</x:v>
      </x:c>
      <x:c r="W63" s="116" t="n">
        <x:f>IF($L63&lt;$D$5,"",IF($L63=$D$5,$J$10+$N63-IF($M63,IF(INT(($L63-$D$5)/7)&lt;$A$24,$B$24,$D$10),0),W62+$N63-IF($M63,IF(INT(($L63-$D$5)/7)&lt;$A$24,$B$24,$D$10),0)))</x:f>
        <x:v>0</x:v>
      </x:c>
      <x:c r="X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Y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Z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A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B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C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D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E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F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G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H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I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J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K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L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M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N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O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P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Q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R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S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T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U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V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W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X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Y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AZ63" s="116"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c r="BA63" s="117" t="n">
        <x:f>IF(OR(INDEX('1 Budget annuel'!$A$14:$A$43,COLUMN()-COLUMN($X$42)+1)&lt;&gt;"Oui",INDEX('1 Budget annuel'!$L$14:$L$43,COLUMN()-COLUMN($X$42)+1)="",AND(INDEX('1 Budget annuel'!$B$14:$B$43,COLUMN()-COLUMN($X$42)+1)="Sortie",INDEX('1 Budget annuel'!$M$14:$M$43,COLUMN()-COLUMN($X$42)+1)="Oui"),$L63&lt;INDEX('1 Budget annuel'!$L$14:$L$43,COLUMN()-COLUMN($X$42)+1),$L63&gt;$D$5+363),0,IF(OR(AND(INDEX('1 Budget annuel'!$E$14:$E$43,COLUMN()-COLUMN($X$42)+1)="Hebdomadaire",MOD($L63-INDEX('1 Budget annuel'!$L$14:$L$43,COLUMN()-COLUMN($X$42)+1),7)=0),AND(INDEX('1 Budget annuel'!$E$14:$E$43,COLUMN()-COLUMN($X$42)+1)="Toutes les 4 semaines",MOD($L63-INDEX('1 Budget annuel'!$L$14:$L$43,COLUMN()-COLUMN($X$42)+1),28)=0),AND(INDEX('1 Budget annuel'!$E$14:$E$43,COLUMN()-COLUMN($X$42)+1)="Mensuelle",DAY($L63)=MIN(DAY(INDEX('1 Budget annuel'!$L$14:$L$43,COLUMN()-COLUMN($X$42)+1)),DAY(EOMONTH($L63,0)))),AND(INDEX('1 Budget annuel'!$E$14:$E$43,COLUMN()-COLUMN($X$42)+1)="Trimestrielle",MOD((YEAR($L63)-YEAR(INDEX('1 Budget annuel'!$L$14:$L$43,COLUMN()-COLUMN($X$42)+1)))*12+MONTH($L63)-MONTH(INDEX('1 Budget annuel'!$L$14:$L$43,COLUMN()-COLUMN($X$42)+1)),3)=0,DAY($L63)=MIN(DAY(INDEX('1 Budget annuel'!$L$14:$L$43,COLUMN()-COLUMN($X$42)+1)),DAY(EOMONTH($L63,0)))),AND(INDEX('1 Budget annuel'!$E$14:$E$43,COLUMN()-COLUMN($X$42)+1)="Semestrielle",MOD((YEAR($L63)-YEAR(INDEX('1 Budget annuel'!$L$14:$L$43,COLUMN()-COLUMN($X$42)+1)))*12+MONTH($L63)-MONTH(INDEX('1 Budget annuel'!$L$14:$L$43,COLUMN()-COLUMN($X$42)+1)),6)=0,DAY($L63)=MIN(DAY(INDEX('1 Budget annuel'!$L$14:$L$43,COLUMN()-COLUMN($X$42)+1)),DAY(EOMONTH($L63,0)))),AND(INDEX('1 Budget annuel'!$E$14:$E$43,COLUMN()-COLUMN($X$42)+1)="Annuelle",MOD((YEAR($L63)-YEAR(INDEX('1 Budget annuel'!$L$14:$L$43,COLUMN()-COLUMN($X$42)+1)))*12+MONTH($L63)-MONTH(INDEX('1 Budget annuel'!$L$14:$L$43,COLUMN()-COLUMN($X$42)+1)),12)=0,DAY($L63)=MIN(DAY(INDEX('1 Budget annuel'!$L$14:$L$43,COLUMN()-COLUMN($X$42)+1)),DAY(EOMONTH($L63,0))))),IF(INDEX('1 Budget annuel'!$B$14:$B$43,COLUMN()-COLUMN($X$42)+1)="Entrée",INDEX('1 Budget annuel'!$I$14:$I$43,COLUMN()-COLUMN($X$42)+1),-INDEX('1 Budget annuel'!$I$14:$I$43,COLUMN()-COLUMN($X$42)+1)),0))</x:f>
        <x:v>0</x:v>
      </x:c>
    </x:row>
    <x:row r="64">
      <x:c r="L64" s="114" t="n">
        <x:f>L63+1</x:f>
        <x:v>46258</x:v>
      </x:c>
      <x:c r="M64" s="115" t="b">
        <x:f>AND(L64&gt;=$D$5,L64&lt;=$D$5+363,MOD(L64-$D$5,7)=0)</x:f>
        <x:v>0</x:v>
      </x:c>
      <x:c r="N64" s="116" t="n">
        <x:f>SUM(X64:BA64)</x:f>
        <x:v>0</x:v>
      </x:c>
      <x:c r="O64" s="116" t="n">
        <x:f>IF(M64,$D$10,0)</x:f>
        <x:v>0</x:v>
      </x:c>
      <x:c r="P64" s="116" t="n">
        <x:f>N64-O64</x:f>
        <x:v>0</x:v>
      </x:c>
      <x:c r="Q64" s="116" t="n">
        <x:f>IF(L64&lt;$D$5,0,IF(L64=$D$5,P64,Q63+P64))</x:f>
        <x:v>0</x:v>
      </x:c>
      <x:c r="R64" s="116" t="n">
        <x:f>IF(L64&lt;$D$5,"",$J$10+Q64)</x:f>
        <x:v>0</x:v>
      </x:c>
      <x:c r="S64" s="116" t="n">
        <x:f>IF($L64&lt;$D$5,"",IF($L64=$D$5,$J$10+$N64-IF($M64,IF(INT(($L64-$D$5)/7)&lt;$A$20,$B$20,$D$10),0),S63+$N64-IF($M64,IF(INT(($L64-$D$5)/7)&lt;$A$20,$B$20,$D$10),0)))</x:f>
        <x:v>0</x:v>
      </x:c>
      <x:c r="T64" s="116" t="n">
        <x:f>IF($L64&lt;$D$5,"",IF($L64=$D$5,$J$10+$N64-IF($M64,IF(INT(($L64-$D$5)/7)&lt;$A$21,$B$21,$D$10),0),T63+$N64-IF($M64,IF(INT(($L64-$D$5)/7)&lt;$A$21,$B$21,$D$10),0)))</x:f>
        <x:v>0</x:v>
      </x:c>
      <x:c r="U64" s="116" t="n">
        <x:f>IF($L64&lt;$D$5,"",IF($L64=$D$5,$J$10+$N64-IF($M64,IF(INT(($L64-$D$5)/7)&lt;$A$22,$B$22,$D$10),0),U63+$N64-IF($M64,IF(INT(($L64-$D$5)/7)&lt;$A$22,$B$22,$D$10),0)))</x:f>
        <x:v>0</x:v>
      </x:c>
      <x:c r="V64" s="116" t="n">
        <x:f>IF($L64&lt;$D$5,"",IF($L64=$D$5,$J$10+$N64-IF($M64,IF(INT(($L64-$D$5)/7)&lt;$A$23,$B$23,$D$10),0),V63+$N64-IF($M64,IF(INT(($L64-$D$5)/7)&lt;$A$23,$B$23,$D$10),0)))</x:f>
        <x:v>0</x:v>
      </x:c>
      <x:c r="W64" s="116" t="n">
        <x:f>IF($L64&lt;$D$5,"",IF($L64=$D$5,$J$10+$N64-IF($M64,IF(INT(($L64-$D$5)/7)&lt;$A$24,$B$24,$D$10),0),W63+$N64-IF($M64,IF(INT(($L64-$D$5)/7)&lt;$A$24,$B$24,$D$10),0)))</x:f>
        <x:v>0</x:v>
      </x:c>
      <x:c r="X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Y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Z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A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B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C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D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E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F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G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H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I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J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K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L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M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N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O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P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Q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R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S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T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U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V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W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X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Y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AZ64" s="116"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c r="BA64" s="117" t="n">
        <x:f>IF(OR(INDEX('1 Budget annuel'!$A$14:$A$43,COLUMN()-COLUMN($X$42)+1)&lt;&gt;"Oui",INDEX('1 Budget annuel'!$L$14:$L$43,COLUMN()-COLUMN($X$42)+1)="",AND(INDEX('1 Budget annuel'!$B$14:$B$43,COLUMN()-COLUMN($X$42)+1)="Sortie",INDEX('1 Budget annuel'!$M$14:$M$43,COLUMN()-COLUMN($X$42)+1)="Oui"),$L64&lt;INDEX('1 Budget annuel'!$L$14:$L$43,COLUMN()-COLUMN($X$42)+1),$L64&gt;$D$5+363),0,IF(OR(AND(INDEX('1 Budget annuel'!$E$14:$E$43,COLUMN()-COLUMN($X$42)+1)="Hebdomadaire",MOD($L64-INDEX('1 Budget annuel'!$L$14:$L$43,COLUMN()-COLUMN($X$42)+1),7)=0),AND(INDEX('1 Budget annuel'!$E$14:$E$43,COLUMN()-COLUMN($X$42)+1)="Toutes les 4 semaines",MOD($L64-INDEX('1 Budget annuel'!$L$14:$L$43,COLUMN()-COLUMN($X$42)+1),28)=0),AND(INDEX('1 Budget annuel'!$E$14:$E$43,COLUMN()-COLUMN($X$42)+1)="Mensuelle",DAY($L64)=MIN(DAY(INDEX('1 Budget annuel'!$L$14:$L$43,COLUMN()-COLUMN($X$42)+1)),DAY(EOMONTH($L64,0)))),AND(INDEX('1 Budget annuel'!$E$14:$E$43,COLUMN()-COLUMN($X$42)+1)="Trimestrielle",MOD((YEAR($L64)-YEAR(INDEX('1 Budget annuel'!$L$14:$L$43,COLUMN()-COLUMN($X$42)+1)))*12+MONTH($L64)-MONTH(INDEX('1 Budget annuel'!$L$14:$L$43,COLUMN()-COLUMN($X$42)+1)),3)=0,DAY($L64)=MIN(DAY(INDEX('1 Budget annuel'!$L$14:$L$43,COLUMN()-COLUMN($X$42)+1)),DAY(EOMONTH($L64,0)))),AND(INDEX('1 Budget annuel'!$E$14:$E$43,COLUMN()-COLUMN($X$42)+1)="Semestrielle",MOD((YEAR($L64)-YEAR(INDEX('1 Budget annuel'!$L$14:$L$43,COLUMN()-COLUMN($X$42)+1)))*12+MONTH($L64)-MONTH(INDEX('1 Budget annuel'!$L$14:$L$43,COLUMN()-COLUMN($X$42)+1)),6)=0,DAY($L64)=MIN(DAY(INDEX('1 Budget annuel'!$L$14:$L$43,COLUMN()-COLUMN($X$42)+1)),DAY(EOMONTH($L64,0)))),AND(INDEX('1 Budget annuel'!$E$14:$E$43,COLUMN()-COLUMN($X$42)+1)="Annuelle",MOD((YEAR($L64)-YEAR(INDEX('1 Budget annuel'!$L$14:$L$43,COLUMN()-COLUMN($X$42)+1)))*12+MONTH($L64)-MONTH(INDEX('1 Budget annuel'!$L$14:$L$43,COLUMN()-COLUMN($X$42)+1)),12)=0,DAY($L64)=MIN(DAY(INDEX('1 Budget annuel'!$L$14:$L$43,COLUMN()-COLUMN($X$42)+1)),DAY(EOMONTH($L64,0))))),IF(INDEX('1 Budget annuel'!$B$14:$B$43,COLUMN()-COLUMN($X$42)+1)="Entrée",INDEX('1 Budget annuel'!$I$14:$I$43,COLUMN()-COLUMN($X$42)+1),-INDEX('1 Budget annuel'!$I$14:$I$43,COLUMN()-COLUMN($X$42)+1)),0))</x:f>
        <x:v>0</x:v>
      </x:c>
    </x:row>
    <x:row r="65">
      <x:c r="L65" s="114" t="n">
        <x:f>L64+1</x:f>
        <x:v>46259</x:v>
      </x:c>
      <x:c r="M65" s="115" t="b">
        <x:f>AND(L65&gt;=$D$5,L65&lt;=$D$5+363,MOD(L65-$D$5,7)=0)</x:f>
        <x:v>0</x:v>
      </x:c>
      <x:c r="N65" s="116" t="n">
        <x:f>SUM(X65:BA65)</x:f>
        <x:v>0</x:v>
      </x:c>
      <x:c r="O65" s="116" t="n">
        <x:f>IF(M65,$D$10,0)</x:f>
        <x:v>0</x:v>
      </x:c>
      <x:c r="P65" s="116" t="n">
        <x:f>N65-O65</x:f>
        <x:v>0</x:v>
      </x:c>
      <x:c r="Q65" s="116" t="n">
        <x:f>IF(L65&lt;$D$5,0,IF(L65=$D$5,P65,Q64+P65))</x:f>
        <x:v>0</x:v>
      </x:c>
      <x:c r="R65" s="116" t="n">
        <x:f>IF(L65&lt;$D$5,"",$J$10+Q65)</x:f>
        <x:v>0</x:v>
      </x:c>
      <x:c r="S65" s="116" t="n">
        <x:f>IF($L65&lt;$D$5,"",IF($L65=$D$5,$J$10+$N65-IF($M65,IF(INT(($L65-$D$5)/7)&lt;$A$20,$B$20,$D$10),0),S64+$N65-IF($M65,IF(INT(($L65-$D$5)/7)&lt;$A$20,$B$20,$D$10),0)))</x:f>
        <x:v>0</x:v>
      </x:c>
      <x:c r="T65" s="116" t="n">
        <x:f>IF($L65&lt;$D$5,"",IF($L65=$D$5,$J$10+$N65-IF($M65,IF(INT(($L65-$D$5)/7)&lt;$A$21,$B$21,$D$10),0),T64+$N65-IF($M65,IF(INT(($L65-$D$5)/7)&lt;$A$21,$B$21,$D$10),0)))</x:f>
        <x:v>0</x:v>
      </x:c>
      <x:c r="U65" s="116" t="n">
        <x:f>IF($L65&lt;$D$5,"",IF($L65=$D$5,$J$10+$N65-IF($M65,IF(INT(($L65-$D$5)/7)&lt;$A$22,$B$22,$D$10),0),U64+$N65-IF($M65,IF(INT(($L65-$D$5)/7)&lt;$A$22,$B$22,$D$10),0)))</x:f>
        <x:v>0</x:v>
      </x:c>
      <x:c r="V65" s="116" t="n">
        <x:f>IF($L65&lt;$D$5,"",IF($L65=$D$5,$J$10+$N65-IF($M65,IF(INT(($L65-$D$5)/7)&lt;$A$23,$B$23,$D$10),0),V64+$N65-IF($M65,IF(INT(($L65-$D$5)/7)&lt;$A$23,$B$23,$D$10),0)))</x:f>
        <x:v>0</x:v>
      </x:c>
      <x:c r="W65" s="116" t="n">
        <x:f>IF($L65&lt;$D$5,"",IF($L65=$D$5,$J$10+$N65-IF($M65,IF(INT(($L65-$D$5)/7)&lt;$A$24,$B$24,$D$10),0),W64+$N65-IF($M65,IF(INT(($L65-$D$5)/7)&lt;$A$24,$B$24,$D$10),0)))</x:f>
        <x:v>0</x:v>
      </x:c>
      <x:c r="X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Y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Z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A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B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C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D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E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F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G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H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I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J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K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L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M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N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O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P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Q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R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S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T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U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V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W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X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Y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AZ65" s="116"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c r="BA65" s="117" t="n">
        <x:f>IF(OR(INDEX('1 Budget annuel'!$A$14:$A$43,COLUMN()-COLUMN($X$42)+1)&lt;&gt;"Oui",INDEX('1 Budget annuel'!$L$14:$L$43,COLUMN()-COLUMN($X$42)+1)="",AND(INDEX('1 Budget annuel'!$B$14:$B$43,COLUMN()-COLUMN($X$42)+1)="Sortie",INDEX('1 Budget annuel'!$M$14:$M$43,COLUMN()-COLUMN($X$42)+1)="Oui"),$L65&lt;INDEX('1 Budget annuel'!$L$14:$L$43,COLUMN()-COLUMN($X$42)+1),$L65&gt;$D$5+363),0,IF(OR(AND(INDEX('1 Budget annuel'!$E$14:$E$43,COLUMN()-COLUMN($X$42)+1)="Hebdomadaire",MOD($L65-INDEX('1 Budget annuel'!$L$14:$L$43,COLUMN()-COLUMN($X$42)+1),7)=0),AND(INDEX('1 Budget annuel'!$E$14:$E$43,COLUMN()-COLUMN($X$42)+1)="Toutes les 4 semaines",MOD($L65-INDEX('1 Budget annuel'!$L$14:$L$43,COLUMN()-COLUMN($X$42)+1),28)=0),AND(INDEX('1 Budget annuel'!$E$14:$E$43,COLUMN()-COLUMN($X$42)+1)="Mensuelle",DAY($L65)=MIN(DAY(INDEX('1 Budget annuel'!$L$14:$L$43,COLUMN()-COLUMN($X$42)+1)),DAY(EOMONTH($L65,0)))),AND(INDEX('1 Budget annuel'!$E$14:$E$43,COLUMN()-COLUMN($X$42)+1)="Trimestrielle",MOD((YEAR($L65)-YEAR(INDEX('1 Budget annuel'!$L$14:$L$43,COLUMN()-COLUMN($X$42)+1)))*12+MONTH($L65)-MONTH(INDEX('1 Budget annuel'!$L$14:$L$43,COLUMN()-COLUMN($X$42)+1)),3)=0,DAY($L65)=MIN(DAY(INDEX('1 Budget annuel'!$L$14:$L$43,COLUMN()-COLUMN($X$42)+1)),DAY(EOMONTH($L65,0)))),AND(INDEX('1 Budget annuel'!$E$14:$E$43,COLUMN()-COLUMN($X$42)+1)="Semestrielle",MOD((YEAR($L65)-YEAR(INDEX('1 Budget annuel'!$L$14:$L$43,COLUMN()-COLUMN($X$42)+1)))*12+MONTH($L65)-MONTH(INDEX('1 Budget annuel'!$L$14:$L$43,COLUMN()-COLUMN($X$42)+1)),6)=0,DAY($L65)=MIN(DAY(INDEX('1 Budget annuel'!$L$14:$L$43,COLUMN()-COLUMN($X$42)+1)),DAY(EOMONTH($L65,0)))),AND(INDEX('1 Budget annuel'!$E$14:$E$43,COLUMN()-COLUMN($X$42)+1)="Annuelle",MOD((YEAR($L65)-YEAR(INDEX('1 Budget annuel'!$L$14:$L$43,COLUMN()-COLUMN($X$42)+1)))*12+MONTH($L65)-MONTH(INDEX('1 Budget annuel'!$L$14:$L$43,COLUMN()-COLUMN($X$42)+1)),12)=0,DAY($L65)=MIN(DAY(INDEX('1 Budget annuel'!$L$14:$L$43,COLUMN()-COLUMN($X$42)+1)),DAY(EOMONTH($L65,0))))),IF(INDEX('1 Budget annuel'!$B$14:$B$43,COLUMN()-COLUMN($X$42)+1)="Entrée",INDEX('1 Budget annuel'!$I$14:$I$43,COLUMN()-COLUMN($X$42)+1),-INDEX('1 Budget annuel'!$I$14:$I$43,COLUMN()-COLUMN($X$42)+1)),0))</x:f>
        <x:v>0</x:v>
      </x:c>
    </x:row>
    <x:row r="66">
      <x:c r="L66" s="114" t="n">
        <x:f>L65+1</x:f>
        <x:v>46260</x:v>
      </x:c>
      <x:c r="M66" s="115" t="b">
        <x:f>AND(L66&gt;=$D$5,L66&lt;=$D$5+363,MOD(L66-$D$5,7)=0)</x:f>
        <x:v>0</x:v>
      </x:c>
      <x:c r="N66" s="116" t="n">
        <x:f>SUM(X66:BA66)</x:f>
        <x:v>0</x:v>
      </x:c>
      <x:c r="O66" s="116" t="n">
        <x:f>IF(M66,$D$10,0)</x:f>
        <x:v>0</x:v>
      </x:c>
      <x:c r="P66" s="116" t="n">
        <x:f>N66-O66</x:f>
        <x:v>0</x:v>
      </x:c>
      <x:c r="Q66" s="116" t="n">
        <x:f>IF(L66&lt;$D$5,0,IF(L66=$D$5,P66,Q65+P66))</x:f>
        <x:v>0</x:v>
      </x:c>
      <x:c r="R66" s="116" t="n">
        <x:f>IF(L66&lt;$D$5,"",$J$10+Q66)</x:f>
        <x:v>0</x:v>
      </x:c>
      <x:c r="S66" s="116" t="n">
        <x:f>IF($L66&lt;$D$5,"",IF($L66=$D$5,$J$10+$N66-IF($M66,IF(INT(($L66-$D$5)/7)&lt;$A$20,$B$20,$D$10),0),S65+$N66-IF($M66,IF(INT(($L66-$D$5)/7)&lt;$A$20,$B$20,$D$10),0)))</x:f>
        <x:v>0</x:v>
      </x:c>
      <x:c r="T66" s="116" t="n">
        <x:f>IF($L66&lt;$D$5,"",IF($L66=$D$5,$J$10+$N66-IF($M66,IF(INT(($L66-$D$5)/7)&lt;$A$21,$B$21,$D$10),0),T65+$N66-IF($M66,IF(INT(($L66-$D$5)/7)&lt;$A$21,$B$21,$D$10),0)))</x:f>
        <x:v>0</x:v>
      </x:c>
      <x:c r="U66" s="116" t="n">
        <x:f>IF($L66&lt;$D$5,"",IF($L66=$D$5,$J$10+$N66-IF($M66,IF(INT(($L66-$D$5)/7)&lt;$A$22,$B$22,$D$10),0),U65+$N66-IF($M66,IF(INT(($L66-$D$5)/7)&lt;$A$22,$B$22,$D$10),0)))</x:f>
        <x:v>0</x:v>
      </x:c>
      <x:c r="V66" s="116" t="n">
        <x:f>IF($L66&lt;$D$5,"",IF($L66=$D$5,$J$10+$N66-IF($M66,IF(INT(($L66-$D$5)/7)&lt;$A$23,$B$23,$D$10),0),V65+$N66-IF($M66,IF(INT(($L66-$D$5)/7)&lt;$A$23,$B$23,$D$10),0)))</x:f>
        <x:v>0</x:v>
      </x:c>
      <x:c r="W66" s="116" t="n">
        <x:f>IF($L66&lt;$D$5,"",IF($L66=$D$5,$J$10+$N66-IF($M66,IF(INT(($L66-$D$5)/7)&lt;$A$24,$B$24,$D$10),0),W65+$N66-IF($M66,IF(INT(($L66-$D$5)/7)&lt;$A$24,$B$24,$D$10),0)))</x:f>
        <x:v>0</x:v>
      </x:c>
      <x:c r="X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Y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Z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A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B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C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D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E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F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G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H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I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J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K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L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M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N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O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P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Q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R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S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T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U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V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W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X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Y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AZ66" s="116"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c r="BA66" s="117" t="n">
        <x:f>IF(OR(INDEX('1 Budget annuel'!$A$14:$A$43,COLUMN()-COLUMN($X$42)+1)&lt;&gt;"Oui",INDEX('1 Budget annuel'!$L$14:$L$43,COLUMN()-COLUMN($X$42)+1)="",AND(INDEX('1 Budget annuel'!$B$14:$B$43,COLUMN()-COLUMN($X$42)+1)="Sortie",INDEX('1 Budget annuel'!$M$14:$M$43,COLUMN()-COLUMN($X$42)+1)="Oui"),$L66&lt;INDEX('1 Budget annuel'!$L$14:$L$43,COLUMN()-COLUMN($X$42)+1),$L66&gt;$D$5+363),0,IF(OR(AND(INDEX('1 Budget annuel'!$E$14:$E$43,COLUMN()-COLUMN($X$42)+1)="Hebdomadaire",MOD($L66-INDEX('1 Budget annuel'!$L$14:$L$43,COLUMN()-COLUMN($X$42)+1),7)=0),AND(INDEX('1 Budget annuel'!$E$14:$E$43,COLUMN()-COLUMN($X$42)+1)="Toutes les 4 semaines",MOD($L66-INDEX('1 Budget annuel'!$L$14:$L$43,COLUMN()-COLUMN($X$42)+1),28)=0),AND(INDEX('1 Budget annuel'!$E$14:$E$43,COLUMN()-COLUMN($X$42)+1)="Mensuelle",DAY($L66)=MIN(DAY(INDEX('1 Budget annuel'!$L$14:$L$43,COLUMN()-COLUMN($X$42)+1)),DAY(EOMONTH($L66,0)))),AND(INDEX('1 Budget annuel'!$E$14:$E$43,COLUMN()-COLUMN($X$42)+1)="Trimestrielle",MOD((YEAR($L66)-YEAR(INDEX('1 Budget annuel'!$L$14:$L$43,COLUMN()-COLUMN($X$42)+1)))*12+MONTH($L66)-MONTH(INDEX('1 Budget annuel'!$L$14:$L$43,COLUMN()-COLUMN($X$42)+1)),3)=0,DAY($L66)=MIN(DAY(INDEX('1 Budget annuel'!$L$14:$L$43,COLUMN()-COLUMN($X$42)+1)),DAY(EOMONTH($L66,0)))),AND(INDEX('1 Budget annuel'!$E$14:$E$43,COLUMN()-COLUMN($X$42)+1)="Semestrielle",MOD((YEAR($L66)-YEAR(INDEX('1 Budget annuel'!$L$14:$L$43,COLUMN()-COLUMN($X$42)+1)))*12+MONTH($L66)-MONTH(INDEX('1 Budget annuel'!$L$14:$L$43,COLUMN()-COLUMN($X$42)+1)),6)=0,DAY($L66)=MIN(DAY(INDEX('1 Budget annuel'!$L$14:$L$43,COLUMN()-COLUMN($X$42)+1)),DAY(EOMONTH($L66,0)))),AND(INDEX('1 Budget annuel'!$E$14:$E$43,COLUMN()-COLUMN($X$42)+1)="Annuelle",MOD((YEAR($L66)-YEAR(INDEX('1 Budget annuel'!$L$14:$L$43,COLUMN()-COLUMN($X$42)+1)))*12+MONTH($L66)-MONTH(INDEX('1 Budget annuel'!$L$14:$L$43,COLUMN()-COLUMN($X$42)+1)),12)=0,DAY($L66)=MIN(DAY(INDEX('1 Budget annuel'!$L$14:$L$43,COLUMN()-COLUMN($X$42)+1)),DAY(EOMONTH($L66,0))))),IF(INDEX('1 Budget annuel'!$B$14:$B$43,COLUMN()-COLUMN($X$42)+1)="Entrée",INDEX('1 Budget annuel'!$I$14:$I$43,COLUMN()-COLUMN($X$42)+1),-INDEX('1 Budget annuel'!$I$14:$I$43,COLUMN()-COLUMN($X$42)+1)),0))</x:f>
        <x:v>0</x:v>
      </x:c>
    </x:row>
    <x:row r="67">
      <x:c r="L67" s="114" t="n">
        <x:f>L66+1</x:f>
        <x:v>46261</x:v>
      </x:c>
      <x:c r="M67" s="115" t="b">
        <x:f>AND(L67&gt;=$D$5,L67&lt;=$D$5+363,MOD(L67-$D$5,7)=0)</x:f>
        <x:v>0</x:v>
      </x:c>
      <x:c r="N67" s="116" t="n">
        <x:f>SUM(X67:BA67)</x:f>
        <x:v>0</x:v>
      </x:c>
      <x:c r="O67" s="116" t="n">
        <x:f>IF(M67,$D$10,0)</x:f>
        <x:v>0</x:v>
      </x:c>
      <x:c r="P67" s="116" t="n">
        <x:f>N67-O67</x:f>
        <x:v>0</x:v>
      </x:c>
      <x:c r="Q67" s="116" t="n">
        <x:f>IF(L67&lt;$D$5,0,IF(L67=$D$5,P67,Q66+P67))</x:f>
        <x:v>0</x:v>
      </x:c>
      <x:c r="R67" s="116" t="n">
        <x:f>IF(L67&lt;$D$5,"",$J$10+Q67)</x:f>
        <x:v>0</x:v>
      </x:c>
      <x:c r="S67" s="116" t="n">
        <x:f>IF($L67&lt;$D$5,"",IF($L67=$D$5,$J$10+$N67-IF($M67,IF(INT(($L67-$D$5)/7)&lt;$A$20,$B$20,$D$10),0),S66+$N67-IF($M67,IF(INT(($L67-$D$5)/7)&lt;$A$20,$B$20,$D$10),0)))</x:f>
        <x:v>0</x:v>
      </x:c>
      <x:c r="T67" s="116" t="n">
        <x:f>IF($L67&lt;$D$5,"",IF($L67=$D$5,$J$10+$N67-IF($M67,IF(INT(($L67-$D$5)/7)&lt;$A$21,$B$21,$D$10),0),T66+$N67-IF($M67,IF(INT(($L67-$D$5)/7)&lt;$A$21,$B$21,$D$10),0)))</x:f>
        <x:v>0</x:v>
      </x:c>
      <x:c r="U67" s="116" t="n">
        <x:f>IF($L67&lt;$D$5,"",IF($L67=$D$5,$J$10+$N67-IF($M67,IF(INT(($L67-$D$5)/7)&lt;$A$22,$B$22,$D$10),0),U66+$N67-IF($M67,IF(INT(($L67-$D$5)/7)&lt;$A$22,$B$22,$D$10),0)))</x:f>
        <x:v>0</x:v>
      </x:c>
      <x:c r="V67" s="116" t="n">
        <x:f>IF($L67&lt;$D$5,"",IF($L67=$D$5,$J$10+$N67-IF($M67,IF(INT(($L67-$D$5)/7)&lt;$A$23,$B$23,$D$10),0),V66+$N67-IF($M67,IF(INT(($L67-$D$5)/7)&lt;$A$23,$B$23,$D$10),0)))</x:f>
        <x:v>0</x:v>
      </x:c>
      <x:c r="W67" s="116" t="n">
        <x:f>IF($L67&lt;$D$5,"",IF($L67=$D$5,$J$10+$N67-IF($M67,IF(INT(($L67-$D$5)/7)&lt;$A$24,$B$24,$D$10),0),W66+$N67-IF($M67,IF(INT(($L67-$D$5)/7)&lt;$A$24,$B$24,$D$10),0)))</x:f>
        <x:v>0</x:v>
      </x:c>
      <x:c r="X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Y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Z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A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B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C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D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E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F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G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H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I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J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K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L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M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N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O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P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Q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R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S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T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U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V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W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X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Y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AZ67" s="116"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c r="BA67" s="117" t="n">
        <x:f>IF(OR(INDEX('1 Budget annuel'!$A$14:$A$43,COLUMN()-COLUMN($X$42)+1)&lt;&gt;"Oui",INDEX('1 Budget annuel'!$L$14:$L$43,COLUMN()-COLUMN($X$42)+1)="",AND(INDEX('1 Budget annuel'!$B$14:$B$43,COLUMN()-COLUMN($X$42)+1)="Sortie",INDEX('1 Budget annuel'!$M$14:$M$43,COLUMN()-COLUMN($X$42)+1)="Oui"),$L67&lt;INDEX('1 Budget annuel'!$L$14:$L$43,COLUMN()-COLUMN($X$42)+1),$L67&gt;$D$5+363),0,IF(OR(AND(INDEX('1 Budget annuel'!$E$14:$E$43,COLUMN()-COLUMN($X$42)+1)="Hebdomadaire",MOD($L67-INDEX('1 Budget annuel'!$L$14:$L$43,COLUMN()-COLUMN($X$42)+1),7)=0),AND(INDEX('1 Budget annuel'!$E$14:$E$43,COLUMN()-COLUMN($X$42)+1)="Toutes les 4 semaines",MOD($L67-INDEX('1 Budget annuel'!$L$14:$L$43,COLUMN()-COLUMN($X$42)+1),28)=0),AND(INDEX('1 Budget annuel'!$E$14:$E$43,COLUMN()-COLUMN($X$42)+1)="Mensuelle",DAY($L67)=MIN(DAY(INDEX('1 Budget annuel'!$L$14:$L$43,COLUMN()-COLUMN($X$42)+1)),DAY(EOMONTH($L67,0)))),AND(INDEX('1 Budget annuel'!$E$14:$E$43,COLUMN()-COLUMN($X$42)+1)="Trimestrielle",MOD((YEAR($L67)-YEAR(INDEX('1 Budget annuel'!$L$14:$L$43,COLUMN()-COLUMN($X$42)+1)))*12+MONTH($L67)-MONTH(INDEX('1 Budget annuel'!$L$14:$L$43,COLUMN()-COLUMN($X$42)+1)),3)=0,DAY($L67)=MIN(DAY(INDEX('1 Budget annuel'!$L$14:$L$43,COLUMN()-COLUMN($X$42)+1)),DAY(EOMONTH($L67,0)))),AND(INDEX('1 Budget annuel'!$E$14:$E$43,COLUMN()-COLUMN($X$42)+1)="Semestrielle",MOD((YEAR($L67)-YEAR(INDEX('1 Budget annuel'!$L$14:$L$43,COLUMN()-COLUMN($X$42)+1)))*12+MONTH($L67)-MONTH(INDEX('1 Budget annuel'!$L$14:$L$43,COLUMN()-COLUMN($X$42)+1)),6)=0,DAY($L67)=MIN(DAY(INDEX('1 Budget annuel'!$L$14:$L$43,COLUMN()-COLUMN($X$42)+1)),DAY(EOMONTH($L67,0)))),AND(INDEX('1 Budget annuel'!$E$14:$E$43,COLUMN()-COLUMN($X$42)+1)="Annuelle",MOD((YEAR($L67)-YEAR(INDEX('1 Budget annuel'!$L$14:$L$43,COLUMN()-COLUMN($X$42)+1)))*12+MONTH($L67)-MONTH(INDEX('1 Budget annuel'!$L$14:$L$43,COLUMN()-COLUMN($X$42)+1)),12)=0,DAY($L67)=MIN(DAY(INDEX('1 Budget annuel'!$L$14:$L$43,COLUMN()-COLUMN($X$42)+1)),DAY(EOMONTH($L67,0))))),IF(INDEX('1 Budget annuel'!$B$14:$B$43,COLUMN()-COLUMN($X$42)+1)="Entrée",INDEX('1 Budget annuel'!$I$14:$I$43,COLUMN()-COLUMN($X$42)+1),-INDEX('1 Budget annuel'!$I$14:$I$43,COLUMN()-COLUMN($X$42)+1)),0))</x:f>
        <x:v>0</x:v>
      </x:c>
    </x:row>
    <x:row r="68">
      <x:c r="L68" s="114" t="n">
        <x:f>L67+1</x:f>
        <x:v>46262</x:v>
      </x:c>
      <x:c r="M68" s="115" t="b">
        <x:f>AND(L68&gt;=$D$5,L68&lt;=$D$5+363,MOD(L68-$D$5,7)=0)</x:f>
        <x:v>0</x:v>
      </x:c>
      <x:c r="N68" s="116" t="n">
        <x:f>SUM(X68:BA68)</x:f>
        <x:v>0</x:v>
      </x:c>
      <x:c r="O68" s="116" t="n">
        <x:f>IF(M68,$D$10,0)</x:f>
        <x:v>0</x:v>
      </x:c>
      <x:c r="P68" s="116" t="n">
        <x:f>N68-O68</x:f>
        <x:v>0</x:v>
      </x:c>
      <x:c r="Q68" s="116" t="n">
        <x:f>IF(L68&lt;$D$5,0,IF(L68=$D$5,P68,Q67+P68))</x:f>
        <x:v>0</x:v>
      </x:c>
      <x:c r="R68" s="116" t="n">
        <x:f>IF(L68&lt;$D$5,"",$J$10+Q68)</x:f>
        <x:v>0</x:v>
      </x:c>
      <x:c r="S68" s="116" t="n">
        <x:f>IF($L68&lt;$D$5,"",IF($L68=$D$5,$J$10+$N68-IF($M68,IF(INT(($L68-$D$5)/7)&lt;$A$20,$B$20,$D$10),0),S67+$N68-IF($M68,IF(INT(($L68-$D$5)/7)&lt;$A$20,$B$20,$D$10),0)))</x:f>
        <x:v>0</x:v>
      </x:c>
      <x:c r="T68" s="116" t="n">
        <x:f>IF($L68&lt;$D$5,"",IF($L68=$D$5,$J$10+$N68-IF($M68,IF(INT(($L68-$D$5)/7)&lt;$A$21,$B$21,$D$10),0),T67+$N68-IF($M68,IF(INT(($L68-$D$5)/7)&lt;$A$21,$B$21,$D$10),0)))</x:f>
        <x:v>0</x:v>
      </x:c>
      <x:c r="U68" s="116" t="n">
        <x:f>IF($L68&lt;$D$5,"",IF($L68=$D$5,$J$10+$N68-IF($M68,IF(INT(($L68-$D$5)/7)&lt;$A$22,$B$22,$D$10),0),U67+$N68-IF($M68,IF(INT(($L68-$D$5)/7)&lt;$A$22,$B$22,$D$10),0)))</x:f>
        <x:v>0</x:v>
      </x:c>
      <x:c r="V68" s="116" t="n">
        <x:f>IF($L68&lt;$D$5,"",IF($L68=$D$5,$J$10+$N68-IF($M68,IF(INT(($L68-$D$5)/7)&lt;$A$23,$B$23,$D$10),0),V67+$N68-IF($M68,IF(INT(($L68-$D$5)/7)&lt;$A$23,$B$23,$D$10),0)))</x:f>
        <x:v>0</x:v>
      </x:c>
      <x:c r="W68" s="116" t="n">
        <x:f>IF($L68&lt;$D$5,"",IF($L68=$D$5,$J$10+$N68-IF($M68,IF(INT(($L68-$D$5)/7)&lt;$A$24,$B$24,$D$10),0),W67+$N68-IF($M68,IF(INT(($L68-$D$5)/7)&lt;$A$24,$B$24,$D$10),0)))</x:f>
        <x:v>0</x:v>
      </x:c>
      <x:c r="X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Y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Z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A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B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C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D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E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F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G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H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I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J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K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L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M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N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O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P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Q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R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S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T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U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V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W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X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Y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AZ68" s="116"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c r="BA68" s="117" t="n">
        <x:f>IF(OR(INDEX('1 Budget annuel'!$A$14:$A$43,COLUMN()-COLUMN($X$42)+1)&lt;&gt;"Oui",INDEX('1 Budget annuel'!$L$14:$L$43,COLUMN()-COLUMN($X$42)+1)="",AND(INDEX('1 Budget annuel'!$B$14:$B$43,COLUMN()-COLUMN($X$42)+1)="Sortie",INDEX('1 Budget annuel'!$M$14:$M$43,COLUMN()-COLUMN($X$42)+1)="Oui"),$L68&lt;INDEX('1 Budget annuel'!$L$14:$L$43,COLUMN()-COLUMN($X$42)+1),$L68&gt;$D$5+363),0,IF(OR(AND(INDEX('1 Budget annuel'!$E$14:$E$43,COLUMN()-COLUMN($X$42)+1)="Hebdomadaire",MOD($L68-INDEX('1 Budget annuel'!$L$14:$L$43,COLUMN()-COLUMN($X$42)+1),7)=0),AND(INDEX('1 Budget annuel'!$E$14:$E$43,COLUMN()-COLUMN($X$42)+1)="Toutes les 4 semaines",MOD($L68-INDEX('1 Budget annuel'!$L$14:$L$43,COLUMN()-COLUMN($X$42)+1),28)=0),AND(INDEX('1 Budget annuel'!$E$14:$E$43,COLUMN()-COLUMN($X$42)+1)="Mensuelle",DAY($L68)=MIN(DAY(INDEX('1 Budget annuel'!$L$14:$L$43,COLUMN()-COLUMN($X$42)+1)),DAY(EOMONTH($L68,0)))),AND(INDEX('1 Budget annuel'!$E$14:$E$43,COLUMN()-COLUMN($X$42)+1)="Trimestrielle",MOD((YEAR($L68)-YEAR(INDEX('1 Budget annuel'!$L$14:$L$43,COLUMN()-COLUMN($X$42)+1)))*12+MONTH($L68)-MONTH(INDEX('1 Budget annuel'!$L$14:$L$43,COLUMN()-COLUMN($X$42)+1)),3)=0,DAY($L68)=MIN(DAY(INDEX('1 Budget annuel'!$L$14:$L$43,COLUMN()-COLUMN($X$42)+1)),DAY(EOMONTH($L68,0)))),AND(INDEX('1 Budget annuel'!$E$14:$E$43,COLUMN()-COLUMN($X$42)+1)="Semestrielle",MOD((YEAR($L68)-YEAR(INDEX('1 Budget annuel'!$L$14:$L$43,COLUMN()-COLUMN($X$42)+1)))*12+MONTH($L68)-MONTH(INDEX('1 Budget annuel'!$L$14:$L$43,COLUMN()-COLUMN($X$42)+1)),6)=0,DAY($L68)=MIN(DAY(INDEX('1 Budget annuel'!$L$14:$L$43,COLUMN()-COLUMN($X$42)+1)),DAY(EOMONTH($L68,0)))),AND(INDEX('1 Budget annuel'!$E$14:$E$43,COLUMN()-COLUMN($X$42)+1)="Annuelle",MOD((YEAR($L68)-YEAR(INDEX('1 Budget annuel'!$L$14:$L$43,COLUMN()-COLUMN($X$42)+1)))*12+MONTH($L68)-MONTH(INDEX('1 Budget annuel'!$L$14:$L$43,COLUMN()-COLUMN($X$42)+1)),12)=0,DAY($L68)=MIN(DAY(INDEX('1 Budget annuel'!$L$14:$L$43,COLUMN()-COLUMN($X$42)+1)),DAY(EOMONTH($L68,0))))),IF(INDEX('1 Budget annuel'!$B$14:$B$43,COLUMN()-COLUMN($X$42)+1)="Entrée",INDEX('1 Budget annuel'!$I$14:$I$43,COLUMN()-COLUMN($X$42)+1),-INDEX('1 Budget annuel'!$I$14:$I$43,COLUMN()-COLUMN($X$42)+1)),0))</x:f>
        <x:v>0</x:v>
      </x:c>
    </x:row>
    <x:row r="69">
      <x:c r="L69" s="114" t="n">
        <x:f>L68+1</x:f>
        <x:v>46263</x:v>
      </x:c>
      <x:c r="M69" s="115" t="b">
        <x:f>AND(L69&gt;=$D$5,L69&lt;=$D$5+363,MOD(L69-$D$5,7)=0)</x:f>
        <x:v>1</x:v>
      </x:c>
      <x:c r="N69" s="116" t="n">
        <x:f>SUM(X69:BA69)</x:f>
        <x:v>0</x:v>
      </x:c>
      <x:c r="O69" s="116" t="n">
        <x:f>IF(M69,$D$10,0)</x:f>
        <x:v>0</x:v>
      </x:c>
      <x:c r="P69" s="116" t="n">
        <x:f>N69-O69</x:f>
        <x:v>0</x:v>
      </x:c>
      <x:c r="Q69" s="116" t="n">
        <x:f>IF(L69&lt;$D$5,0,IF(L69=$D$5,P69,Q68+P69))</x:f>
        <x:v>0</x:v>
      </x:c>
      <x:c r="R69" s="116" t="n">
        <x:f>IF(L69&lt;$D$5,"",$J$10+Q69)</x:f>
        <x:v>0</x:v>
      </x:c>
      <x:c r="S69" s="116" t="n">
        <x:f>IF($L69&lt;$D$5,"",IF($L69=$D$5,$J$10+$N69-IF($M69,IF(INT(($L69-$D$5)/7)&lt;$A$20,$B$20,$D$10),0),S68+$N69-IF($M69,IF(INT(($L69-$D$5)/7)&lt;$A$20,$B$20,$D$10),0)))</x:f>
        <x:v>0</x:v>
      </x:c>
      <x:c r="T69" s="116" t="n">
        <x:f>IF($L69&lt;$D$5,"",IF($L69=$D$5,$J$10+$N69-IF($M69,IF(INT(($L69-$D$5)/7)&lt;$A$21,$B$21,$D$10),0),T68+$N69-IF($M69,IF(INT(($L69-$D$5)/7)&lt;$A$21,$B$21,$D$10),0)))</x:f>
        <x:v>0</x:v>
      </x:c>
      <x:c r="U69" s="116" t="n">
        <x:f>IF($L69&lt;$D$5,"",IF($L69=$D$5,$J$10+$N69-IF($M69,IF(INT(($L69-$D$5)/7)&lt;$A$22,$B$22,$D$10),0),U68+$N69-IF($M69,IF(INT(($L69-$D$5)/7)&lt;$A$22,$B$22,$D$10),0)))</x:f>
        <x:v>0</x:v>
      </x:c>
      <x:c r="V69" s="116" t="n">
        <x:f>IF($L69&lt;$D$5,"",IF($L69=$D$5,$J$10+$N69-IF($M69,IF(INT(($L69-$D$5)/7)&lt;$A$23,$B$23,$D$10),0),V68+$N69-IF($M69,IF(INT(($L69-$D$5)/7)&lt;$A$23,$B$23,$D$10),0)))</x:f>
        <x:v>0</x:v>
      </x:c>
      <x:c r="W69" s="116" t="n">
        <x:f>IF($L69&lt;$D$5,"",IF($L69=$D$5,$J$10+$N69-IF($M69,IF(INT(($L69-$D$5)/7)&lt;$A$24,$B$24,$D$10),0),W68+$N69-IF($M69,IF(INT(($L69-$D$5)/7)&lt;$A$24,$B$24,$D$10),0)))</x:f>
        <x:v>0</x:v>
      </x:c>
      <x:c r="X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Y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Z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A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B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C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D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E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F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G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H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I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J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K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L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M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N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O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P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Q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R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S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T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U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V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W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X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Y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AZ69" s="116"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c r="BA69" s="117" t="n">
        <x:f>IF(OR(INDEX('1 Budget annuel'!$A$14:$A$43,COLUMN()-COLUMN($X$42)+1)&lt;&gt;"Oui",INDEX('1 Budget annuel'!$L$14:$L$43,COLUMN()-COLUMN($X$42)+1)="",AND(INDEX('1 Budget annuel'!$B$14:$B$43,COLUMN()-COLUMN($X$42)+1)="Sortie",INDEX('1 Budget annuel'!$M$14:$M$43,COLUMN()-COLUMN($X$42)+1)="Oui"),$L69&lt;INDEX('1 Budget annuel'!$L$14:$L$43,COLUMN()-COLUMN($X$42)+1),$L69&gt;$D$5+363),0,IF(OR(AND(INDEX('1 Budget annuel'!$E$14:$E$43,COLUMN()-COLUMN($X$42)+1)="Hebdomadaire",MOD($L69-INDEX('1 Budget annuel'!$L$14:$L$43,COLUMN()-COLUMN($X$42)+1),7)=0),AND(INDEX('1 Budget annuel'!$E$14:$E$43,COLUMN()-COLUMN($X$42)+1)="Toutes les 4 semaines",MOD($L69-INDEX('1 Budget annuel'!$L$14:$L$43,COLUMN()-COLUMN($X$42)+1),28)=0),AND(INDEX('1 Budget annuel'!$E$14:$E$43,COLUMN()-COLUMN($X$42)+1)="Mensuelle",DAY($L69)=MIN(DAY(INDEX('1 Budget annuel'!$L$14:$L$43,COLUMN()-COLUMN($X$42)+1)),DAY(EOMONTH($L69,0)))),AND(INDEX('1 Budget annuel'!$E$14:$E$43,COLUMN()-COLUMN($X$42)+1)="Trimestrielle",MOD((YEAR($L69)-YEAR(INDEX('1 Budget annuel'!$L$14:$L$43,COLUMN()-COLUMN($X$42)+1)))*12+MONTH($L69)-MONTH(INDEX('1 Budget annuel'!$L$14:$L$43,COLUMN()-COLUMN($X$42)+1)),3)=0,DAY($L69)=MIN(DAY(INDEX('1 Budget annuel'!$L$14:$L$43,COLUMN()-COLUMN($X$42)+1)),DAY(EOMONTH($L69,0)))),AND(INDEX('1 Budget annuel'!$E$14:$E$43,COLUMN()-COLUMN($X$42)+1)="Semestrielle",MOD((YEAR($L69)-YEAR(INDEX('1 Budget annuel'!$L$14:$L$43,COLUMN()-COLUMN($X$42)+1)))*12+MONTH($L69)-MONTH(INDEX('1 Budget annuel'!$L$14:$L$43,COLUMN()-COLUMN($X$42)+1)),6)=0,DAY($L69)=MIN(DAY(INDEX('1 Budget annuel'!$L$14:$L$43,COLUMN()-COLUMN($X$42)+1)),DAY(EOMONTH($L69,0)))),AND(INDEX('1 Budget annuel'!$E$14:$E$43,COLUMN()-COLUMN($X$42)+1)="Annuelle",MOD((YEAR($L69)-YEAR(INDEX('1 Budget annuel'!$L$14:$L$43,COLUMN()-COLUMN($X$42)+1)))*12+MONTH($L69)-MONTH(INDEX('1 Budget annuel'!$L$14:$L$43,COLUMN()-COLUMN($X$42)+1)),12)=0,DAY($L69)=MIN(DAY(INDEX('1 Budget annuel'!$L$14:$L$43,COLUMN()-COLUMN($X$42)+1)),DAY(EOMONTH($L69,0))))),IF(INDEX('1 Budget annuel'!$B$14:$B$43,COLUMN()-COLUMN($X$42)+1)="Entrée",INDEX('1 Budget annuel'!$I$14:$I$43,COLUMN()-COLUMN($X$42)+1),-INDEX('1 Budget annuel'!$I$14:$I$43,COLUMN()-COLUMN($X$42)+1)),0))</x:f>
        <x:v>0</x:v>
      </x:c>
    </x:row>
    <x:row r="70">
      <x:c r="L70" s="114" t="n">
        <x:f>L69+1</x:f>
        <x:v>46264</x:v>
      </x:c>
      <x:c r="M70" s="115" t="b">
        <x:f>AND(L70&gt;=$D$5,L70&lt;=$D$5+363,MOD(L70-$D$5,7)=0)</x:f>
        <x:v>0</x:v>
      </x:c>
      <x:c r="N70" s="116" t="n">
        <x:f>SUM(X70:BA70)</x:f>
        <x:v>0</x:v>
      </x:c>
      <x:c r="O70" s="116" t="n">
        <x:f>IF(M70,$D$10,0)</x:f>
        <x:v>0</x:v>
      </x:c>
      <x:c r="P70" s="116" t="n">
        <x:f>N70-O70</x:f>
        <x:v>0</x:v>
      </x:c>
      <x:c r="Q70" s="116" t="n">
        <x:f>IF(L70&lt;$D$5,0,IF(L70=$D$5,P70,Q69+P70))</x:f>
        <x:v>0</x:v>
      </x:c>
      <x:c r="R70" s="116" t="n">
        <x:f>IF(L70&lt;$D$5,"",$J$10+Q70)</x:f>
        <x:v>0</x:v>
      </x:c>
      <x:c r="S70" s="116" t="n">
        <x:f>IF($L70&lt;$D$5,"",IF($L70=$D$5,$J$10+$N70-IF($M70,IF(INT(($L70-$D$5)/7)&lt;$A$20,$B$20,$D$10),0),S69+$N70-IF($M70,IF(INT(($L70-$D$5)/7)&lt;$A$20,$B$20,$D$10),0)))</x:f>
        <x:v>0</x:v>
      </x:c>
      <x:c r="T70" s="116" t="n">
        <x:f>IF($L70&lt;$D$5,"",IF($L70=$D$5,$J$10+$N70-IF($M70,IF(INT(($L70-$D$5)/7)&lt;$A$21,$B$21,$D$10),0),T69+$N70-IF($M70,IF(INT(($L70-$D$5)/7)&lt;$A$21,$B$21,$D$10),0)))</x:f>
        <x:v>0</x:v>
      </x:c>
      <x:c r="U70" s="116" t="n">
        <x:f>IF($L70&lt;$D$5,"",IF($L70=$D$5,$J$10+$N70-IF($M70,IF(INT(($L70-$D$5)/7)&lt;$A$22,$B$22,$D$10),0),U69+$N70-IF($M70,IF(INT(($L70-$D$5)/7)&lt;$A$22,$B$22,$D$10),0)))</x:f>
        <x:v>0</x:v>
      </x:c>
      <x:c r="V70" s="116" t="n">
        <x:f>IF($L70&lt;$D$5,"",IF($L70=$D$5,$J$10+$N70-IF($M70,IF(INT(($L70-$D$5)/7)&lt;$A$23,$B$23,$D$10),0),V69+$N70-IF($M70,IF(INT(($L70-$D$5)/7)&lt;$A$23,$B$23,$D$10),0)))</x:f>
        <x:v>0</x:v>
      </x:c>
      <x:c r="W70" s="116" t="n">
        <x:f>IF($L70&lt;$D$5,"",IF($L70=$D$5,$J$10+$N70-IF($M70,IF(INT(($L70-$D$5)/7)&lt;$A$24,$B$24,$D$10),0),W69+$N70-IF($M70,IF(INT(($L70-$D$5)/7)&lt;$A$24,$B$24,$D$10),0)))</x:f>
        <x:v>0</x:v>
      </x:c>
      <x:c r="X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Y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Z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A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B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C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D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E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F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G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H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I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J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K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L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M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N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O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P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Q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R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S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T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U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V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W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X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Y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AZ70" s="116"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c r="BA70" s="117" t="n">
        <x:f>IF(OR(INDEX('1 Budget annuel'!$A$14:$A$43,COLUMN()-COLUMN($X$42)+1)&lt;&gt;"Oui",INDEX('1 Budget annuel'!$L$14:$L$43,COLUMN()-COLUMN($X$42)+1)="",AND(INDEX('1 Budget annuel'!$B$14:$B$43,COLUMN()-COLUMN($X$42)+1)="Sortie",INDEX('1 Budget annuel'!$M$14:$M$43,COLUMN()-COLUMN($X$42)+1)="Oui"),$L70&lt;INDEX('1 Budget annuel'!$L$14:$L$43,COLUMN()-COLUMN($X$42)+1),$L70&gt;$D$5+363),0,IF(OR(AND(INDEX('1 Budget annuel'!$E$14:$E$43,COLUMN()-COLUMN($X$42)+1)="Hebdomadaire",MOD($L70-INDEX('1 Budget annuel'!$L$14:$L$43,COLUMN()-COLUMN($X$42)+1),7)=0),AND(INDEX('1 Budget annuel'!$E$14:$E$43,COLUMN()-COLUMN($X$42)+1)="Toutes les 4 semaines",MOD($L70-INDEX('1 Budget annuel'!$L$14:$L$43,COLUMN()-COLUMN($X$42)+1),28)=0),AND(INDEX('1 Budget annuel'!$E$14:$E$43,COLUMN()-COLUMN($X$42)+1)="Mensuelle",DAY($L70)=MIN(DAY(INDEX('1 Budget annuel'!$L$14:$L$43,COLUMN()-COLUMN($X$42)+1)),DAY(EOMONTH($L70,0)))),AND(INDEX('1 Budget annuel'!$E$14:$E$43,COLUMN()-COLUMN($X$42)+1)="Trimestrielle",MOD((YEAR($L70)-YEAR(INDEX('1 Budget annuel'!$L$14:$L$43,COLUMN()-COLUMN($X$42)+1)))*12+MONTH($L70)-MONTH(INDEX('1 Budget annuel'!$L$14:$L$43,COLUMN()-COLUMN($X$42)+1)),3)=0,DAY($L70)=MIN(DAY(INDEX('1 Budget annuel'!$L$14:$L$43,COLUMN()-COLUMN($X$42)+1)),DAY(EOMONTH($L70,0)))),AND(INDEX('1 Budget annuel'!$E$14:$E$43,COLUMN()-COLUMN($X$42)+1)="Semestrielle",MOD((YEAR($L70)-YEAR(INDEX('1 Budget annuel'!$L$14:$L$43,COLUMN()-COLUMN($X$42)+1)))*12+MONTH($L70)-MONTH(INDEX('1 Budget annuel'!$L$14:$L$43,COLUMN()-COLUMN($X$42)+1)),6)=0,DAY($L70)=MIN(DAY(INDEX('1 Budget annuel'!$L$14:$L$43,COLUMN()-COLUMN($X$42)+1)),DAY(EOMONTH($L70,0)))),AND(INDEX('1 Budget annuel'!$E$14:$E$43,COLUMN()-COLUMN($X$42)+1)="Annuelle",MOD((YEAR($L70)-YEAR(INDEX('1 Budget annuel'!$L$14:$L$43,COLUMN()-COLUMN($X$42)+1)))*12+MONTH($L70)-MONTH(INDEX('1 Budget annuel'!$L$14:$L$43,COLUMN()-COLUMN($X$42)+1)),12)=0,DAY($L70)=MIN(DAY(INDEX('1 Budget annuel'!$L$14:$L$43,COLUMN()-COLUMN($X$42)+1)),DAY(EOMONTH($L70,0))))),IF(INDEX('1 Budget annuel'!$B$14:$B$43,COLUMN()-COLUMN($X$42)+1)="Entrée",INDEX('1 Budget annuel'!$I$14:$I$43,COLUMN()-COLUMN($X$42)+1),-INDEX('1 Budget annuel'!$I$14:$I$43,COLUMN()-COLUMN($X$42)+1)),0))</x:f>
        <x:v>0</x:v>
      </x:c>
    </x:row>
    <x:row r="71">
      <x:c r="L71" s="114" t="n">
        <x:f>L70+1</x:f>
        <x:v>46265</x:v>
      </x:c>
      <x:c r="M71" s="115" t="b">
        <x:f>AND(L71&gt;=$D$5,L71&lt;=$D$5+363,MOD(L71-$D$5,7)=0)</x:f>
        <x:v>0</x:v>
      </x:c>
      <x:c r="N71" s="116" t="n">
        <x:f>SUM(X71:BA71)</x:f>
        <x:v>0</x:v>
      </x:c>
      <x:c r="O71" s="116" t="n">
        <x:f>IF(M71,$D$10,0)</x:f>
        <x:v>0</x:v>
      </x:c>
      <x:c r="P71" s="116" t="n">
        <x:f>N71-O71</x:f>
        <x:v>0</x:v>
      </x:c>
      <x:c r="Q71" s="116" t="n">
        <x:f>IF(L71&lt;$D$5,0,IF(L71=$D$5,P71,Q70+P71))</x:f>
        <x:v>0</x:v>
      </x:c>
      <x:c r="R71" s="116" t="n">
        <x:f>IF(L71&lt;$D$5,"",$J$10+Q71)</x:f>
        <x:v>0</x:v>
      </x:c>
      <x:c r="S71" s="116" t="n">
        <x:f>IF($L71&lt;$D$5,"",IF($L71=$D$5,$J$10+$N71-IF($M71,IF(INT(($L71-$D$5)/7)&lt;$A$20,$B$20,$D$10),0),S70+$N71-IF($M71,IF(INT(($L71-$D$5)/7)&lt;$A$20,$B$20,$D$10),0)))</x:f>
        <x:v>0</x:v>
      </x:c>
      <x:c r="T71" s="116" t="n">
        <x:f>IF($L71&lt;$D$5,"",IF($L71=$D$5,$J$10+$N71-IF($M71,IF(INT(($L71-$D$5)/7)&lt;$A$21,$B$21,$D$10),0),T70+$N71-IF($M71,IF(INT(($L71-$D$5)/7)&lt;$A$21,$B$21,$D$10),0)))</x:f>
        <x:v>0</x:v>
      </x:c>
      <x:c r="U71" s="116" t="n">
        <x:f>IF($L71&lt;$D$5,"",IF($L71=$D$5,$J$10+$N71-IF($M71,IF(INT(($L71-$D$5)/7)&lt;$A$22,$B$22,$D$10),0),U70+$N71-IF($M71,IF(INT(($L71-$D$5)/7)&lt;$A$22,$B$22,$D$10),0)))</x:f>
        <x:v>0</x:v>
      </x:c>
      <x:c r="V71" s="116" t="n">
        <x:f>IF($L71&lt;$D$5,"",IF($L71=$D$5,$J$10+$N71-IF($M71,IF(INT(($L71-$D$5)/7)&lt;$A$23,$B$23,$D$10),0),V70+$N71-IF($M71,IF(INT(($L71-$D$5)/7)&lt;$A$23,$B$23,$D$10),0)))</x:f>
        <x:v>0</x:v>
      </x:c>
      <x:c r="W71" s="116" t="n">
        <x:f>IF($L71&lt;$D$5,"",IF($L71=$D$5,$J$10+$N71-IF($M71,IF(INT(($L71-$D$5)/7)&lt;$A$24,$B$24,$D$10),0),W70+$N71-IF($M71,IF(INT(($L71-$D$5)/7)&lt;$A$24,$B$24,$D$10),0)))</x:f>
        <x:v>0</x:v>
      </x:c>
      <x:c r="X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Y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Z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A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B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C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D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E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F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G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H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I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J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K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L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M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N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O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P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Q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R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S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T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U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V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W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X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Y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AZ71" s="116"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c r="BA71" s="117" t="n">
        <x:f>IF(OR(INDEX('1 Budget annuel'!$A$14:$A$43,COLUMN()-COLUMN($X$42)+1)&lt;&gt;"Oui",INDEX('1 Budget annuel'!$L$14:$L$43,COLUMN()-COLUMN($X$42)+1)="",AND(INDEX('1 Budget annuel'!$B$14:$B$43,COLUMN()-COLUMN($X$42)+1)="Sortie",INDEX('1 Budget annuel'!$M$14:$M$43,COLUMN()-COLUMN($X$42)+1)="Oui"),$L71&lt;INDEX('1 Budget annuel'!$L$14:$L$43,COLUMN()-COLUMN($X$42)+1),$L71&gt;$D$5+363),0,IF(OR(AND(INDEX('1 Budget annuel'!$E$14:$E$43,COLUMN()-COLUMN($X$42)+1)="Hebdomadaire",MOD($L71-INDEX('1 Budget annuel'!$L$14:$L$43,COLUMN()-COLUMN($X$42)+1),7)=0),AND(INDEX('1 Budget annuel'!$E$14:$E$43,COLUMN()-COLUMN($X$42)+1)="Toutes les 4 semaines",MOD($L71-INDEX('1 Budget annuel'!$L$14:$L$43,COLUMN()-COLUMN($X$42)+1),28)=0),AND(INDEX('1 Budget annuel'!$E$14:$E$43,COLUMN()-COLUMN($X$42)+1)="Mensuelle",DAY($L71)=MIN(DAY(INDEX('1 Budget annuel'!$L$14:$L$43,COLUMN()-COLUMN($X$42)+1)),DAY(EOMONTH($L71,0)))),AND(INDEX('1 Budget annuel'!$E$14:$E$43,COLUMN()-COLUMN($X$42)+1)="Trimestrielle",MOD((YEAR($L71)-YEAR(INDEX('1 Budget annuel'!$L$14:$L$43,COLUMN()-COLUMN($X$42)+1)))*12+MONTH($L71)-MONTH(INDEX('1 Budget annuel'!$L$14:$L$43,COLUMN()-COLUMN($X$42)+1)),3)=0,DAY($L71)=MIN(DAY(INDEX('1 Budget annuel'!$L$14:$L$43,COLUMN()-COLUMN($X$42)+1)),DAY(EOMONTH($L71,0)))),AND(INDEX('1 Budget annuel'!$E$14:$E$43,COLUMN()-COLUMN($X$42)+1)="Semestrielle",MOD((YEAR($L71)-YEAR(INDEX('1 Budget annuel'!$L$14:$L$43,COLUMN()-COLUMN($X$42)+1)))*12+MONTH($L71)-MONTH(INDEX('1 Budget annuel'!$L$14:$L$43,COLUMN()-COLUMN($X$42)+1)),6)=0,DAY($L71)=MIN(DAY(INDEX('1 Budget annuel'!$L$14:$L$43,COLUMN()-COLUMN($X$42)+1)),DAY(EOMONTH($L71,0)))),AND(INDEX('1 Budget annuel'!$E$14:$E$43,COLUMN()-COLUMN($X$42)+1)="Annuelle",MOD((YEAR($L71)-YEAR(INDEX('1 Budget annuel'!$L$14:$L$43,COLUMN()-COLUMN($X$42)+1)))*12+MONTH($L71)-MONTH(INDEX('1 Budget annuel'!$L$14:$L$43,COLUMN()-COLUMN($X$42)+1)),12)=0,DAY($L71)=MIN(DAY(INDEX('1 Budget annuel'!$L$14:$L$43,COLUMN()-COLUMN($X$42)+1)),DAY(EOMONTH($L71,0))))),IF(INDEX('1 Budget annuel'!$B$14:$B$43,COLUMN()-COLUMN($X$42)+1)="Entrée",INDEX('1 Budget annuel'!$I$14:$I$43,COLUMN()-COLUMN($X$42)+1),-INDEX('1 Budget annuel'!$I$14:$I$43,COLUMN()-COLUMN($X$42)+1)),0))</x:f>
        <x:v>0</x:v>
      </x:c>
    </x:row>
    <x:row r="72">
      <x:c r="L72" s="114" t="n">
        <x:f>L71+1</x:f>
        <x:v>46266</x:v>
      </x:c>
      <x:c r="M72" s="115" t="b">
        <x:f>AND(L72&gt;=$D$5,L72&lt;=$D$5+363,MOD(L72-$D$5,7)=0)</x:f>
        <x:v>0</x:v>
      </x:c>
      <x:c r="N72" s="116" t="n">
        <x:f>SUM(X72:BA72)</x:f>
        <x:v>0</x:v>
      </x:c>
      <x:c r="O72" s="116" t="n">
        <x:f>IF(M72,$D$10,0)</x:f>
        <x:v>0</x:v>
      </x:c>
      <x:c r="P72" s="116" t="n">
        <x:f>N72-O72</x:f>
        <x:v>0</x:v>
      </x:c>
      <x:c r="Q72" s="116" t="n">
        <x:f>IF(L72&lt;$D$5,0,IF(L72=$D$5,P72,Q71+P72))</x:f>
        <x:v>0</x:v>
      </x:c>
      <x:c r="R72" s="116" t="n">
        <x:f>IF(L72&lt;$D$5,"",$J$10+Q72)</x:f>
        <x:v>0</x:v>
      </x:c>
      <x:c r="S72" s="116" t="n">
        <x:f>IF($L72&lt;$D$5,"",IF($L72=$D$5,$J$10+$N72-IF($M72,IF(INT(($L72-$D$5)/7)&lt;$A$20,$B$20,$D$10),0),S71+$N72-IF($M72,IF(INT(($L72-$D$5)/7)&lt;$A$20,$B$20,$D$10),0)))</x:f>
        <x:v>0</x:v>
      </x:c>
      <x:c r="T72" s="116" t="n">
        <x:f>IF($L72&lt;$D$5,"",IF($L72=$D$5,$J$10+$N72-IF($M72,IF(INT(($L72-$D$5)/7)&lt;$A$21,$B$21,$D$10),0),T71+$N72-IF($M72,IF(INT(($L72-$D$5)/7)&lt;$A$21,$B$21,$D$10),0)))</x:f>
        <x:v>0</x:v>
      </x:c>
      <x:c r="U72" s="116" t="n">
        <x:f>IF($L72&lt;$D$5,"",IF($L72=$D$5,$J$10+$N72-IF($M72,IF(INT(($L72-$D$5)/7)&lt;$A$22,$B$22,$D$10),0),U71+$N72-IF($M72,IF(INT(($L72-$D$5)/7)&lt;$A$22,$B$22,$D$10),0)))</x:f>
        <x:v>0</x:v>
      </x:c>
      <x:c r="V72" s="116" t="n">
        <x:f>IF($L72&lt;$D$5,"",IF($L72=$D$5,$J$10+$N72-IF($M72,IF(INT(($L72-$D$5)/7)&lt;$A$23,$B$23,$D$10),0),V71+$N72-IF($M72,IF(INT(($L72-$D$5)/7)&lt;$A$23,$B$23,$D$10),0)))</x:f>
        <x:v>0</x:v>
      </x:c>
      <x:c r="W72" s="116" t="n">
        <x:f>IF($L72&lt;$D$5,"",IF($L72=$D$5,$J$10+$N72-IF($M72,IF(INT(($L72-$D$5)/7)&lt;$A$24,$B$24,$D$10),0),W71+$N72-IF($M72,IF(INT(($L72-$D$5)/7)&lt;$A$24,$B$24,$D$10),0)))</x:f>
        <x:v>0</x:v>
      </x:c>
      <x:c r="X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Y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Z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A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B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C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D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E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F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G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H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I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J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K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L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M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N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O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P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Q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R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S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T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U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V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W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X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Y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AZ72" s="116"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c r="BA72" s="117" t="n">
        <x:f>IF(OR(INDEX('1 Budget annuel'!$A$14:$A$43,COLUMN()-COLUMN($X$42)+1)&lt;&gt;"Oui",INDEX('1 Budget annuel'!$L$14:$L$43,COLUMN()-COLUMN($X$42)+1)="",AND(INDEX('1 Budget annuel'!$B$14:$B$43,COLUMN()-COLUMN($X$42)+1)="Sortie",INDEX('1 Budget annuel'!$M$14:$M$43,COLUMN()-COLUMN($X$42)+1)="Oui"),$L72&lt;INDEX('1 Budget annuel'!$L$14:$L$43,COLUMN()-COLUMN($X$42)+1),$L72&gt;$D$5+363),0,IF(OR(AND(INDEX('1 Budget annuel'!$E$14:$E$43,COLUMN()-COLUMN($X$42)+1)="Hebdomadaire",MOD($L72-INDEX('1 Budget annuel'!$L$14:$L$43,COLUMN()-COLUMN($X$42)+1),7)=0),AND(INDEX('1 Budget annuel'!$E$14:$E$43,COLUMN()-COLUMN($X$42)+1)="Toutes les 4 semaines",MOD($L72-INDEX('1 Budget annuel'!$L$14:$L$43,COLUMN()-COLUMN($X$42)+1),28)=0),AND(INDEX('1 Budget annuel'!$E$14:$E$43,COLUMN()-COLUMN($X$42)+1)="Mensuelle",DAY($L72)=MIN(DAY(INDEX('1 Budget annuel'!$L$14:$L$43,COLUMN()-COLUMN($X$42)+1)),DAY(EOMONTH($L72,0)))),AND(INDEX('1 Budget annuel'!$E$14:$E$43,COLUMN()-COLUMN($X$42)+1)="Trimestrielle",MOD((YEAR($L72)-YEAR(INDEX('1 Budget annuel'!$L$14:$L$43,COLUMN()-COLUMN($X$42)+1)))*12+MONTH($L72)-MONTH(INDEX('1 Budget annuel'!$L$14:$L$43,COLUMN()-COLUMN($X$42)+1)),3)=0,DAY($L72)=MIN(DAY(INDEX('1 Budget annuel'!$L$14:$L$43,COLUMN()-COLUMN($X$42)+1)),DAY(EOMONTH($L72,0)))),AND(INDEX('1 Budget annuel'!$E$14:$E$43,COLUMN()-COLUMN($X$42)+1)="Semestrielle",MOD((YEAR($L72)-YEAR(INDEX('1 Budget annuel'!$L$14:$L$43,COLUMN()-COLUMN($X$42)+1)))*12+MONTH($L72)-MONTH(INDEX('1 Budget annuel'!$L$14:$L$43,COLUMN()-COLUMN($X$42)+1)),6)=0,DAY($L72)=MIN(DAY(INDEX('1 Budget annuel'!$L$14:$L$43,COLUMN()-COLUMN($X$42)+1)),DAY(EOMONTH($L72,0)))),AND(INDEX('1 Budget annuel'!$E$14:$E$43,COLUMN()-COLUMN($X$42)+1)="Annuelle",MOD((YEAR($L72)-YEAR(INDEX('1 Budget annuel'!$L$14:$L$43,COLUMN()-COLUMN($X$42)+1)))*12+MONTH($L72)-MONTH(INDEX('1 Budget annuel'!$L$14:$L$43,COLUMN()-COLUMN($X$42)+1)),12)=0,DAY($L72)=MIN(DAY(INDEX('1 Budget annuel'!$L$14:$L$43,COLUMN()-COLUMN($X$42)+1)),DAY(EOMONTH($L72,0))))),IF(INDEX('1 Budget annuel'!$B$14:$B$43,COLUMN()-COLUMN($X$42)+1)="Entrée",INDEX('1 Budget annuel'!$I$14:$I$43,COLUMN()-COLUMN($X$42)+1),-INDEX('1 Budget annuel'!$I$14:$I$43,COLUMN()-COLUMN($X$42)+1)),0))</x:f>
        <x:v>0</x:v>
      </x:c>
    </x:row>
    <x:row r="73">
      <x:c r="L73" s="114" t="n">
        <x:f>L72+1</x:f>
        <x:v>46267</x:v>
      </x:c>
      <x:c r="M73" s="115" t="b">
        <x:f>AND(L73&gt;=$D$5,L73&lt;=$D$5+363,MOD(L73-$D$5,7)=0)</x:f>
        <x:v>0</x:v>
      </x:c>
      <x:c r="N73" s="116" t="n">
        <x:f>SUM(X73:BA73)</x:f>
        <x:v>0</x:v>
      </x:c>
      <x:c r="O73" s="116" t="n">
        <x:f>IF(M73,$D$10,0)</x:f>
        <x:v>0</x:v>
      </x:c>
      <x:c r="P73" s="116" t="n">
        <x:f>N73-O73</x:f>
        <x:v>0</x:v>
      </x:c>
      <x:c r="Q73" s="116" t="n">
        <x:f>IF(L73&lt;$D$5,0,IF(L73=$D$5,P73,Q72+P73))</x:f>
        <x:v>0</x:v>
      </x:c>
      <x:c r="R73" s="116" t="n">
        <x:f>IF(L73&lt;$D$5,"",$J$10+Q73)</x:f>
        <x:v>0</x:v>
      </x:c>
      <x:c r="S73" s="116" t="n">
        <x:f>IF($L73&lt;$D$5,"",IF($L73=$D$5,$J$10+$N73-IF($M73,IF(INT(($L73-$D$5)/7)&lt;$A$20,$B$20,$D$10),0),S72+$N73-IF($M73,IF(INT(($L73-$D$5)/7)&lt;$A$20,$B$20,$D$10),0)))</x:f>
        <x:v>0</x:v>
      </x:c>
      <x:c r="T73" s="116" t="n">
        <x:f>IF($L73&lt;$D$5,"",IF($L73=$D$5,$J$10+$N73-IF($M73,IF(INT(($L73-$D$5)/7)&lt;$A$21,$B$21,$D$10),0),T72+$N73-IF($M73,IF(INT(($L73-$D$5)/7)&lt;$A$21,$B$21,$D$10),0)))</x:f>
        <x:v>0</x:v>
      </x:c>
      <x:c r="U73" s="116" t="n">
        <x:f>IF($L73&lt;$D$5,"",IF($L73=$D$5,$J$10+$N73-IF($M73,IF(INT(($L73-$D$5)/7)&lt;$A$22,$B$22,$D$10),0),U72+$N73-IF($M73,IF(INT(($L73-$D$5)/7)&lt;$A$22,$B$22,$D$10),0)))</x:f>
        <x:v>0</x:v>
      </x:c>
      <x:c r="V73" s="116" t="n">
        <x:f>IF($L73&lt;$D$5,"",IF($L73=$D$5,$J$10+$N73-IF($M73,IF(INT(($L73-$D$5)/7)&lt;$A$23,$B$23,$D$10),0),V72+$N73-IF($M73,IF(INT(($L73-$D$5)/7)&lt;$A$23,$B$23,$D$10),0)))</x:f>
        <x:v>0</x:v>
      </x:c>
      <x:c r="W73" s="116" t="n">
        <x:f>IF($L73&lt;$D$5,"",IF($L73=$D$5,$J$10+$N73-IF($M73,IF(INT(($L73-$D$5)/7)&lt;$A$24,$B$24,$D$10),0),W72+$N73-IF($M73,IF(INT(($L73-$D$5)/7)&lt;$A$24,$B$24,$D$10),0)))</x:f>
        <x:v>0</x:v>
      </x:c>
      <x:c r="X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Y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Z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A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B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C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D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E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F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G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H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I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J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K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L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M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N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O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P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Q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R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S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T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U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V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W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X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Y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AZ73" s="116"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c r="BA73" s="117" t="n">
        <x:f>IF(OR(INDEX('1 Budget annuel'!$A$14:$A$43,COLUMN()-COLUMN($X$42)+1)&lt;&gt;"Oui",INDEX('1 Budget annuel'!$L$14:$L$43,COLUMN()-COLUMN($X$42)+1)="",AND(INDEX('1 Budget annuel'!$B$14:$B$43,COLUMN()-COLUMN($X$42)+1)="Sortie",INDEX('1 Budget annuel'!$M$14:$M$43,COLUMN()-COLUMN($X$42)+1)="Oui"),$L73&lt;INDEX('1 Budget annuel'!$L$14:$L$43,COLUMN()-COLUMN($X$42)+1),$L73&gt;$D$5+363),0,IF(OR(AND(INDEX('1 Budget annuel'!$E$14:$E$43,COLUMN()-COLUMN($X$42)+1)="Hebdomadaire",MOD($L73-INDEX('1 Budget annuel'!$L$14:$L$43,COLUMN()-COLUMN($X$42)+1),7)=0),AND(INDEX('1 Budget annuel'!$E$14:$E$43,COLUMN()-COLUMN($X$42)+1)="Toutes les 4 semaines",MOD($L73-INDEX('1 Budget annuel'!$L$14:$L$43,COLUMN()-COLUMN($X$42)+1),28)=0),AND(INDEX('1 Budget annuel'!$E$14:$E$43,COLUMN()-COLUMN($X$42)+1)="Mensuelle",DAY($L73)=MIN(DAY(INDEX('1 Budget annuel'!$L$14:$L$43,COLUMN()-COLUMN($X$42)+1)),DAY(EOMONTH($L73,0)))),AND(INDEX('1 Budget annuel'!$E$14:$E$43,COLUMN()-COLUMN($X$42)+1)="Trimestrielle",MOD((YEAR($L73)-YEAR(INDEX('1 Budget annuel'!$L$14:$L$43,COLUMN()-COLUMN($X$42)+1)))*12+MONTH($L73)-MONTH(INDEX('1 Budget annuel'!$L$14:$L$43,COLUMN()-COLUMN($X$42)+1)),3)=0,DAY($L73)=MIN(DAY(INDEX('1 Budget annuel'!$L$14:$L$43,COLUMN()-COLUMN($X$42)+1)),DAY(EOMONTH($L73,0)))),AND(INDEX('1 Budget annuel'!$E$14:$E$43,COLUMN()-COLUMN($X$42)+1)="Semestrielle",MOD((YEAR($L73)-YEAR(INDEX('1 Budget annuel'!$L$14:$L$43,COLUMN()-COLUMN($X$42)+1)))*12+MONTH($L73)-MONTH(INDEX('1 Budget annuel'!$L$14:$L$43,COLUMN()-COLUMN($X$42)+1)),6)=0,DAY($L73)=MIN(DAY(INDEX('1 Budget annuel'!$L$14:$L$43,COLUMN()-COLUMN($X$42)+1)),DAY(EOMONTH($L73,0)))),AND(INDEX('1 Budget annuel'!$E$14:$E$43,COLUMN()-COLUMN($X$42)+1)="Annuelle",MOD((YEAR($L73)-YEAR(INDEX('1 Budget annuel'!$L$14:$L$43,COLUMN()-COLUMN($X$42)+1)))*12+MONTH($L73)-MONTH(INDEX('1 Budget annuel'!$L$14:$L$43,COLUMN()-COLUMN($X$42)+1)),12)=0,DAY($L73)=MIN(DAY(INDEX('1 Budget annuel'!$L$14:$L$43,COLUMN()-COLUMN($X$42)+1)),DAY(EOMONTH($L73,0))))),IF(INDEX('1 Budget annuel'!$B$14:$B$43,COLUMN()-COLUMN($X$42)+1)="Entrée",INDEX('1 Budget annuel'!$I$14:$I$43,COLUMN()-COLUMN($X$42)+1),-INDEX('1 Budget annuel'!$I$14:$I$43,COLUMN()-COLUMN($X$42)+1)),0))</x:f>
        <x:v>0</x:v>
      </x:c>
    </x:row>
    <x:row r="74">
      <x:c r="L74" s="114" t="n">
        <x:f>L73+1</x:f>
        <x:v>46268</x:v>
      </x:c>
      <x:c r="M74" s="115" t="b">
        <x:f>AND(L74&gt;=$D$5,L74&lt;=$D$5+363,MOD(L74-$D$5,7)=0)</x:f>
        <x:v>0</x:v>
      </x:c>
      <x:c r="N74" s="116" t="n">
        <x:f>SUM(X74:BA74)</x:f>
        <x:v>0</x:v>
      </x:c>
      <x:c r="O74" s="116" t="n">
        <x:f>IF(M74,$D$10,0)</x:f>
        <x:v>0</x:v>
      </x:c>
      <x:c r="P74" s="116" t="n">
        <x:f>N74-O74</x:f>
        <x:v>0</x:v>
      </x:c>
      <x:c r="Q74" s="116" t="n">
        <x:f>IF(L74&lt;$D$5,0,IF(L74=$D$5,P74,Q73+P74))</x:f>
        <x:v>0</x:v>
      </x:c>
      <x:c r="R74" s="116" t="n">
        <x:f>IF(L74&lt;$D$5,"",$J$10+Q74)</x:f>
        <x:v>0</x:v>
      </x:c>
      <x:c r="S74" s="116" t="n">
        <x:f>IF($L74&lt;$D$5,"",IF($L74=$D$5,$J$10+$N74-IF($M74,IF(INT(($L74-$D$5)/7)&lt;$A$20,$B$20,$D$10),0),S73+$N74-IF($M74,IF(INT(($L74-$D$5)/7)&lt;$A$20,$B$20,$D$10),0)))</x:f>
        <x:v>0</x:v>
      </x:c>
      <x:c r="T74" s="116" t="n">
        <x:f>IF($L74&lt;$D$5,"",IF($L74=$D$5,$J$10+$N74-IF($M74,IF(INT(($L74-$D$5)/7)&lt;$A$21,$B$21,$D$10),0),T73+$N74-IF($M74,IF(INT(($L74-$D$5)/7)&lt;$A$21,$B$21,$D$10),0)))</x:f>
        <x:v>0</x:v>
      </x:c>
      <x:c r="U74" s="116" t="n">
        <x:f>IF($L74&lt;$D$5,"",IF($L74=$D$5,$J$10+$N74-IF($M74,IF(INT(($L74-$D$5)/7)&lt;$A$22,$B$22,$D$10),0),U73+$N74-IF($M74,IF(INT(($L74-$D$5)/7)&lt;$A$22,$B$22,$D$10),0)))</x:f>
        <x:v>0</x:v>
      </x:c>
      <x:c r="V74" s="116" t="n">
        <x:f>IF($L74&lt;$D$5,"",IF($L74=$D$5,$J$10+$N74-IF($M74,IF(INT(($L74-$D$5)/7)&lt;$A$23,$B$23,$D$10),0),V73+$N74-IF($M74,IF(INT(($L74-$D$5)/7)&lt;$A$23,$B$23,$D$10),0)))</x:f>
        <x:v>0</x:v>
      </x:c>
      <x:c r="W74" s="116" t="n">
        <x:f>IF($L74&lt;$D$5,"",IF($L74=$D$5,$J$10+$N74-IF($M74,IF(INT(($L74-$D$5)/7)&lt;$A$24,$B$24,$D$10),0),W73+$N74-IF($M74,IF(INT(($L74-$D$5)/7)&lt;$A$24,$B$24,$D$10),0)))</x:f>
        <x:v>0</x:v>
      </x:c>
      <x:c r="X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Y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Z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A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B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C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D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E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F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G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H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I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J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K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L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M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N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O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P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Q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R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S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T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U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V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W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X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Y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AZ74" s="116"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c r="BA74" s="117" t="n">
        <x:f>IF(OR(INDEX('1 Budget annuel'!$A$14:$A$43,COLUMN()-COLUMN($X$42)+1)&lt;&gt;"Oui",INDEX('1 Budget annuel'!$L$14:$L$43,COLUMN()-COLUMN($X$42)+1)="",AND(INDEX('1 Budget annuel'!$B$14:$B$43,COLUMN()-COLUMN($X$42)+1)="Sortie",INDEX('1 Budget annuel'!$M$14:$M$43,COLUMN()-COLUMN($X$42)+1)="Oui"),$L74&lt;INDEX('1 Budget annuel'!$L$14:$L$43,COLUMN()-COLUMN($X$42)+1),$L74&gt;$D$5+363),0,IF(OR(AND(INDEX('1 Budget annuel'!$E$14:$E$43,COLUMN()-COLUMN($X$42)+1)="Hebdomadaire",MOD($L74-INDEX('1 Budget annuel'!$L$14:$L$43,COLUMN()-COLUMN($X$42)+1),7)=0),AND(INDEX('1 Budget annuel'!$E$14:$E$43,COLUMN()-COLUMN($X$42)+1)="Toutes les 4 semaines",MOD($L74-INDEX('1 Budget annuel'!$L$14:$L$43,COLUMN()-COLUMN($X$42)+1),28)=0),AND(INDEX('1 Budget annuel'!$E$14:$E$43,COLUMN()-COLUMN($X$42)+1)="Mensuelle",DAY($L74)=MIN(DAY(INDEX('1 Budget annuel'!$L$14:$L$43,COLUMN()-COLUMN($X$42)+1)),DAY(EOMONTH($L74,0)))),AND(INDEX('1 Budget annuel'!$E$14:$E$43,COLUMN()-COLUMN($X$42)+1)="Trimestrielle",MOD((YEAR($L74)-YEAR(INDEX('1 Budget annuel'!$L$14:$L$43,COLUMN()-COLUMN($X$42)+1)))*12+MONTH($L74)-MONTH(INDEX('1 Budget annuel'!$L$14:$L$43,COLUMN()-COLUMN($X$42)+1)),3)=0,DAY($L74)=MIN(DAY(INDEX('1 Budget annuel'!$L$14:$L$43,COLUMN()-COLUMN($X$42)+1)),DAY(EOMONTH($L74,0)))),AND(INDEX('1 Budget annuel'!$E$14:$E$43,COLUMN()-COLUMN($X$42)+1)="Semestrielle",MOD((YEAR($L74)-YEAR(INDEX('1 Budget annuel'!$L$14:$L$43,COLUMN()-COLUMN($X$42)+1)))*12+MONTH($L74)-MONTH(INDEX('1 Budget annuel'!$L$14:$L$43,COLUMN()-COLUMN($X$42)+1)),6)=0,DAY($L74)=MIN(DAY(INDEX('1 Budget annuel'!$L$14:$L$43,COLUMN()-COLUMN($X$42)+1)),DAY(EOMONTH($L74,0)))),AND(INDEX('1 Budget annuel'!$E$14:$E$43,COLUMN()-COLUMN($X$42)+1)="Annuelle",MOD((YEAR($L74)-YEAR(INDEX('1 Budget annuel'!$L$14:$L$43,COLUMN()-COLUMN($X$42)+1)))*12+MONTH($L74)-MONTH(INDEX('1 Budget annuel'!$L$14:$L$43,COLUMN()-COLUMN($X$42)+1)),12)=0,DAY($L74)=MIN(DAY(INDEX('1 Budget annuel'!$L$14:$L$43,COLUMN()-COLUMN($X$42)+1)),DAY(EOMONTH($L74,0))))),IF(INDEX('1 Budget annuel'!$B$14:$B$43,COLUMN()-COLUMN($X$42)+1)="Entrée",INDEX('1 Budget annuel'!$I$14:$I$43,COLUMN()-COLUMN($X$42)+1),-INDEX('1 Budget annuel'!$I$14:$I$43,COLUMN()-COLUMN($X$42)+1)),0))</x:f>
        <x:v>0</x:v>
      </x:c>
    </x:row>
    <x:row r="75">
      <x:c r="L75" s="114" t="n">
        <x:f>L74+1</x:f>
        <x:v>46269</x:v>
      </x:c>
      <x:c r="M75" s="115" t="b">
        <x:f>AND(L75&gt;=$D$5,L75&lt;=$D$5+363,MOD(L75-$D$5,7)=0)</x:f>
        <x:v>0</x:v>
      </x:c>
      <x:c r="N75" s="116" t="n">
        <x:f>SUM(X75:BA75)</x:f>
        <x:v>0</x:v>
      </x:c>
      <x:c r="O75" s="116" t="n">
        <x:f>IF(M75,$D$10,0)</x:f>
        <x:v>0</x:v>
      </x:c>
      <x:c r="P75" s="116" t="n">
        <x:f>N75-O75</x:f>
        <x:v>0</x:v>
      </x:c>
      <x:c r="Q75" s="116" t="n">
        <x:f>IF(L75&lt;$D$5,0,IF(L75=$D$5,P75,Q74+P75))</x:f>
        <x:v>0</x:v>
      </x:c>
      <x:c r="R75" s="116" t="n">
        <x:f>IF(L75&lt;$D$5,"",$J$10+Q75)</x:f>
        <x:v>0</x:v>
      </x:c>
      <x:c r="S75" s="116" t="n">
        <x:f>IF($L75&lt;$D$5,"",IF($L75=$D$5,$J$10+$N75-IF($M75,IF(INT(($L75-$D$5)/7)&lt;$A$20,$B$20,$D$10),0),S74+$N75-IF($M75,IF(INT(($L75-$D$5)/7)&lt;$A$20,$B$20,$D$10),0)))</x:f>
        <x:v>0</x:v>
      </x:c>
      <x:c r="T75" s="116" t="n">
        <x:f>IF($L75&lt;$D$5,"",IF($L75=$D$5,$J$10+$N75-IF($M75,IF(INT(($L75-$D$5)/7)&lt;$A$21,$B$21,$D$10),0),T74+$N75-IF($M75,IF(INT(($L75-$D$5)/7)&lt;$A$21,$B$21,$D$10),0)))</x:f>
        <x:v>0</x:v>
      </x:c>
      <x:c r="U75" s="116" t="n">
        <x:f>IF($L75&lt;$D$5,"",IF($L75=$D$5,$J$10+$N75-IF($M75,IF(INT(($L75-$D$5)/7)&lt;$A$22,$B$22,$D$10),0),U74+$N75-IF($M75,IF(INT(($L75-$D$5)/7)&lt;$A$22,$B$22,$D$10),0)))</x:f>
        <x:v>0</x:v>
      </x:c>
      <x:c r="V75" s="116" t="n">
        <x:f>IF($L75&lt;$D$5,"",IF($L75=$D$5,$J$10+$N75-IF($M75,IF(INT(($L75-$D$5)/7)&lt;$A$23,$B$23,$D$10),0),V74+$N75-IF($M75,IF(INT(($L75-$D$5)/7)&lt;$A$23,$B$23,$D$10),0)))</x:f>
        <x:v>0</x:v>
      </x:c>
      <x:c r="W75" s="116" t="n">
        <x:f>IF($L75&lt;$D$5,"",IF($L75=$D$5,$J$10+$N75-IF($M75,IF(INT(($L75-$D$5)/7)&lt;$A$24,$B$24,$D$10),0),W74+$N75-IF($M75,IF(INT(($L75-$D$5)/7)&lt;$A$24,$B$24,$D$10),0)))</x:f>
        <x:v>0</x:v>
      </x:c>
      <x:c r="X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Y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Z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A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B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C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D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E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F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G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H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I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J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K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L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M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N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O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P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Q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R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S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T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U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V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W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X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Y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AZ75" s="116"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c r="BA75" s="117" t="n">
        <x:f>IF(OR(INDEX('1 Budget annuel'!$A$14:$A$43,COLUMN()-COLUMN($X$42)+1)&lt;&gt;"Oui",INDEX('1 Budget annuel'!$L$14:$L$43,COLUMN()-COLUMN($X$42)+1)="",AND(INDEX('1 Budget annuel'!$B$14:$B$43,COLUMN()-COLUMN($X$42)+1)="Sortie",INDEX('1 Budget annuel'!$M$14:$M$43,COLUMN()-COLUMN($X$42)+1)="Oui"),$L75&lt;INDEX('1 Budget annuel'!$L$14:$L$43,COLUMN()-COLUMN($X$42)+1),$L75&gt;$D$5+363),0,IF(OR(AND(INDEX('1 Budget annuel'!$E$14:$E$43,COLUMN()-COLUMN($X$42)+1)="Hebdomadaire",MOD($L75-INDEX('1 Budget annuel'!$L$14:$L$43,COLUMN()-COLUMN($X$42)+1),7)=0),AND(INDEX('1 Budget annuel'!$E$14:$E$43,COLUMN()-COLUMN($X$42)+1)="Toutes les 4 semaines",MOD($L75-INDEX('1 Budget annuel'!$L$14:$L$43,COLUMN()-COLUMN($X$42)+1),28)=0),AND(INDEX('1 Budget annuel'!$E$14:$E$43,COLUMN()-COLUMN($X$42)+1)="Mensuelle",DAY($L75)=MIN(DAY(INDEX('1 Budget annuel'!$L$14:$L$43,COLUMN()-COLUMN($X$42)+1)),DAY(EOMONTH($L75,0)))),AND(INDEX('1 Budget annuel'!$E$14:$E$43,COLUMN()-COLUMN($X$42)+1)="Trimestrielle",MOD((YEAR($L75)-YEAR(INDEX('1 Budget annuel'!$L$14:$L$43,COLUMN()-COLUMN($X$42)+1)))*12+MONTH($L75)-MONTH(INDEX('1 Budget annuel'!$L$14:$L$43,COLUMN()-COLUMN($X$42)+1)),3)=0,DAY($L75)=MIN(DAY(INDEX('1 Budget annuel'!$L$14:$L$43,COLUMN()-COLUMN($X$42)+1)),DAY(EOMONTH($L75,0)))),AND(INDEX('1 Budget annuel'!$E$14:$E$43,COLUMN()-COLUMN($X$42)+1)="Semestrielle",MOD((YEAR($L75)-YEAR(INDEX('1 Budget annuel'!$L$14:$L$43,COLUMN()-COLUMN($X$42)+1)))*12+MONTH($L75)-MONTH(INDEX('1 Budget annuel'!$L$14:$L$43,COLUMN()-COLUMN($X$42)+1)),6)=0,DAY($L75)=MIN(DAY(INDEX('1 Budget annuel'!$L$14:$L$43,COLUMN()-COLUMN($X$42)+1)),DAY(EOMONTH($L75,0)))),AND(INDEX('1 Budget annuel'!$E$14:$E$43,COLUMN()-COLUMN($X$42)+1)="Annuelle",MOD((YEAR($L75)-YEAR(INDEX('1 Budget annuel'!$L$14:$L$43,COLUMN()-COLUMN($X$42)+1)))*12+MONTH($L75)-MONTH(INDEX('1 Budget annuel'!$L$14:$L$43,COLUMN()-COLUMN($X$42)+1)),12)=0,DAY($L75)=MIN(DAY(INDEX('1 Budget annuel'!$L$14:$L$43,COLUMN()-COLUMN($X$42)+1)),DAY(EOMONTH($L75,0))))),IF(INDEX('1 Budget annuel'!$B$14:$B$43,COLUMN()-COLUMN($X$42)+1)="Entrée",INDEX('1 Budget annuel'!$I$14:$I$43,COLUMN()-COLUMN($X$42)+1),-INDEX('1 Budget annuel'!$I$14:$I$43,COLUMN()-COLUMN($X$42)+1)),0))</x:f>
        <x:v>0</x:v>
      </x:c>
    </x:row>
    <x:row r="76">
      <x:c r="L76" s="114" t="n">
        <x:f>L75+1</x:f>
        <x:v>46270</x:v>
      </x:c>
      <x:c r="M76" s="115" t="b">
        <x:f>AND(L76&gt;=$D$5,L76&lt;=$D$5+363,MOD(L76-$D$5,7)=0)</x:f>
        <x:v>1</x:v>
      </x:c>
      <x:c r="N76" s="116" t="n">
        <x:f>SUM(X76:BA76)</x:f>
        <x:v>0</x:v>
      </x:c>
      <x:c r="O76" s="116" t="n">
        <x:f>IF(M76,$D$10,0)</x:f>
        <x:v>0</x:v>
      </x:c>
      <x:c r="P76" s="116" t="n">
        <x:f>N76-O76</x:f>
        <x:v>0</x:v>
      </x:c>
      <x:c r="Q76" s="116" t="n">
        <x:f>IF(L76&lt;$D$5,0,IF(L76=$D$5,P76,Q75+P76))</x:f>
        <x:v>0</x:v>
      </x:c>
      <x:c r="R76" s="116" t="n">
        <x:f>IF(L76&lt;$D$5,"",$J$10+Q76)</x:f>
        <x:v>0</x:v>
      </x:c>
      <x:c r="S76" s="116" t="n">
        <x:f>IF($L76&lt;$D$5,"",IF($L76=$D$5,$J$10+$N76-IF($M76,IF(INT(($L76-$D$5)/7)&lt;$A$20,$B$20,$D$10),0),S75+$N76-IF($M76,IF(INT(($L76-$D$5)/7)&lt;$A$20,$B$20,$D$10),0)))</x:f>
        <x:v>0</x:v>
      </x:c>
      <x:c r="T76" s="116" t="n">
        <x:f>IF($L76&lt;$D$5,"",IF($L76=$D$5,$J$10+$N76-IF($M76,IF(INT(($L76-$D$5)/7)&lt;$A$21,$B$21,$D$10),0),T75+$N76-IF($M76,IF(INT(($L76-$D$5)/7)&lt;$A$21,$B$21,$D$10),0)))</x:f>
        <x:v>0</x:v>
      </x:c>
      <x:c r="U76" s="116" t="n">
        <x:f>IF($L76&lt;$D$5,"",IF($L76=$D$5,$J$10+$N76-IF($M76,IF(INT(($L76-$D$5)/7)&lt;$A$22,$B$22,$D$10),0),U75+$N76-IF($M76,IF(INT(($L76-$D$5)/7)&lt;$A$22,$B$22,$D$10),0)))</x:f>
        <x:v>0</x:v>
      </x:c>
      <x:c r="V76" s="116" t="n">
        <x:f>IF($L76&lt;$D$5,"",IF($L76=$D$5,$J$10+$N76-IF($M76,IF(INT(($L76-$D$5)/7)&lt;$A$23,$B$23,$D$10),0),V75+$N76-IF($M76,IF(INT(($L76-$D$5)/7)&lt;$A$23,$B$23,$D$10),0)))</x:f>
        <x:v>0</x:v>
      </x:c>
      <x:c r="W76" s="116" t="n">
        <x:f>IF($L76&lt;$D$5,"",IF($L76=$D$5,$J$10+$N76-IF($M76,IF(INT(($L76-$D$5)/7)&lt;$A$24,$B$24,$D$10),0),W75+$N76-IF($M76,IF(INT(($L76-$D$5)/7)&lt;$A$24,$B$24,$D$10),0)))</x:f>
        <x:v>0</x:v>
      </x:c>
      <x:c r="X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Y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Z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A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B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C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D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E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F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G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H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I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J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K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L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M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N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O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P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Q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R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S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T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U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V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W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X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Y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AZ76" s="116"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c r="BA76" s="117" t="n">
        <x:f>IF(OR(INDEX('1 Budget annuel'!$A$14:$A$43,COLUMN()-COLUMN($X$42)+1)&lt;&gt;"Oui",INDEX('1 Budget annuel'!$L$14:$L$43,COLUMN()-COLUMN($X$42)+1)="",AND(INDEX('1 Budget annuel'!$B$14:$B$43,COLUMN()-COLUMN($X$42)+1)="Sortie",INDEX('1 Budget annuel'!$M$14:$M$43,COLUMN()-COLUMN($X$42)+1)="Oui"),$L76&lt;INDEX('1 Budget annuel'!$L$14:$L$43,COLUMN()-COLUMN($X$42)+1),$L76&gt;$D$5+363),0,IF(OR(AND(INDEX('1 Budget annuel'!$E$14:$E$43,COLUMN()-COLUMN($X$42)+1)="Hebdomadaire",MOD($L76-INDEX('1 Budget annuel'!$L$14:$L$43,COLUMN()-COLUMN($X$42)+1),7)=0),AND(INDEX('1 Budget annuel'!$E$14:$E$43,COLUMN()-COLUMN($X$42)+1)="Toutes les 4 semaines",MOD($L76-INDEX('1 Budget annuel'!$L$14:$L$43,COLUMN()-COLUMN($X$42)+1),28)=0),AND(INDEX('1 Budget annuel'!$E$14:$E$43,COLUMN()-COLUMN($X$42)+1)="Mensuelle",DAY($L76)=MIN(DAY(INDEX('1 Budget annuel'!$L$14:$L$43,COLUMN()-COLUMN($X$42)+1)),DAY(EOMONTH($L76,0)))),AND(INDEX('1 Budget annuel'!$E$14:$E$43,COLUMN()-COLUMN($X$42)+1)="Trimestrielle",MOD((YEAR($L76)-YEAR(INDEX('1 Budget annuel'!$L$14:$L$43,COLUMN()-COLUMN($X$42)+1)))*12+MONTH($L76)-MONTH(INDEX('1 Budget annuel'!$L$14:$L$43,COLUMN()-COLUMN($X$42)+1)),3)=0,DAY($L76)=MIN(DAY(INDEX('1 Budget annuel'!$L$14:$L$43,COLUMN()-COLUMN($X$42)+1)),DAY(EOMONTH($L76,0)))),AND(INDEX('1 Budget annuel'!$E$14:$E$43,COLUMN()-COLUMN($X$42)+1)="Semestrielle",MOD((YEAR($L76)-YEAR(INDEX('1 Budget annuel'!$L$14:$L$43,COLUMN()-COLUMN($X$42)+1)))*12+MONTH($L76)-MONTH(INDEX('1 Budget annuel'!$L$14:$L$43,COLUMN()-COLUMN($X$42)+1)),6)=0,DAY($L76)=MIN(DAY(INDEX('1 Budget annuel'!$L$14:$L$43,COLUMN()-COLUMN($X$42)+1)),DAY(EOMONTH($L76,0)))),AND(INDEX('1 Budget annuel'!$E$14:$E$43,COLUMN()-COLUMN($X$42)+1)="Annuelle",MOD((YEAR($L76)-YEAR(INDEX('1 Budget annuel'!$L$14:$L$43,COLUMN()-COLUMN($X$42)+1)))*12+MONTH($L76)-MONTH(INDEX('1 Budget annuel'!$L$14:$L$43,COLUMN()-COLUMN($X$42)+1)),12)=0,DAY($L76)=MIN(DAY(INDEX('1 Budget annuel'!$L$14:$L$43,COLUMN()-COLUMN($X$42)+1)),DAY(EOMONTH($L76,0))))),IF(INDEX('1 Budget annuel'!$B$14:$B$43,COLUMN()-COLUMN($X$42)+1)="Entrée",INDEX('1 Budget annuel'!$I$14:$I$43,COLUMN()-COLUMN($X$42)+1),-INDEX('1 Budget annuel'!$I$14:$I$43,COLUMN()-COLUMN($X$42)+1)),0))</x:f>
        <x:v>0</x:v>
      </x:c>
    </x:row>
    <x:row r="77">
      <x:c r="L77" s="114" t="n">
        <x:f>L76+1</x:f>
        <x:v>46271</x:v>
      </x:c>
      <x:c r="M77" s="115" t="b">
        <x:f>AND(L77&gt;=$D$5,L77&lt;=$D$5+363,MOD(L77-$D$5,7)=0)</x:f>
        <x:v>0</x:v>
      </x:c>
      <x:c r="N77" s="116" t="n">
        <x:f>SUM(X77:BA77)</x:f>
        <x:v>0</x:v>
      </x:c>
      <x:c r="O77" s="116" t="n">
        <x:f>IF(M77,$D$10,0)</x:f>
        <x:v>0</x:v>
      </x:c>
      <x:c r="P77" s="116" t="n">
        <x:f>N77-O77</x:f>
        <x:v>0</x:v>
      </x:c>
      <x:c r="Q77" s="116" t="n">
        <x:f>IF(L77&lt;$D$5,0,IF(L77=$D$5,P77,Q76+P77))</x:f>
        <x:v>0</x:v>
      </x:c>
      <x:c r="R77" s="116" t="n">
        <x:f>IF(L77&lt;$D$5,"",$J$10+Q77)</x:f>
        <x:v>0</x:v>
      </x:c>
      <x:c r="S77" s="116" t="n">
        <x:f>IF($L77&lt;$D$5,"",IF($L77=$D$5,$J$10+$N77-IF($M77,IF(INT(($L77-$D$5)/7)&lt;$A$20,$B$20,$D$10),0),S76+$N77-IF($M77,IF(INT(($L77-$D$5)/7)&lt;$A$20,$B$20,$D$10),0)))</x:f>
        <x:v>0</x:v>
      </x:c>
      <x:c r="T77" s="116" t="n">
        <x:f>IF($L77&lt;$D$5,"",IF($L77=$D$5,$J$10+$N77-IF($M77,IF(INT(($L77-$D$5)/7)&lt;$A$21,$B$21,$D$10),0),T76+$N77-IF($M77,IF(INT(($L77-$D$5)/7)&lt;$A$21,$B$21,$D$10),0)))</x:f>
        <x:v>0</x:v>
      </x:c>
      <x:c r="U77" s="116" t="n">
        <x:f>IF($L77&lt;$D$5,"",IF($L77=$D$5,$J$10+$N77-IF($M77,IF(INT(($L77-$D$5)/7)&lt;$A$22,$B$22,$D$10),0),U76+$N77-IF($M77,IF(INT(($L77-$D$5)/7)&lt;$A$22,$B$22,$D$10),0)))</x:f>
        <x:v>0</x:v>
      </x:c>
      <x:c r="V77" s="116" t="n">
        <x:f>IF($L77&lt;$D$5,"",IF($L77=$D$5,$J$10+$N77-IF($M77,IF(INT(($L77-$D$5)/7)&lt;$A$23,$B$23,$D$10),0),V76+$N77-IF($M77,IF(INT(($L77-$D$5)/7)&lt;$A$23,$B$23,$D$10),0)))</x:f>
        <x:v>0</x:v>
      </x:c>
      <x:c r="W77" s="116" t="n">
        <x:f>IF($L77&lt;$D$5,"",IF($L77=$D$5,$J$10+$N77-IF($M77,IF(INT(($L77-$D$5)/7)&lt;$A$24,$B$24,$D$10),0),W76+$N77-IF($M77,IF(INT(($L77-$D$5)/7)&lt;$A$24,$B$24,$D$10),0)))</x:f>
        <x:v>0</x:v>
      </x:c>
      <x:c r="X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Y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Z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A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B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C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D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E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F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G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H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I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J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K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L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M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N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O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P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Q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R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S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T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U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V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W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X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Y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AZ77" s="116"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c r="BA77" s="117" t="n">
        <x:f>IF(OR(INDEX('1 Budget annuel'!$A$14:$A$43,COLUMN()-COLUMN($X$42)+1)&lt;&gt;"Oui",INDEX('1 Budget annuel'!$L$14:$L$43,COLUMN()-COLUMN($X$42)+1)="",AND(INDEX('1 Budget annuel'!$B$14:$B$43,COLUMN()-COLUMN($X$42)+1)="Sortie",INDEX('1 Budget annuel'!$M$14:$M$43,COLUMN()-COLUMN($X$42)+1)="Oui"),$L77&lt;INDEX('1 Budget annuel'!$L$14:$L$43,COLUMN()-COLUMN($X$42)+1),$L77&gt;$D$5+363),0,IF(OR(AND(INDEX('1 Budget annuel'!$E$14:$E$43,COLUMN()-COLUMN($X$42)+1)="Hebdomadaire",MOD($L77-INDEX('1 Budget annuel'!$L$14:$L$43,COLUMN()-COLUMN($X$42)+1),7)=0),AND(INDEX('1 Budget annuel'!$E$14:$E$43,COLUMN()-COLUMN($X$42)+1)="Toutes les 4 semaines",MOD($L77-INDEX('1 Budget annuel'!$L$14:$L$43,COLUMN()-COLUMN($X$42)+1),28)=0),AND(INDEX('1 Budget annuel'!$E$14:$E$43,COLUMN()-COLUMN($X$42)+1)="Mensuelle",DAY($L77)=MIN(DAY(INDEX('1 Budget annuel'!$L$14:$L$43,COLUMN()-COLUMN($X$42)+1)),DAY(EOMONTH($L77,0)))),AND(INDEX('1 Budget annuel'!$E$14:$E$43,COLUMN()-COLUMN($X$42)+1)="Trimestrielle",MOD((YEAR($L77)-YEAR(INDEX('1 Budget annuel'!$L$14:$L$43,COLUMN()-COLUMN($X$42)+1)))*12+MONTH($L77)-MONTH(INDEX('1 Budget annuel'!$L$14:$L$43,COLUMN()-COLUMN($X$42)+1)),3)=0,DAY($L77)=MIN(DAY(INDEX('1 Budget annuel'!$L$14:$L$43,COLUMN()-COLUMN($X$42)+1)),DAY(EOMONTH($L77,0)))),AND(INDEX('1 Budget annuel'!$E$14:$E$43,COLUMN()-COLUMN($X$42)+1)="Semestrielle",MOD((YEAR($L77)-YEAR(INDEX('1 Budget annuel'!$L$14:$L$43,COLUMN()-COLUMN($X$42)+1)))*12+MONTH($L77)-MONTH(INDEX('1 Budget annuel'!$L$14:$L$43,COLUMN()-COLUMN($X$42)+1)),6)=0,DAY($L77)=MIN(DAY(INDEX('1 Budget annuel'!$L$14:$L$43,COLUMN()-COLUMN($X$42)+1)),DAY(EOMONTH($L77,0)))),AND(INDEX('1 Budget annuel'!$E$14:$E$43,COLUMN()-COLUMN($X$42)+1)="Annuelle",MOD((YEAR($L77)-YEAR(INDEX('1 Budget annuel'!$L$14:$L$43,COLUMN()-COLUMN($X$42)+1)))*12+MONTH($L77)-MONTH(INDEX('1 Budget annuel'!$L$14:$L$43,COLUMN()-COLUMN($X$42)+1)),12)=0,DAY($L77)=MIN(DAY(INDEX('1 Budget annuel'!$L$14:$L$43,COLUMN()-COLUMN($X$42)+1)),DAY(EOMONTH($L77,0))))),IF(INDEX('1 Budget annuel'!$B$14:$B$43,COLUMN()-COLUMN($X$42)+1)="Entrée",INDEX('1 Budget annuel'!$I$14:$I$43,COLUMN()-COLUMN($X$42)+1),-INDEX('1 Budget annuel'!$I$14:$I$43,COLUMN()-COLUMN($X$42)+1)),0))</x:f>
        <x:v>0</x:v>
      </x:c>
    </x:row>
    <x:row r="78">
      <x:c r="L78" s="114" t="n">
        <x:f>L77+1</x:f>
        <x:v>46272</x:v>
      </x:c>
      <x:c r="M78" s="115" t="b">
        <x:f>AND(L78&gt;=$D$5,L78&lt;=$D$5+363,MOD(L78-$D$5,7)=0)</x:f>
        <x:v>0</x:v>
      </x:c>
      <x:c r="N78" s="116" t="n">
        <x:f>SUM(X78:BA78)</x:f>
        <x:v>0</x:v>
      </x:c>
      <x:c r="O78" s="116" t="n">
        <x:f>IF(M78,$D$10,0)</x:f>
        <x:v>0</x:v>
      </x:c>
      <x:c r="P78" s="116" t="n">
        <x:f>N78-O78</x:f>
        <x:v>0</x:v>
      </x:c>
      <x:c r="Q78" s="116" t="n">
        <x:f>IF(L78&lt;$D$5,0,IF(L78=$D$5,P78,Q77+P78))</x:f>
        <x:v>0</x:v>
      </x:c>
      <x:c r="R78" s="116" t="n">
        <x:f>IF(L78&lt;$D$5,"",$J$10+Q78)</x:f>
        <x:v>0</x:v>
      </x:c>
      <x:c r="S78" s="116" t="n">
        <x:f>IF($L78&lt;$D$5,"",IF($L78=$D$5,$J$10+$N78-IF($M78,IF(INT(($L78-$D$5)/7)&lt;$A$20,$B$20,$D$10),0),S77+$N78-IF($M78,IF(INT(($L78-$D$5)/7)&lt;$A$20,$B$20,$D$10),0)))</x:f>
        <x:v>0</x:v>
      </x:c>
      <x:c r="T78" s="116" t="n">
        <x:f>IF($L78&lt;$D$5,"",IF($L78=$D$5,$J$10+$N78-IF($M78,IF(INT(($L78-$D$5)/7)&lt;$A$21,$B$21,$D$10),0),T77+$N78-IF($M78,IF(INT(($L78-$D$5)/7)&lt;$A$21,$B$21,$D$10),0)))</x:f>
        <x:v>0</x:v>
      </x:c>
      <x:c r="U78" s="116" t="n">
        <x:f>IF($L78&lt;$D$5,"",IF($L78=$D$5,$J$10+$N78-IF($M78,IF(INT(($L78-$D$5)/7)&lt;$A$22,$B$22,$D$10),0),U77+$N78-IF($M78,IF(INT(($L78-$D$5)/7)&lt;$A$22,$B$22,$D$10),0)))</x:f>
        <x:v>0</x:v>
      </x:c>
      <x:c r="V78" s="116" t="n">
        <x:f>IF($L78&lt;$D$5,"",IF($L78=$D$5,$J$10+$N78-IF($M78,IF(INT(($L78-$D$5)/7)&lt;$A$23,$B$23,$D$10),0),V77+$N78-IF($M78,IF(INT(($L78-$D$5)/7)&lt;$A$23,$B$23,$D$10),0)))</x:f>
        <x:v>0</x:v>
      </x:c>
      <x:c r="W78" s="116" t="n">
        <x:f>IF($L78&lt;$D$5,"",IF($L78=$D$5,$J$10+$N78-IF($M78,IF(INT(($L78-$D$5)/7)&lt;$A$24,$B$24,$D$10),0),W77+$N78-IF($M78,IF(INT(($L78-$D$5)/7)&lt;$A$24,$B$24,$D$10),0)))</x:f>
        <x:v>0</x:v>
      </x:c>
      <x:c r="X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Y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Z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A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B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C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D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E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F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G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H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I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J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K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L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M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N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O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P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Q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R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S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T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U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V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W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X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Y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AZ78" s="116"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c r="BA78" s="117" t="n">
        <x:f>IF(OR(INDEX('1 Budget annuel'!$A$14:$A$43,COLUMN()-COLUMN($X$42)+1)&lt;&gt;"Oui",INDEX('1 Budget annuel'!$L$14:$L$43,COLUMN()-COLUMN($X$42)+1)="",AND(INDEX('1 Budget annuel'!$B$14:$B$43,COLUMN()-COLUMN($X$42)+1)="Sortie",INDEX('1 Budget annuel'!$M$14:$M$43,COLUMN()-COLUMN($X$42)+1)="Oui"),$L78&lt;INDEX('1 Budget annuel'!$L$14:$L$43,COLUMN()-COLUMN($X$42)+1),$L78&gt;$D$5+363),0,IF(OR(AND(INDEX('1 Budget annuel'!$E$14:$E$43,COLUMN()-COLUMN($X$42)+1)="Hebdomadaire",MOD($L78-INDEX('1 Budget annuel'!$L$14:$L$43,COLUMN()-COLUMN($X$42)+1),7)=0),AND(INDEX('1 Budget annuel'!$E$14:$E$43,COLUMN()-COLUMN($X$42)+1)="Toutes les 4 semaines",MOD($L78-INDEX('1 Budget annuel'!$L$14:$L$43,COLUMN()-COLUMN($X$42)+1),28)=0),AND(INDEX('1 Budget annuel'!$E$14:$E$43,COLUMN()-COLUMN($X$42)+1)="Mensuelle",DAY($L78)=MIN(DAY(INDEX('1 Budget annuel'!$L$14:$L$43,COLUMN()-COLUMN($X$42)+1)),DAY(EOMONTH($L78,0)))),AND(INDEX('1 Budget annuel'!$E$14:$E$43,COLUMN()-COLUMN($X$42)+1)="Trimestrielle",MOD((YEAR($L78)-YEAR(INDEX('1 Budget annuel'!$L$14:$L$43,COLUMN()-COLUMN($X$42)+1)))*12+MONTH($L78)-MONTH(INDEX('1 Budget annuel'!$L$14:$L$43,COLUMN()-COLUMN($X$42)+1)),3)=0,DAY($L78)=MIN(DAY(INDEX('1 Budget annuel'!$L$14:$L$43,COLUMN()-COLUMN($X$42)+1)),DAY(EOMONTH($L78,0)))),AND(INDEX('1 Budget annuel'!$E$14:$E$43,COLUMN()-COLUMN($X$42)+1)="Semestrielle",MOD((YEAR($L78)-YEAR(INDEX('1 Budget annuel'!$L$14:$L$43,COLUMN()-COLUMN($X$42)+1)))*12+MONTH($L78)-MONTH(INDEX('1 Budget annuel'!$L$14:$L$43,COLUMN()-COLUMN($X$42)+1)),6)=0,DAY($L78)=MIN(DAY(INDEX('1 Budget annuel'!$L$14:$L$43,COLUMN()-COLUMN($X$42)+1)),DAY(EOMONTH($L78,0)))),AND(INDEX('1 Budget annuel'!$E$14:$E$43,COLUMN()-COLUMN($X$42)+1)="Annuelle",MOD((YEAR($L78)-YEAR(INDEX('1 Budget annuel'!$L$14:$L$43,COLUMN()-COLUMN($X$42)+1)))*12+MONTH($L78)-MONTH(INDEX('1 Budget annuel'!$L$14:$L$43,COLUMN()-COLUMN($X$42)+1)),12)=0,DAY($L78)=MIN(DAY(INDEX('1 Budget annuel'!$L$14:$L$43,COLUMN()-COLUMN($X$42)+1)),DAY(EOMONTH($L78,0))))),IF(INDEX('1 Budget annuel'!$B$14:$B$43,COLUMN()-COLUMN($X$42)+1)="Entrée",INDEX('1 Budget annuel'!$I$14:$I$43,COLUMN()-COLUMN($X$42)+1),-INDEX('1 Budget annuel'!$I$14:$I$43,COLUMN()-COLUMN($X$42)+1)),0))</x:f>
        <x:v>0</x:v>
      </x:c>
    </x:row>
    <x:row r="79">
      <x:c r="L79" s="114" t="n">
        <x:f>L78+1</x:f>
        <x:v>46273</x:v>
      </x:c>
      <x:c r="M79" s="115" t="b">
        <x:f>AND(L79&gt;=$D$5,L79&lt;=$D$5+363,MOD(L79-$D$5,7)=0)</x:f>
        <x:v>0</x:v>
      </x:c>
      <x:c r="N79" s="116" t="n">
        <x:f>SUM(X79:BA79)</x:f>
        <x:v>0</x:v>
      </x:c>
      <x:c r="O79" s="116" t="n">
        <x:f>IF(M79,$D$10,0)</x:f>
        <x:v>0</x:v>
      </x:c>
      <x:c r="P79" s="116" t="n">
        <x:f>N79-O79</x:f>
        <x:v>0</x:v>
      </x:c>
      <x:c r="Q79" s="116" t="n">
        <x:f>IF(L79&lt;$D$5,0,IF(L79=$D$5,P79,Q78+P79))</x:f>
        <x:v>0</x:v>
      </x:c>
      <x:c r="R79" s="116" t="n">
        <x:f>IF(L79&lt;$D$5,"",$J$10+Q79)</x:f>
        <x:v>0</x:v>
      </x:c>
      <x:c r="S79" s="116" t="n">
        <x:f>IF($L79&lt;$D$5,"",IF($L79=$D$5,$J$10+$N79-IF($M79,IF(INT(($L79-$D$5)/7)&lt;$A$20,$B$20,$D$10),0),S78+$N79-IF($M79,IF(INT(($L79-$D$5)/7)&lt;$A$20,$B$20,$D$10),0)))</x:f>
        <x:v>0</x:v>
      </x:c>
      <x:c r="T79" s="116" t="n">
        <x:f>IF($L79&lt;$D$5,"",IF($L79=$D$5,$J$10+$N79-IF($M79,IF(INT(($L79-$D$5)/7)&lt;$A$21,$B$21,$D$10),0),T78+$N79-IF($M79,IF(INT(($L79-$D$5)/7)&lt;$A$21,$B$21,$D$10),0)))</x:f>
        <x:v>0</x:v>
      </x:c>
      <x:c r="U79" s="116" t="n">
        <x:f>IF($L79&lt;$D$5,"",IF($L79=$D$5,$J$10+$N79-IF($M79,IF(INT(($L79-$D$5)/7)&lt;$A$22,$B$22,$D$10),0),U78+$N79-IF($M79,IF(INT(($L79-$D$5)/7)&lt;$A$22,$B$22,$D$10),0)))</x:f>
        <x:v>0</x:v>
      </x:c>
      <x:c r="V79" s="116" t="n">
        <x:f>IF($L79&lt;$D$5,"",IF($L79=$D$5,$J$10+$N79-IF($M79,IF(INT(($L79-$D$5)/7)&lt;$A$23,$B$23,$D$10),0),V78+$N79-IF($M79,IF(INT(($L79-$D$5)/7)&lt;$A$23,$B$23,$D$10),0)))</x:f>
        <x:v>0</x:v>
      </x:c>
      <x:c r="W79" s="116" t="n">
        <x:f>IF($L79&lt;$D$5,"",IF($L79=$D$5,$J$10+$N79-IF($M79,IF(INT(($L79-$D$5)/7)&lt;$A$24,$B$24,$D$10),0),W78+$N79-IF($M79,IF(INT(($L79-$D$5)/7)&lt;$A$24,$B$24,$D$10),0)))</x:f>
        <x:v>0</x:v>
      </x:c>
      <x:c r="X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Y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Z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A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B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C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D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E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F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G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H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I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J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K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L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M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N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O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P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Q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R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S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T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U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V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W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X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Y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AZ79" s="116"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c r="BA79" s="117" t="n">
        <x:f>IF(OR(INDEX('1 Budget annuel'!$A$14:$A$43,COLUMN()-COLUMN($X$42)+1)&lt;&gt;"Oui",INDEX('1 Budget annuel'!$L$14:$L$43,COLUMN()-COLUMN($X$42)+1)="",AND(INDEX('1 Budget annuel'!$B$14:$B$43,COLUMN()-COLUMN($X$42)+1)="Sortie",INDEX('1 Budget annuel'!$M$14:$M$43,COLUMN()-COLUMN($X$42)+1)="Oui"),$L79&lt;INDEX('1 Budget annuel'!$L$14:$L$43,COLUMN()-COLUMN($X$42)+1),$L79&gt;$D$5+363),0,IF(OR(AND(INDEX('1 Budget annuel'!$E$14:$E$43,COLUMN()-COLUMN($X$42)+1)="Hebdomadaire",MOD($L79-INDEX('1 Budget annuel'!$L$14:$L$43,COLUMN()-COLUMN($X$42)+1),7)=0),AND(INDEX('1 Budget annuel'!$E$14:$E$43,COLUMN()-COLUMN($X$42)+1)="Toutes les 4 semaines",MOD($L79-INDEX('1 Budget annuel'!$L$14:$L$43,COLUMN()-COLUMN($X$42)+1),28)=0),AND(INDEX('1 Budget annuel'!$E$14:$E$43,COLUMN()-COLUMN($X$42)+1)="Mensuelle",DAY($L79)=MIN(DAY(INDEX('1 Budget annuel'!$L$14:$L$43,COLUMN()-COLUMN($X$42)+1)),DAY(EOMONTH($L79,0)))),AND(INDEX('1 Budget annuel'!$E$14:$E$43,COLUMN()-COLUMN($X$42)+1)="Trimestrielle",MOD((YEAR($L79)-YEAR(INDEX('1 Budget annuel'!$L$14:$L$43,COLUMN()-COLUMN($X$42)+1)))*12+MONTH($L79)-MONTH(INDEX('1 Budget annuel'!$L$14:$L$43,COLUMN()-COLUMN($X$42)+1)),3)=0,DAY($L79)=MIN(DAY(INDEX('1 Budget annuel'!$L$14:$L$43,COLUMN()-COLUMN($X$42)+1)),DAY(EOMONTH($L79,0)))),AND(INDEX('1 Budget annuel'!$E$14:$E$43,COLUMN()-COLUMN($X$42)+1)="Semestrielle",MOD((YEAR($L79)-YEAR(INDEX('1 Budget annuel'!$L$14:$L$43,COLUMN()-COLUMN($X$42)+1)))*12+MONTH($L79)-MONTH(INDEX('1 Budget annuel'!$L$14:$L$43,COLUMN()-COLUMN($X$42)+1)),6)=0,DAY($L79)=MIN(DAY(INDEX('1 Budget annuel'!$L$14:$L$43,COLUMN()-COLUMN($X$42)+1)),DAY(EOMONTH($L79,0)))),AND(INDEX('1 Budget annuel'!$E$14:$E$43,COLUMN()-COLUMN($X$42)+1)="Annuelle",MOD((YEAR($L79)-YEAR(INDEX('1 Budget annuel'!$L$14:$L$43,COLUMN()-COLUMN($X$42)+1)))*12+MONTH($L79)-MONTH(INDEX('1 Budget annuel'!$L$14:$L$43,COLUMN()-COLUMN($X$42)+1)),12)=0,DAY($L79)=MIN(DAY(INDEX('1 Budget annuel'!$L$14:$L$43,COLUMN()-COLUMN($X$42)+1)),DAY(EOMONTH($L79,0))))),IF(INDEX('1 Budget annuel'!$B$14:$B$43,COLUMN()-COLUMN($X$42)+1)="Entrée",INDEX('1 Budget annuel'!$I$14:$I$43,COLUMN()-COLUMN($X$42)+1),-INDEX('1 Budget annuel'!$I$14:$I$43,COLUMN()-COLUMN($X$42)+1)),0))</x:f>
        <x:v>0</x:v>
      </x:c>
    </x:row>
    <x:row r="80">
      <x:c r="L80" s="114" t="n">
        <x:f>L79+1</x:f>
        <x:v>46274</x:v>
      </x:c>
      <x:c r="M80" s="115" t="b">
        <x:f>AND(L80&gt;=$D$5,L80&lt;=$D$5+363,MOD(L80-$D$5,7)=0)</x:f>
        <x:v>0</x:v>
      </x:c>
      <x:c r="N80" s="116" t="n">
        <x:f>SUM(X80:BA80)</x:f>
        <x:v>0</x:v>
      </x:c>
      <x:c r="O80" s="116" t="n">
        <x:f>IF(M80,$D$10,0)</x:f>
        <x:v>0</x:v>
      </x:c>
      <x:c r="P80" s="116" t="n">
        <x:f>N80-O80</x:f>
        <x:v>0</x:v>
      </x:c>
      <x:c r="Q80" s="116" t="n">
        <x:f>IF(L80&lt;$D$5,0,IF(L80=$D$5,P80,Q79+P80))</x:f>
        <x:v>0</x:v>
      </x:c>
      <x:c r="R80" s="116" t="n">
        <x:f>IF(L80&lt;$D$5,"",$J$10+Q80)</x:f>
        <x:v>0</x:v>
      </x:c>
      <x:c r="S80" s="116" t="n">
        <x:f>IF($L80&lt;$D$5,"",IF($L80=$D$5,$J$10+$N80-IF($M80,IF(INT(($L80-$D$5)/7)&lt;$A$20,$B$20,$D$10),0),S79+$N80-IF($M80,IF(INT(($L80-$D$5)/7)&lt;$A$20,$B$20,$D$10),0)))</x:f>
        <x:v>0</x:v>
      </x:c>
      <x:c r="T80" s="116" t="n">
        <x:f>IF($L80&lt;$D$5,"",IF($L80=$D$5,$J$10+$N80-IF($M80,IF(INT(($L80-$D$5)/7)&lt;$A$21,$B$21,$D$10),0),T79+$N80-IF($M80,IF(INT(($L80-$D$5)/7)&lt;$A$21,$B$21,$D$10),0)))</x:f>
        <x:v>0</x:v>
      </x:c>
      <x:c r="U80" s="116" t="n">
        <x:f>IF($L80&lt;$D$5,"",IF($L80=$D$5,$J$10+$N80-IF($M80,IF(INT(($L80-$D$5)/7)&lt;$A$22,$B$22,$D$10),0),U79+$N80-IF($M80,IF(INT(($L80-$D$5)/7)&lt;$A$22,$B$22,$D$10),0)))</x:f>
        <x:v>0</x:v>
      </x:c>
      <x:c r="V80" s="116" t="n">
        <x:f>IF($L80&lt;$D$5,"",IF($L80=$D$5,$J$10+$N80-IF($M80,IF(INT(($L80-$D$5)/7)&lt;$A$23,$B$23,$D$10),0),V79+$N80-IF($M80,IF(INT(($L80-$D$5)/7)&lt;$A$23,$B$23,$D$10),0)))</x:f>
        <x:v>0</x:v>
      </x:c>
      <x:c r="W80" s="116" t="n">
        <x:f>IF($L80&lt;$D$5,"",IF($L80=$D$5,$J$10+$N80-IF($M80,IF(INT(($L80-$D$5)/7)&lt;$A$24,$B$24,$D$10),0),W79+$N80-IF($M80,IF(INT(($L80-$D$5)/7)&lt;$A$24,$B$24,$D$10),0)))</x:f>
        <x:v>0</x:v>
      </x:c>
      <x:c r="X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Y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Z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A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B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C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D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E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F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G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H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I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J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K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L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M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N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O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P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Q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R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S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T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U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V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W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X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Y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AZ80" s="116"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c r="BA80" s="117" t="n">
        <x:f>IF(OR(INDEX('1 Budget annuel'!$A$14:$A$43,COLUMN()-COLUMN($X$42)+1)&lt;&gt;"Oui",INDEX('1 Budget annuel'!$L$14:$L$43,COLUMN()-COLUMN($X$42)+1)="",AND(INDEX('1 Budget annuel'!$B$14:$B$43,COLUMN()-COLUMN($X$42)+1)="Sortie",INDEX('1 Budget annuel'!$M$14:$M$43,COLUMN()-COLUMN($X$42)+1)="Oui"),$L80&lt;INDEX('1 Budget annuel'!$L$14:$L$43,COLUMN()-COLUMN($X$42)+1),$L80&gt;$D$5+363),0,IF(OR(AND(INDEX('1 Budget annuel'!$E$14:$E$43,COLUMN()-COLUMN($X$42)+1)="Hebdomadaire",MOD($L80-INDEX('1 Budget annuel'!$L$14:$L$43,COLUMN()-COLUMN($X$42)+1),7)=0),AND(INDEX('1 Budget annuel'!$E$14:$E$43,COLUMN()-COLUMN($X$42)+1)="Toutes les 4 semaines",MOD($L80-INDEX('1 Budget annuel'!$L$14:$L$43,COLUMN()-COLUMN($X$42)+1),28)=0),AND(INDEX('1 Budget annuel'!$E$14:$E$43,COLUMN()-COLUMN($X$42)+1)="Mensuelle",DAY($L80)=MIN(DAY(INDEX('1 Budget annuel'!$L$14:$L$43,COLUMN()-COLUMN($X$42)+1)),DAY(EOMONTH($L80,0)))),AND(INDEX('1 Budget annuel'!$E$14:$E$43,COLUMN()-COLUMN($X$42)+1)="Trimestrielle",MOD((YEAR($L80)-YEAR(INDEX('1 Budget annuel'!$L$14:$L$43,COLUMN()-COLUMN($X$42)+1)))*12+MONTH($L80)-MONTH(INDEX('1 Budget annuel'!$L$14:$L$43,COLUMN()-COLUMN($X$42)+1)),3)=0,DAY($L80)=MIN(DAY(INDEX('1 Budget annuel'!$L$14:$L$43,COLUMN()-COLUMN($X$42)+1)),DAY(EOMONTH($L80,0)))),AND(INDEX('1 Budget annuel'!$E$14:$E$43,COLUMN()-COLUMN($X$42)+1)="Semestrielle",MOD((YEAR($L80)-YEAR(INDEX('1 Budget annuel'!$L$14:$L$43,COLUMN()-COLUMN($X$42)+1)))*12+MONTH($L80)-MONTH(INDEX('1 Budget annuel'!$L$14:$L$43,COLUMN()-COLUMN($X$42)+1)),6)=0,DAY($L80)=MIN(DAY(INDEX('1 Budget annuel'!$L$14:$L$43,COLUMN()-COLUMN($X$42)+1)),DAY(EOMONTH($L80,0)))),AND(INDEX('1 Budget annuel'!$E$14:$E$43,COLUMN()-COLUMN($X$42)+1)="Annuelle",MOD((YEAR($L80)-YEAR(INDEX('1 Budget annuel'!$L$14:$L$43,COLUMN()-COLUMN($X$42)+1)))*12+MONTH($L80)-MONTH(INDEX('1 Budget annuel'!$L$14:$L$43,COLUMN()-COLUMN($X$42)+1)),12)=0,DAY($L80)=MIN(DAY(INDEX('1 Budget annuel'!$L$14:$L$43,COLUMN()-COLUMN($X$42)+1)),DAY(EOMONTH($L80,0))))),IF(INDEX('1 Budget annuel'!$B$14:$B$43,COLUMN()-COLUMN($X$42)+1)="Entrée",INDEX('1 Budget annuel'!$I$14:$I$43,COLUMN()-COLUMN($X$42)+1),-INDEX('1 Budget annuel'!$I$14:$I$43,COLUMN()-COLUMN($X$42)+1)),0))</x:f>
        <x:v>0</x:v>
      </x:c>
    </x:row>
    <x:row r="81">
      <x:c r="L81" s="114" t="n">
        <x:f>L80+1</x:f>
        <x:v>46275</x:v>
      </x:c>
      <x:c r="M81" s="115" t="b">
        <x:f>AND(L81&gt;=$D$5,L81&lt;=$D$5+363,MOD(L81-$D$5,7)=0)</x:f>
        <x:v>0</x:v>
      </x:c>
      <x:c r="N81" s="116" t="n">
        <x:f>SUM(X81:BA81)</x:f>
        <x:v>0</x:v>
      </x:c>
      <x:c r="O81" s="116" t="n">
        <x:f>IF(M81,$D$10,0)</x:f>
        <x:v>0</x:v>
      </x:c>
      <x:c r="P81" s="116" t="n">
        <x:f>N81-O81</x:f>
        <x:v>0</x:v>
      </x:c>
      <x:c r="Q81" s="116" t="n">
        <x:f>IF(L81&lt;$D$5,0,IF(L81=$D$5,P81,Q80+P81))</x:f>
        <x:v>0</x:v>
      </x:c>
      <x:c r="R81" s="116" t="n">
        <x:f>IF(L81&lt;$D$5,"",$J$10+Q81)</x:f>
        <x:v>0</x:v>
      </x:c>
      <x:c r="S81" s="116" t="n">
        <x:f>IF($L81&lt;$D$5,"",IF($L81=$D$5,$J$10+$N81-IF($M81,IF(INT(($L81-$D$5)/7)&lt;$A$20,$B$20,$D$10),0),S80+$N81-IF($M81,IF(INT(($L81-$D$5)/7)&lt;$A$20,$B$20,$D$10),0)))</x:f>
        <x:v>0</x:v>
      </x:c>
      <x:c r="T81" s="116" t="n">
        <x:f>IF($L81&lt;$D$5,"",IF($L81=$D$5,$J$10+$N81-IF($M81,IF(INT(($L81-$D$5)/7)&lt;$A$21,$B$21,$D$10),0),T80+$N81-IF($M81,IF(INT(($L81-$D$5)/7)&lt;$A$21,$B$21,$D$10),0)))</x:f>
        <x:v>0</x:v>
      </x:c>
      <x:c r="U81" s="116" t="n">
        <x:f>IF($L81&lt;$D$5,"",IF($L81=$D$5,$J$10+$N81-IF($M81,IF(INT(($L81-$D$5)/7)&lt;$A$22,$B$22,$D$10),0),U80+$N81-IF($M81,IF(INT(($L81-$D$5)/7)&lt;$A$22,$B$22,$D$10),0)))</x:f>
        <x:v>0</x:v>
      </x:c>
      <x:c r="V81" s="116" t="n">
        <x:f>IF($L81&lt;$D$5,"",IF($L81=$D$5,$J$10+$N81-IF($M81,IF(INT(($L81-$D$5)/7)&lt;$A$23,$B$23,$D$10),0),V80+$N81-IF($M81,IF(INT(($L81-$D$5)/7)&lt;$A$23,$B$23,$D$10),0)))</x:f>
        <x:v>0</x:v>
      </x:c>
      <x:c r="W81" s="116" t="n">
        <x:f>IF($L81&lt;$D$5,"",IF($L81=$D$5,$J$10+$N81-IF($M81,IF(INT(($L81-$D$5)/7)&lt;$A$24,$B$24,$D$10),0),W80+$N81-IF($M81,IF(INT(($L81-$D$5)/7)&lt;$A$24,$B$24,$D$10),0)))</x:f>
        <x:v>0</x:v>
      </x:c>
      <x:c r="X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Y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Z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A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B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C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D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E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F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G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H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I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J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K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L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M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N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O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P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Q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R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S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T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U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V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W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X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Y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AZ81" s="116"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c r="BA81" s="117" t="n">
        <x:f>IF(OR(INDEX('1 Budget annuel'!$A$14:$A$43,COLUMN()-COLUMN($X$42)+1)&lt;&gt;"Oui",INDEX('1 Budget annuel'!$L$14:$L$43,COLUMN()-COLUMN($X$42)+1)="",AND(INDEX('1 Budget annuel'!$B$14:$B$43,COLUMN()-COLUMN($X$42)+1)="Sortie",INDEX('1 Budget annuel'!$M$14:$M$43,COLUMN()-COLUMN($X$42)+1)="Oui"),$L81&lt;INDEX('1 Budget annuel'!$L$14:$L$43,COLUMN()-COLUMN($X$42)+1),$L81&gt;$D$5+363),0,IF(OR(AND(INDEX('1 Budget annuel'!$E$14:$E$43,COLUMN()-COLUMN($X$42)+1)="Hebdomadaire",MOD($L81-INDEX('1 Budget annuel'!$L$14:$L$43,COLUMN()-COLUMN($X$42)+1),7)=0),AND(INDEX('1 Budget annuel'!$E$14:$E$43,COLUMN()-COLUMN($X$42)+1)="Toutes les 4 semaines",MOD($L81-INDEX('1 Budget annuel'!$L$14:$L$43,COLUMN()-COLUMN($X$42)+1),28)=0),AND(INDEX('1 Budget annuel'!$E$14:$E$43,COLUMN()-COLUMN($X$42)+1)="Mensuelle",DAY($L81)=MIN(DAY(INDEX('1 Budget annuel'!$L$14:$L$43,COLUMN()-COLUMN($X$42)+1)),DAY(EOMONTH($L81,0)))),AND(INDEX('1 Budget annuel'!$E$14:$E$43,COLUMN()-COLUMN($X$42)+1)="Trimestrielle",MOD((YEAR($L81)-YEAR(INDEX('1 Budget annuel'!$L$14:$L$43,COLUMN()-COLUMN($X$42)+1)))*12+MONTH($L81)-MONTH(INDEX('1 Budget annuel'!$L$14:$L$43,COLUMN()-COLUMN($X$42)+1)),3)=0,DAY($L81)=MIN(DAY(INDEX('1 Budget annuel'!$L$14:$L$43,COLUMN()-COLUMN($X$42)+1)),DAY(EOMONTH($L81,0)))),AND(INDEX('1 Budget annuel'!$E$14:$E$43,COLUMN()-COLUMN($X$42)+1)="Semestrielle",MOD((YEAR($L81)-YEAR(INDEX('1 Budget annuel'!$L$14:$L$43,COLUMN()-COLUMN($X$42)+1)))*12+MONTH($L81)-MONTH(INDEX('1 Budget annuel'!$L$14:$L$43,COLUMN()-COLUMN($X$42)+1)),6)=0,DAY($L81)=MIN(DAY(INDEX('1 Budget annuel'!$L$14:$L$43,COLUMN()-COLUMN($X$42)+1)),DAY(EOMONTH($L81,0)))),AND(INDEX('1 Budget annuel'!$E$14:$E$43,COLUMN()-COLUMN($X$42)+1)="Annuelle",MOD((YEAR($L81)-YEAR(INDEX('1 Budget annuel'!$L$14:$L$43,COLUMN()-COLUMN($X$42)+1)))*12+MONTH($L81)-MONTH(INDEX('1 Budget annuel'!$L$14:$L$43,COLUMN()-COLUMN($X$42)+1)),12)=0,DAY($L81)=MIN(DAY(INDEX('1 Budget annuel'!$L$14:$L$43,COLUMN()-COLUMN($X$42)+1)),DAY(EOMONTH($L81,0))))),IF(INDEX('1 Budget annuel'!$B$14:$B$43,COLUMN()-COLUMN($X$42)+1)="Entrée",INDEX('1 Budget annuel'!$I$14:$I$43,COLUMN()-COLUMN($X$42)+1),-INDEX('1 Budget annuel'!$I$14:$I$43,COLUMN()-COLUMN($X$42)+1)),0))</x:f>
        <x:v>0</x:v>
      </x:c>
    </x:row>
    <x:row r="82">
      <x:c r="L82" s="114" t="n">
        <x:f>L81+1</x:f>
        <x:v>46276</x:v>
      </x:c>
      <x:c r="M82" s="115" t="b">
        <x:f>AND(L82&gt;=$D$5,L82&lt;=$D$5+363,MOD(L82-$D$5,7)=0)</x:f>
        <x:v>0</x:v>
      </x:c>
      <x:c r="N82" s="116" t="n">
        <x:f>SUM(X82:BA82)</x:f>
        <x:v>0</x:v>
      </x:c>
      <x:c r="O82" s="116" t="n">
        <x:f>IF(M82,$D$10,0)</x:f>
        <x:v>0</x:v>
      </x:c>
      <x:c r="P82" s="116" t="n">
        <x:f>N82-O82</x:f>
        <x:v>0</x:v>
      </x:c>
      <x:c r="Q82" s="116" t="n">
        <x:f>IF(L82&lt;$D$5,0,IF(L82=$D$5,P82,Q81+P82))</x:f>
        <x:v>0</x:v>
      </x:c>
      <x:c r="R82" s="116" t="n">
        <x:f>IF(L82&lt;$D$5,"",$J$10+Q82)</x:f>
        <x:v>0</x:v>
      </x:c>
      <x:c r="S82" s="116" t="n">
        <x:f>IF($L82&lt;$D$5,"",IF($L82=$D$5,$J$10+$N82-IF($M82,IF(INT(($L82-$D$5)/7)&lt;$A$20,$B$20,$D$10),0),S81+$N82-IF($M82,IF(INT(($L82-$D$5)/7)&lt;$A$20,$B$20,$D$10),0)))</x:f>
        <x:v>0</x:v>
      </x:c>
      <x:c r="T82" s="116" t="n">
        <x:f>IF($L82&lt;$D$5,"",IF($L82=$D$5,$J$10+$N82-IF($M82,IF(INT(($L82-$D$5)/7)&lt;$A$21,$B$21,$D$10),0),T81+$N82-IF($M82,IF(INT(($L82-$D$5)/7)&lt;$A$21,$B$21,$D$10),0)))</x:f>
        <x:v>0</x:v>
      </x:c>
      <x:c r="U82" s="116" t="n">
        <x:f>IF($L82&lt;$D$5,"",IF($L82=$D$5,$J$10+$N82-IF($M82,IF(INT(($L82-$D$5)/7)&lt;$A$22,$B$22,$D$10),0),U81+$N82-IF($M82,IF(INT(($L82-$D$5)/7)&lt;$A$22,$B$22,$D$10),0)))</x:f>
        <x:v>0</x:v>
      </x:c>
      <x:c r="V82" s="116" t="n">
        <x:f>IF($L82&lt;$D$5,"",IF($L82=$D$5,$J$10+$N82-IF($M82,IF(INT(($L82-$D$5)/7)&lt;$A$23,$B$23,$D$10),0),V81+$N82-IF($M82,IF(INT(($L82-$D$5)/7)&lt;$A$23,$B$23,$D$10),0)))</x:f>
        <x:v>0</x:v>
      </x:c>
      <x:c r="W82" s="116" t="n">
        <x:f>IF($L82&lt;$D$5,"",IF($L82=$D$5,$J$10+$N82-IF($M82,IF(INT(($L82-$D$5)/7)&lt;$A$24,$B$24,$D$10),0),W81+$N82-IF($M82,IF(INT(($L82-$D$5)/7)&lt;$A$24,$B$24,$D$10),0)))</x:f>
        <x:v>0</x:v>
      </x:c>
      <x:c r="X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Y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Z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A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B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C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D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E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F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G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H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I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J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K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L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M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N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O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P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Q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R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S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T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U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V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W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X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Y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AZ82" s="116"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c r="BA82" s="117" t="n">
        <x:f>IF(OR(INDEX('1 Budget annuel'!$A$14:$A$43,COLUMN()-COLUMN($X$42)+1)&lt;&gt;"Oui",INDEX('1 Budget annuel'!$L$14:$L$43,COLUMN()-COLUMN($X$42)+1)="",AND(INDEX('1 Budget annuel'!$B$14:$B$43,COLUMN()-COLUMN($X$42)+1)="Sortie",INDEX('1 Budget annuel'!$M$14:$M$43,COLUMN()-COLUMN($X$42)+1)="Oui"),$L82&lt;INDEX('1 Budget annuel'!$L$14:$L$43,COLUMN()-COLUMN($X$42)+1),$L82&gt;$D$5+363),0,IF(OR(AND(INDEX('1 Budget annuel'!$E$14:$E$43,COLUMN()-COLUMN($X$42)+1)="Hebdomadaire",MOD($L82-INDEX('1 Budget annuel'!$L$14:$L$43,COLUMN()-COLUMN($X$42)+1),7)=0),AND(INDEX('1 Budget annuel'!$E$14:$E$43,COLUMN()-COLUMN($X$42)+1)="Toutes les 4 semaines",MOD($L82-INDEX('1 Budget annuel'!$L$14:$L$43,COLUMN()-COLUMN($X$42)+1),28)=0),AND(INDEX('1 Budget annuel'!$E$14:$E$43,COLUMN()-COLUMN($X$42)+1)="Mensuelle",DAY($L82)=MIN(DAY(INDEX('1 Budget annuel'!$L$14:$L$43,COLUMN()-COLUMN($X$42)+1)),DAY(EOMONTH($L82,0)))),AND(INDEX('1 Budget annuel'!$E$14:$E$43,COLUMN()-COLUMN($X$42)+1)="Trimestrielle",MOD((YEAR($L82)-YEAR(INDEX('1 Budget annuel'!$L$14:$L$43,COLUMN()-COLUMN($X$42)+1)))*12+MONTH($L82)-MONTH(INDEX('1 Budget annuel'!$L$14:$L$43,COLUMN()-COLUMN($X$42)+1)),3)=0,DAY($L82)=MIN(DAY(INDEX('1 Budget annuel'!$L$14:$L$43,COLUMN()-COLUMN($X$42)+1)),DAY(EOMONTH($L82,0)))),AND(INDEX('1 Budget annuel'!$E$14:$E$43,COLUMN()-COLUMN($X$42)+1)="Semestrielle",MOD((YEAR($L82)-YEAR(INDEX('1 Budget annuel'!$L$14:$L$43,COLUMN()-COLUMN($X$42)+1)))*12+MONTH($L82)-MONTH(INDEX('1 Budget annuel'!$L$14:$L$43,COLUMN()-COLUMN($X$42)+1)),6)=0,DAY($L82)=MIN(DAY(INDEX('1 Budget annuel'!$L$14:$L$43,COLUMN()-COLUMN($X$42)+1)),DAY(EOMONTH($L82,0)))),AND(INDEX('1 Budget annuel'!$E$14:$E$43,COLUMN()-COLUMN($X$42)+1)="Annuelle",MOD((YEAR($L82)-YEAR(INDEX('1 Budget annuel'!$L$14:$L$43,COLUMN()-COLUMN($X$42)+1)))*12+MONTH($L82)-MONTH(INDEX('1 Budget annuel'!$L$14:$L$43,COLUMN()-COLUMN($X$42)+1)),12)=0,DAY($L82)=MIN(DAY(INDEX('1 Budget annuel'!$L$14:$L$43,COLUMN()-COLUMN($X$42)+1)),DAY(EOMONTH($L82,0))))),IF(INDEX('1 Budget annuel'!$B$14:$B$43,COLUMN()-COLUMN($X$42)+1)="Entrée",INDEX('1 Budget annuel'!$I$14:$I$43,COLUMN()-COLUMN($X$42)+1),-INDEX('1 Budget annuel'!$I$14:$I$43,COLUMN()-COLUMN($X$42)+1)),0))</x:f>
        <x:v>0</x:v>
      </x:c>
    </x:row>
    <x:row r="83">
      <x:c r="L83" s="114" t="n">
        <x:f>L82+1</x:f>
        <x:v>46277</x:v>
      </x:c>
      <x:c r="M83" s="115" t="b">
        <x:f>AND(L83&gt;=$D$5,L83&lt;=$D$5+363,MOD(L83-$D$5,7)=0)</x:f>
        <x:v>1</x:v>
      </x:c>
      <x:c r="N83" s="116" t="n">
        <x:f>SUM(X83:BA83)</x:f>
        <x:v>0</x:v>
      </x:c>
      <x:c r="O83" s="116" t="n">
        <x:f>IF(M83,$D$10,0)</x:f>
        <x:v>0</x:v>
      </x:c>
      <x:c r="P83" s="116" t="n">
        <x:f>N83-O83</x:f>
        <x:v>0</x:v>
      </x:c>
      <x:c r="Q83" s="116" t="n">
        <x:f>IF(L83&lt;$D$5,0,IF(L83=$D$5,P83,Q82+P83))</x:f>
        <x:v>0</x:v>
      </x:c>
      <x:c r="R83" s="116" t="n">
        <x:f>IF(L83&lt;$D$5,"",$J$10+Q83)</x:f>
        <x:v>0</x:v>
      </x:c>
      <x:c r="S83" s="116" t="n">
        <x:f>IF($L83&lt;$D$5,"",IF($L83=$D$5,$J$10+$N83-IF($M83,IF(INT(($L83-$D$5)/7)&lt;$A$20,$B$20,$D$10),0),S82+$N83-IF($M83,IF(INT(($L83-$D$5)/7)&lt;$A$20,$B$20,$D$10),0)))</x:f>
        <x:v>0</x:v>
      </x:c>
      <x:c r="T83" s="116" t="n">
        <x:f>IF($L83&lt;$D$5,"",IF($L83=$D$5,$J$10+$N83-IF($M83,IF(INT(($L83-$D$5)/7)&lt;$A$21,$B$21,$D$10),0),T82+$N83-IF($M83,IF(INT(($L83-$D$5)/7)&lt;$A$21,$B$21,$D$10),0)))</x:f>
        <x:v>0</x:v>
      </x:c>
      <x:c r="U83" s="116" t="n">
        <x:f>IF($L83&lt;$D$5,"",IF($L83=$D$5,$J$10+$N83-IF($M83,IF(INT(($L83-$D$5)/7)&lt;$A$22,$B$22,$D$10),0),U82+$N83-IF($M83,IF(INT(($L83-$D$5)/7)&lt;$A$22,$B$22,$D$10),0)))</x:f>
        <x:v>0</x:v>
      </x:c>
      <x:c r="V83" s="116" t="n">
        <x:f>IF($L83&lt;$D$5,"",IF($L83=$D$5,$J$10+$N83-IF($M83,IF(INT(($L83-$D$5)/7)&lt;$A$23,$B$23,$D$10),0),V82+$N83-IF($M83,IF(INT(($L83-$D$5)/7)&lt;$A$23,$B$23,$D$10),0)))</x:f>
        <x:v>0</x:v>
      </x:c>
      <x:c r="W83" s="116" t="n">
        <x:f>IF($L83&lt;$D$5,"",IF($L83=$D$5,$J$10+$N83-IF($M83,IF(INT(($L83-$D$5)/7)&lt;$A$24,$B$24,$D$10),0),W82+$N83-IF($M83,IF(INT(($L83-$D$5)/7)&lt;$A$24,$B$24,$D$10),0)))</x:f>
        <x:v>0</x:v>
      </x:c>
      <x:c r="X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Y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Z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A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B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C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D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E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F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G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H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I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J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K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L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M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N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O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P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Q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R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S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T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U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V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W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X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Y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AZ83" s="116"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c r="BA83" s="117" t="n">
        <x:f>IF(OR(INDEX('1 Budget annuel'!$A$14:$A$43,COLUMN()-COLUMN($X$42)+1)&lt;&gt;"Oui",INDEX('1 Budget annuel'!$L$14:$L$43,COLUMN()-COLUMN($X$42)+1)="",AND(INDEX('1 Budget annuel'!$B$14:$B$43,COLUMN()-COLUMN($X$42)+1)="Sortie",INDEX('1 Budget annuel'!$M$14:$M$43,COLUMN()-COLUMN($X$42)+1)="Oui"),$L83&lt;INDEX('1 Budget annuel'!$L$14:$L$43,COLUMN()-COLUMN($X$42)+1),$L83&gt;$D$5+363),0,IF(OR(AND(INDEX('1 Budget annuel'!$E$14:$E$43,COLUMN()-COLUMN($X$42)+1)="Hebdomadaire",MOD($L83-INDEX('1 Budget annuel'!$L$14:$L$43,COLUMN()-COLUMN($X$42)+1),7)=0),AND(INDEX('1 Budget annuel'!$E$14:$E$43,COLUMN()-COLUMN($X$42)+1)="Toutes les 4 semaines",MOD($L83-INDEX('1 Budget annuel'!$L$14:$L$43,COLUMN()-COLUMN($X$42)+1),28)=0),AND(INDEX('1 Budget annuel'!$E$14:$E$43,COLUMN()-COLUMN($X$42)+1)="Mensuelle",DAY($L83)=MIN(DAY(INDEX('1 Budget annuel'!$L$14:$L$43,COLUMN()-COLUMN($X$42)+1)),DAY(EOMONTH($L83,0)))),AND(INDEX('1 Budget annuel'!$E$14:$E$43,COLUMN()-COLUMN($X$42)+1)="Trimestrielle",MOD((YEAR($L83)-YEAR(INDEX('1 Budget annuel'!$L$14:$L$43,COLUMN()-COLUMN($X$42)+1)))*12+MONTH($L83)-MONTH(INDEX('1 Budget annuel'!$L$14:$L$43,COLUMN()-COLUMN($X$42)+1)),3)=0,DAY($L83)=MIN(DAY(INDEX('1 Budget annuel'!$L$14:$L$43,COLUMN()-COLUMN($X$42)+1)),DAY(EOMONTH($L83,0)))),AND(INDEX('1 Budget annuel'!$E$14:$E$43,COLUMN()-COLUMN($X$42)+1)="Semestrielle",MOD((YEAR($L83)-YEAR(INDEX('1 Budget annuel'!$L$14:$L$43,COLUMN()-COLUMN($X$42)+1)))*12+MONTH($L83)-MONTH(INDEX('1 Budget annuel'!$L$14:$L$43,COLUMN()-COLUMN($X$42)+1)),6)=0,DAY($L83)=MIN(DAY(INDEX('1 Budget annuel'!$L$14:$L$43,COLUMN()-COLUMN($X$42)+1)),DAY(EOMONTH($L83,0)))),AND(INDEX('1 Budget annuel'!$E$14:$E$43,COLUMN()-COLUMN($X$42)+1)="Annuelle",MOD((YEAR($L83)-YEAR(INDEX('1 Budget annuel'!$L$14:$L$43,COLUMN()-COLUMN($X$42)+1)))*12+MONTH($L83)-MONTH(INDEX('1 Budget annuel'!$L$14:$L$43,COLUMN()-COLUMN($X$42)+1)),12)=0,DAY($L83)=MIN(DAY(INDEX('1 Budget annuel'!$L$14:$L$43,COLUMN()-COLUMN($X$42)+1)),DAY(EOMONTH($L83,0))))),IF(INDEX('1 Budget annuel'!$B$14:$B$43,COLUMN()-COLUMN($X$42)+1)="Entrée",INDEX('1 Budget annuel'!$I$14:$I$43,COLUMN()-COLUMN($X$42)+1),-INDEX('1 Budget annuel'!$I$14:$I$43,COLUMN()-COLUMN($X$42)+1)),0))</x:f>
        <x:v>0</x:v>
      </x:c>
    </x:row>
    <x:row r="84">
      <x:c r="L84" s="114" t="n">
        <x:f>L83+1</x:f>
        <x:v>46278</x:v>
      </x:c>
      <x:c r="M84" s="115" t="b">
        <x:f>AND(L84&gt;=$D$5,L84&lt;=$D$5+363,MOD(L84-$D$5,7)=0)</x:f>
        <x:v>0</x:v>
      </x:c>
      <x:c r="N84" s="116" t="n">
        <x:f>SUM(X84:BA84)</x:f>
        <x:v>0</x:v>
      </x:c>
      <x:c r="O84" s="116" t="n">
        <x:f>IF(M84,$D$10,0)</x:f>
        <x:v>0</x:v>
      </x:c>
      <x:c r="P84" s="116" t="n">
        <x:f>N84-O84</x:f>
        <x:v>0</x:v>
      </x:c>
      <x:c r="Q84" s="116" t="n">
        <x:f>IF(L84&lt;$D$5,0,IF(L84=$D$5,P84,Q83+P84))</x:f>
        <x:v>0</x:v>
      </x:c>
      <x:c r="R84" s="116" t="n">
        <x:f>IF(L84&lt;$D$5,"",$J$10+Q84)</x:f>
        <x:v>0</x:v>
      </x:c>
      <x:c r="S84" s="116" t="n">
        <x:f>IF($L84&lt;$D$5,"",IF($L84=$D$5,$J$10+$N84-IF($M84,IF(INT(($L84-$D$5)/7)&lt;$A$20,$B$20,$D$10),0),S83+$N84-IF($M84,IF(INT(($L84-$D$5)/7)&lt;$A$20,$B$20,$D$10),0)))</x:f>
        <x:v>0</x:v>
      </x:c>
      <x:c r="T84" s="116" t="n">
        <x:f>IF($L84&lt;$D$5,"",IF($L84=$D$5,$J$10+$N84-IF($M84,IF(INT(($L84-$D$5)/7)&lt;$A$21,$B$21,$D$10),0),T83+$N84-IF($M84,IF(INT(($L84-$D$5)/7)&lt;$A$21,$B$21,$D$10),0)))</x:f>
        <x:v>0</x:v>
      </x:c>
      <x:c r="U84" s="116" t="n">
        <x:f>IF($L84&lt;$D$5,"",IF($L84=$D$5,$J$10+$N84-IF($M84,IF(INT(($L84-$D$5)/7)&lt;$A$22,$B$22,$D$10),0),U83+$N84-IF($M84,IF(INT(($L84-$D$5)/7)&lt;$A$22,$B$22,$D$10),0)))</x:f>
        <x:v>0</x:v>
      </x:c>
      <x:c r="V84" s="116" t="n">
        <x:f>IF($L84&lt;$D$5,"",IF($L84=$D$5,$J$10+$N84-IF($M84,IF(INT(($L84-$D$5)/7)&lt;$A$23,$B$23,$D$10),0),V83+$N84-IF($M84,IF(INT(($L84-$D$5)/7)&lt;$A$23,$B$23,$D$10),0)))</x:f>
        <x:v>0</x:v>
      </x:c>
      <x:c r="W84" s="116" t="n">
        <x:f>IF($L84&lt;$D$5,"",IF($L84=$D$5,$J$10+$N84-IF($M84,IF(INT(($L84-$D$5)/7)&lt;$A$24,$B$24,$D$10),0),W83+$N84-IF($M84,IF(INT(($L84-$D$5)/7)&lt;$A$24,$B$24,$D$10),0)))</x:f>
        <x:v>0</x:v>
      </x:c>
      <x:c r="X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Y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Z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A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B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C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D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E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F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G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H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I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J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K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L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M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N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O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P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Q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R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S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T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U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V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W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X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Y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AZ84" s="116"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c r="BA84" s="117" t="n">
        <x:f>IF(OR(INDEX('1 Budget annuel'!$A$14:$A$43,COLUMN()-COLUMN($X$42)+1)&lt;&gt;"Oui",INDEX('1 Budget annuel'!$L$14:$L$43,COLUMN()-COLUMN($X$42)+1)="",AND(INDEX('1 Budget annuel'!$B$14:$B$43,COLUMN()-COLUMN($X$42)+1)="Sortie",INDEX('1 Budget annuel'!$M$14:$M$43,COLUMN()-COLUMN($X$42)+1)="Oui"),$L84&lt;INDEX('1 Budget annuel'!$L$14:$L$43,COLUMN()-COLUMN($X$42)+1),$L84&gt;$D$5+363),0,IF(OR(AND(INDEX('1 Budget annuel'!$E$14:$E$43,COLUMN()-COLUMN($X$42)+1)="Hebdomadaire",MOD($L84-INDEX('1 Budget annuel'!$L$14:$L$43,COLUMN()-COLUMN($X$42)+1),7)=0),AND(INDEX('1 Budget annuel'!$E$14:$E$43,COLUMN()-COLUMN($X$42)+1)="Toutes les 4 semaines",MOD($L84-INDEX('1 Budget annuel'!$L$14:$L$43,COLUMN()-COLUMN($X$42)+1),28)=0),AND(INDEX('1 Budget annuel'!$E$14:$E$43,COLUMN()-COLUMN($X$42)+1)="Mensuelle",DAY($L84)=MIN(DAY(INDEX('1 Budget annuel'!$L$14:$L$43,COLUMN()-COLUMN($X$42)+1)),DAY(EOMONTH($L84,0)))),AND(INDEX('1 Budget annuel'!$E$14:$E$43,COLUMN()-COLUMN($X$42)+1)="Trimestrielle",MOD((YEAR($L84)-YEAR(INDEX('1 Budget annuel'!$L$14:$L$43,COLUMN()-COLUMN($X$42)+1)))*12+MONTH($L84)-MONTH(INDEX('1 Budget annuel'!$L$14:$L$43,COLUMN()-COLUMN($X$42)+1)),3)=0,DAY($L84)=MIN(DAY(INDEX('1 Budget annuel'!$L$14:$L$43,COLUMN()-COLUMN($X$42)+1)),DAY(EOMONTH($L84,0)))),AND(INDEX('1 Budget annuel'!$E$14:$E$43,COLUMN()-COLUMN($X$42)+1)="Semestrielle",MOD((YEAR($L84)-YEAR(INDEX('1 Budget annuel'!$L$14:$L$43,COLUMN()-COLUMN($X$42)+1)))*12+MONTH($L84)-MONTH(INDEX('1 Budget annuel'!$L$14:$L$43,COLUMN()-COLUMN($X$42)+1)),6)=0,DAY($L84)=MIN(DAY(INDEX('1 Budget annuel'!$L$14:$L$43,COLUMN()-COLUMN($X$42)+1)),DAY(EOMONTH($L84,0)))),AND(INDEX('1 Budget annuel'!$E$14:$E$43,COLUMN()-COLUMN($X$42)+1)="Annuelle",MOD((YEAR($L84)-YEAR(INDEX('1 Budget annuel'!$L$14:$L$43,COLUMN()-COLUMN($X$42)+1)))*12+MONTH($L84)-MONTH(INDEX('1 Budget annuel'!$L$14:$L$43,COLUMN()-COLUMN($X$42)+1)),12)=0,DAY($L84)=MIN(DAY(INDEX('1 Budget annuel'!$L$14:$L$43,COLUMN()-COLUMN($X$42)+1)),DAY(EOMONTH($L84,0))))),IF(INDEX('1 Budget annuel'!$B$14:$B$43,COLUMN()-COLUMN($X$42)+1)="Entrée",INDEX('1 Budget annuel'!$I$14:$I$43,COLUMN()-COLUMN($X$42)+1),-INDEX('1 Budget annuel'!$I$14:$I$43,COLUMN()-COLUMN($X$42)+1)),0))</x:f>
        <x:v>0</x:v>
      </x:c>
    </x:row>
    <x:row r="85">
      <x:c r="L85" s="114" t="n">
        <x:f>L84+1</x:f>
        <x:v>46279</x:v>
      </x:c>
      <x:c r="M85" s="115" t="b">
        <x:f>AND(L85&gt;=$D$5,L85&lt;=$D$5+363,MOD(L85-$D$5,7)=0)</x:f>
        <x:v>0</x:v>
      </x:c>
      <x:c r="N85" s="116" t="n">
        <x:f>SUM(X85:BA85)</x:f>
        <x:v>0</x:v>
      </x:c>
      <x:c r="O85" s="116" t="n">
        <x:f>IF(M85,$D$10,0)</x:f>
        <x:v>0</x:v>
      </x:c>
      <x:c r="P85" s="116" t="n">
        <x:f>N85-O85</x:f>
        <x:v>0</x:v>
      </x:c>
      <x:c r="Q85" s="116" t="n">
        <x:f>IF(L85&lt;$D$5,0,IF(L85=$D$5,P85,Q84+P85))</x:f>
        <x:v>0</x:v>
      </x:c>
      <x:c r="R85" s="116" t="n">
        <x:f>IF(L85&lt;$D$5,"",$J$10+Q85)</x:f>
        <x:v>0</x:v>
      </x:c>
      <x:c r="S85" s="116" t="n">
        <x:f>IF($L85&lt;$D$5,"",IF($L85=$D$5,$J$10+$N85-IF($M85,IF(INT(($L85-$D$5)/7)&lt;$A$20,$B$20,$D$10),0),S84+$N85-IF($M85,IF(INT(($L85-$D$5)/7)&lt;$A$20,$B$20,$D$10),0)))</x:f>
        <x:v>0</x:v>
      </x:c>
      <x:c r="T85" s="116" t="n">
        <x:f>IF($L85&lt;$D$5,"",IF($L85=$D$5,$J$10+$N85-IF($M85,IF(INT(($L85-$D$5)/7)&lt;$A$21,$B$21,$D$10),0),T84+$N85-IF($M85,IF(INT(($L85-$D$5)/7)&lt;$A$21,$B$21,$D$10),0)))</x:f>
        <x:v>0</x:v>
      </x:c>
      <x:c r="U85" s="116" t="n">
        <x:f>IF($L85&lt;$D$5,"",IF($L85=$D$5,$J$10+$N85-IF($M85,IF(INT(($L85-$D$5)/7)&lt;$A$22,$B$22,$D$10),0),U84+$N85-IF($M85,IF(INT(($L85-$D$5)/7)&lt;$A$22,$B$22,$D$10),0)))</x:f>
        <x:v>0</x:v>
      </x:c>
      <x:c r="V85" s="116" t="n">
        <x:f>IF($L85&lt;$D$5,"",IF($L85=$D$5,$J$10+$N85-IF($M85,IF(INT(($L85-$D$5)/7)&lt;$A$23,$B$23,$D$10),0),V84+$N85-IF($M85,IF(INT(($L85-$D$5)/7)&lt;$A$23,$B$23,$D$10),0)))</x:f>
        <x:v>0</x:v>
      </x:c>
      <x:c r="W85" s="116" t="n">
        <x:f>IF($L85&lt;$D$5,"",IF($L85=$D$5,$J$10+$N85-IF($M85,IF(INT(($L85-$D$5)/7)&lt;$A$24,$B$24,$D$10),0),W84+$N85-IF($M85,IF(INT(($L85-$D$5)/7)&lt;$A$24,$B$24,$D$10),0)))</x:f>
        <x:v>0</x:v>
      </x:c>
      <x:c r="X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Y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Z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A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B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C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D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E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F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G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H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I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J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K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L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M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N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O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P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Q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R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S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T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U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V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W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X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Y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AZ85" s="116"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c r="BA85" s="117" t="n">
        <x:f>IF(OR(INDEX('1 Budget annuel'!$A$14:$A$43,COLUMN()-COLUMN($X$42)+1)&lt;&gt;"Oui",INDEX('1 Budget annuel'!$L$14:$L$43,COLUMN()-COLUMN($X$42)+1)="",AND(INDEX('1 Budget annuel'!$B$14:$B$43,COLUMN()-COLUMN($X$42)+1)="Sortie",INDEX('1 Budget annuel'!$M$14:$M$43,COLUMN()-COLUMN($X$42)+1)="Oui"),$L85&lt;INDEX('1 Budget annuel'!$L$14:$L$43,COLUMN()-COLUMN($X$42)+1),$L85&gt;$D$5+363),0,IF(OR(AND(INDEX('1 Budget annuel'!$E$14:$E$43,COLUMN()-COLUMN($X$42)+1)="Hebdomadaire",MOD($L85-INDEX('1 Budget annuel'!$L$14:$L$43,COLUMN()-COLUMN($X$42)+1),7)=0),AND(INDEX('1 Budget annuel'!$E$14:$E$43,COLUMN()-COLUMN($X$42)+1)="Toutes les 4 semaines",MOD($L85-INDEX('1 Budget annuel'!$L$14:$L$43,COLUMN()-COLUMN($X$42)+1),28)=0),AND(INDEX('1 Budget annuel'!$E$14:$E$43,COLUMN()-COLUMN($X$42)+1)="Mensuelle",DAY($L85)=MIN(DAY(INDEX('1 Budget annuel'!$L$14:$L$43,COLUMN()-COLUMN($X$42)+1)),DAY(EOMONTH($L85,0)))),AND(INDEX('1 Budget annuel'!$E$14:$E$43,COLUMN()-COLUMN($X$42)+1)="Trimestrielle",MOD((YEAR($L85)-YEAR(INDEX('1 Budget annuel'!$L$14:$L$43,COLUMN()-COLUMN($X$42)+1)))*12+MONTH($L85)-MONTH(INDEX('1 Budget annuel'!$L$14:$L$43,COLUMN()-COLUMN($X$42)+1)),3)=0,DAY($L85)=MIN(DAY(INDEX('1 Budget annuel'!$L$14:$L$43,COLUMN()-COLUMN($X$42)+1)),DAY(EOMONTH($L85,0)))),AND(INDEX('1 Budget annuel'!$E$14:$E$43,COLUMN()-COLUMN($X$42)+1)="Semestrielle",MOD((YEAR($L85)-YEAR(INDEX('1 Budget annuel'!$L$14:$L$43,COLUMN()-COLUMN($X$42)+1)))*12+MONTH($L85)-MONTH(INDEX('1 Budget annuel'!$L$14:$L$43,COLUMN()-COLUMN($X$42)+1)),6)=0,DAY($L85)=MIN(DAY(INDEX('1 Budget annuel'!$L$14:$L$43,COLUMN()-COLUMN($X$42)+1)),DAY(EOMONTH($L85,0)))),AND(INDEX('1 Budget annuel'!$E$14:$E$43,COLUMN()-COLUMN($X$42)+1)="Annuelle",MOD((YEAR($L85)-YEAR(INDEX('1 Budget annuel'!$L$14:$L$43,COLUMN()-COLUMN($X$42)+1)))*12+MONTH($L85)-MONTH(INDEX('1 Budget annuel'!$L$14:$L$43,COLUMN()-COLUMN($X$42)+1)),12)=0,DAY($L85)=MIN(DAY(INDEX('1 Budget annuel'!$L$14:$L$43,COLUMN()-COLUMN($X$42)+1)),DAY(EOMONTH($L85,0))))),IF(INDEX('1 Budget annuel'!$B$14:$B$43,COLUMN()-COLUMN($X$42)+1)="Entrée",INDEX('1 Budget annuel'!$I$14:$I$43,COLUMN()-COLUMN($X$42)+1),-INDEX('1 Budget annuel'!$I$14:$I$43,COLUMN()-COLUMN($X$42)+1)),0))</x:f>
        <x:v>0</x:v>
      </x:c>
    </x:row>
    <x:row r="86">
      <x:c r="L86" s="114" t="n">
        <x:f>L85+1</x:f>
        <x:v>46280</x:v>
      </x:c>
      <x:c r="M86" s="115" t="b">
        <x:f>AND(L86&gt;=$D$5,L86&lt;=$D$5+363,MOD(L86-$D$5,7)=0)</x:f>
        <x:v>0</x:v>
      </x:c>
      <x:c r="N86" s="116" t="n">
        <x:f>SUM(X86:BA86)</x:f>
        <x:v>0</x:v>
      </x:c>
      <x:c r="O86" s="116" t="n">
        <x:f>IF(M86,$D$10,0)</x:f>
        <x:v>0</x:v>
      </x:c>
      <x:c r="P86" s="116" t="n">
        <x:f>N86-O86</x:f>
        <x:v>0</x:v>
      </x:c>
      <x:c r="Q86" s="116" t="n">
        <x:f>IF(L86&lt;$D$5,0,IF(L86=$D$5,P86,Q85+P86))</x:f>
        <x:v>0</x:v>
      </x:c>
      <x:c r="R86" s="116" t="n">
        <x:f>IF(L86&lt;$D$5,"",$J$10+Q86)</x:f>
        <x:v>0</x:v>
      </x:c>
      <x:c r="S86" s="116" t="n">
        <x:f>IF($L86&lt;$D$5,"",IF($L86=$D$5,$J$10+$N86-IF($M86,IF(INT(($L86-$D$5)/7)&lt;$A$20,$B$20,$D$10),0),S85+$N86-IF($M86,IF(INT(($L86-$D$5)/7)&lt;$A$20,$B$20,$D$10),0)))</x:f>
        <x:v>0</x:v>
      </x:c>
      <x:c r="T86" s="116" t="n">
        <x:f>IF($L86&lt;$D$5,"",IF($L86=$D$5,$J$10+$N86-IF($M86,IF(INT(($L86-$D$5)/7)&lt;$A$21,$B$21,$D$10),0),T85+$N86-IF($M86,IF(INT(($L86-$D$5)/7)&lt;$A$21,$B$21,$D$10),0)))</x:f>
        <x:v>0</x:v>
      </x:c>
      <x:c r="U86" s="116" t="n">
        <x:f>IF($L86&lt;$D$5,"",IF($L86=$D$5,$J$10+$N86-IF($M86,IF(INT(($L86-$D$5)/7)&lt;$A$22,$B$22,$D$10),0),U85+$N86-IF($M86,IF(INT(($L86-$D$5)/7)&lt;$A$22,$B$22,$D$10),0)))</x:f>
        <x:v>0</x:v>
      </x:c>
      <x:c r="V86" s="116" t="n">
        <x:f>IF($L86&lt;$D$5,"",IF($L86=$D$5,$J$10+$N86-IF($M86,IF(INT(($L86-$D$5)/7)&lt;$A$23,$B$23,$D$10),0),V85+$N86-IF($M86,IF(INT(($L86-$D$5)/7)&lt;$A$23,$B$23,$D$10),0)))</x:f>
        <x:v>0</x:v>
      </x:c>
      <x:c r="W86" s="116" t="n">
        <x:f>IF($L86&lt;$D$5,"",IF($L86=$D$5,$J$10+$N86-IF($M86,IF(INT(($L86-$D$5)/7)&lt;$A$24,$B$24,$D$10),0),W85+$N86-IF($M86,IF(INT(($L86-$D$5)/7)&lt;$A$24,$B$24,$D$10),0)))</x:f>
        <x:v>0</x:v>
      </x:c>
      <x:c r="X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Y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Z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A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B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C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D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E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F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G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H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I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J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K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L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M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N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O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P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Q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R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S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T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U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V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W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X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Y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AZ86" s="116"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c r="BA86" s="117" t="n">
        <x:f>IF(OR(INDEX('1 Budget annuel'!$A$14:$A$43,COLUMN()-COLUMN($X$42)+1)&lt;&gt;"Oui",INDEX('1 Budget annuel'!$L$14:$L$43,COLUMN()-COLUMN($X$42)+1)="",AND(INDEX('1 Budget annuel'!$B$14:$B$43,COLUMN()-COLUMN($X$42)+1)="Sortie",INDEX('1 Budget annuel'!$M$14:$M$43,COLUMN()-COLUMN($X$42)+1)="Oui"),$L86&lt;INDEX('1 Budget annuel'!$L$14:$L$43,COLUMN()-COLUMN($X$42)+1),$L86&gt;$D$5+363),0,IF(OR(AND(INDEX('1 Budget annuel'!$E$14:$E$43,COLUMN()-COLUMN($X$42)+1)="Hebdomadaire",MOD($L86-INDEX('1 Budget annuel'!$L$14:$L$43,COLUMN()-COLUMN($X$42)+1),7)=0),AND(INDEX('1 Budget annuel'!$E$14:$E$43,COLUMN()-COLUMN($X$42)+1)="Toutes les 4 semaines",MOD($L86-INDEX('1 Budget annuel'!$L$14:$L$43,COLUMN()-COLUMN($X$42)+1),28)=0),AND(INDEX('1 Budget annuel'!$E$14:$E$43,COLUMN()-COLUMN($X$42)+1)="Mensuelle",DAY($L86)=MIN(DAY(INDEX('1 Budget annuel'!$L$14:$L$43,COLUMN()-COLUMN($X$42)+1)),DAY(EOMONTH($L86,0)))),AND(INDEX('1 Budget annuel'!$E$14:$E$43,COLUMN()-COLUMN($X$42)+1)="Trimestrielle",MOD((YEAR($L86)-YEAR(INDEX('1 Budget annuel'!$L$14:$L$43,COLUMN()-COLUMN($X$42)+1)))*12+MONTH($L86)-MONTH(INDEX('1 Budget annuel'!$L$14:$L$43,COLUMN()-COLUMN($X$42)+1)),3)=0,DAY($L86)=MIN(DAY(INDEX('1 Budget annuel'!$L$14:$L$43,COLUMN()-COLUMN($X$42)+1)),DAY(EOMONTH($L86,0)))),AND(INDEX('1 Budget annuel'!$E$14:$E$43,COLUMN()-COLUMN($X$42)+1)="Semestrielle",MOD((YEAR($L86)-YEAR(INDEX('1 Budget annuel'!$L$14:$L$43,COLUMN()-COLUMN($X$42)+1)))*12+MONTH($L86)-MONTH(INDEX('1 Budget annuel'!$L$14:$L$43,COLUMN()-COLUMN($X$42)+1)),6)=0,DAY($L86)=MIN(DAY(INDEX('1 Budget annuel'!$L$14:$L$43,COLUMN()-COLUMN($X$42)+1)),DAY(EOMONTH($L86,0)))),AND(INDEX('1 Budget annuel'!$E$14:$E$43,COLUMN()-COLUMN($X$42)+1)="Annuelle",MOD((YEAR($L86)-YEAR(INDEX('1 Budget annuel'!$L$14:$L$43,COLUMN()-COLUMN($X$42)+1)))*12+MONTH($L86)-MONTH(INDEX('1 Budget annuel'!$L$14:$L$43,COLUMN()-COLUMN($X$42)+1)),12)=0,DAY($L86)=MIN(DAY(INDEX('1 Budget annuel'!$L$14:$L$43,COLUMN()-COLUMN($X$42)+1)),DAY(EOMONTH($L86,0))))),IF(INDEX('1 Budget annuel'!$B$14:$B$43,COLUMN()-COLUMN($X$42)+1)="Entrée",INDEX('1 Budget annuel'!$I$14:$I$43,COLUMN()-COLUMN($X$42)+1),-INDEX('1 Budget annuel'!$I$14:$I$43,COLUMN()-COLUMN($X$42)+1)),0))</x:f>
        <x:v>0</x:v>
      </x:c>
    </x:row>
    <x:row r="87">
      <x:c r="L87" s="114" t="n">
        <x:f>L86+1</x:f>
        <x:v>46281</x:v>
      </x:c>
      <x:c r="M87" s="115" t="b">
        <x:f>AND(L87&gt;=$D$5,L87&lt;=$D$5+363,MOD(L87-$D$5,7)=0)</x:f>
        <x:v>0</x:v>
      </x:c>
      <x:c r="N87" s="116" t="n">
        <x:f>SUM(X87:BA87)</x:f>
        <x:v>0</x:v>
      </x:c>
      <x:c r="O87" s="116" t="n">
        <x:f>IF(M87,$D$10,0)</x:f>
        <x:v>0</x:v>
      </x:c>
      <x:c r="P87" s="116" t="n">
        <x:f>N87-O87</x:f>
        <x:v>0</x:v>
      </x:c>
      <x:c r="Q87" s="116" t="n">
        <x:f>IF(L87&lt;$D$5,0,IF(L87=$D$5,P87,Q86+P87))</x:f>
        <x:v>0</x:v>
      </x:c>
      <x:c r="R87" s="116" t="n">
        <x:f>IF(L87&lt;$D$5,"",$J$10+Q87)</x:f>
        <x:v>0</x:v>
      </x:c>
      <x:c r="S87" s="116" t="n">
        <x:f>IF($L87&lt;$D$5,"",IF($L87=$D$5,$J$10+$N87-IF($M87,IF(INT(($L87-$D$5)/7)&lt;$A$20,$B$20,$D$10),0),S86+$N87-IF($M87,IF(INT(($L87-$D$5)/7)&lt;$A$20,$B$20,$D$10),0)))</x:f>
        <x:v>0</x:v>
      </x:c>
      <x:c r="T87" s="116" t="n">
        <x:f>IF($L87&lt;$D$5,"",IF($L87=$D$5,$J$10+$N87-IF($M87,IF(INT(($L87-$D$5)/7)&lt;$A$21,$B$21,$D$10),0),T86+$N87-IF($M87,IF(INT(($L87-$D$5)/7)&lt;$A$21,$B$21,$D$10),0)))</x:f>
        <x:v>0</x:v>
      </x:c>
      <x:c r="U87" s="116" t="n">
        <x:f>IF($L87&lt;$D$5,"",IF($L87=$D$5,$J$10+$N87-IF($M87,IF(INT(($L87-$D$5)/7)&lt;$A$22,$B$22,$D$10),0),U86+$N87-IF($M87,IF(INT(($L87-$D$5)/7)&lt;$A$22,$B$22,$D$10),0)))</x:f>
        <x:v>0</x:v>
      </x:c>
      <x:c r="V87" s="116" t="n">
        <x:f>IF($L87&lt;$D$5,"",IF($L87=$D$5,$J$10+$N87-IF($M87,IF(INT(($L87-$D$5)/7)&lt;$A$23,$B$23,$D$10),0),V86+$N87-IF($M87,IF(INT(($L87-$D$5)/7)&lt;$A$23,$B$23,$D$10),0)))</x:f>
        <x:v>0</x:v>
      </x:c>
      <x:c r="W87" s="116" t="n">
        <x:f>IF($L87&lt;$D$5,"",IF($L87=$D$5,$J$10+$N87-IF($M87,IF(INT(($L87-$D$5)/7)&lt;$A$24,$B$24,$D$10),0),W86+$N87-IF($M87,IF(INT(($L87-$D$5)/7)&lt;$A$24,$B$24,$D$10),0)))</x:f>
        <x:v>0</x:v>
      </x:c>
      <x:c r="X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Y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Z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A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B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C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D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E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F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G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H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I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J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K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L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M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N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O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P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Q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R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S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T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U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V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W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X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Y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AZ87" s="116"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c r="BA87" s="117" t="n">
        <x:f>IF(OR(INDEX('1 Budget annuel'!$A$14:$A$43,COLUMN()-COLUMN($X$42)+1)&lt;&gt;"Oui",INDEX('1 Budget annuel'!$L$14:$L$43,COLUMN()-COLUMN($X$42)+1)="",AND(INDEX('1 Budget annuel'!$B$14:$B$43,COLUMN()-COLUMN($X$42)+1)="Sortie",INDEX('1 Budget annuel'!$M$14:$M$43,COLUMN()-COLUMN($X$42)+1)="Oui"),$L87&lt;INDEX('1 Budget annuel'!$L$14:$L$43,COLUMN()-COLUMN($X$42)+1),$L87&gt;$D$5+363),0,IF(OR(AND(INDEX('1 Budget annuel'!$E$14:$E$43,COLUMN()-COLUMN($X$42)+1)="Hebdomadaire",MOD($L87-INDEX('1 Budget annuel'!$L$14:$L$43,COLUMN()-COLUMN($X$42)+1),7)=0),AND(INDEX('1 Budget annuel'!$E$14:$E$43,COLUMN()-COLUMN($X$42)+1)="Toutes les 4 semaines",MOD($L87-INDEX('1 Budget annuel'!$L$14:$L$43,COLUMN()-COLUMN($X$42)+1),28)=0),AND(INDEX('1 Budget annuel'!$E$14:$E$43,COLUMN()-COLUMN($X$42)+1)="Mensuelle",DAY($L87)=MIN(DAY(INDEX('1 Budget annuel'!$L$14:$L$43,COLUMN()-COLUMN($X$42)+1)),DAY(EOMONTH($L87,0)))),AND(INDEX('1 Budget annuel'!$E$14:$E$43,COLUMN()-COLUMN($X$42)+1)="Trimestrielle",MOD((YEAR($L87)-YEAR(INDEX('1 Budget annuel'!$L$14:$L$43,COLUMN()-COLUMN($X$42)+1)))*12+MONTH($L87)-MONTH(INDEX('1 Budget annuel'!$L$14:$L$43,COLUMN()-COLUMN($X$42)+1)),3)=0,DAY($L87)=MIN(DAY(INDEX('1 Budget annuel'!$L$14:$L$43,COLUMN()-COLUMN($X$42)+1)),DAY(EOMONTH($L87,0)))),AND(INDEX('1 Budget annuel'!$E$14:$E$43,COLUMN()-COLUMN($X$42)+1)="Semestrielle",MOD((YEAR($L87)-YEAR(INDEX('1 Budget annuel'!$L$14:$L$43,COLUMN()-COLUMN($X$42)+1)))*12+MONTH($L87)-MONTH(INDEX('1 Budget annuel'!$L$14:$L$43,COLUMN()-COLUMN($X$42)+1)),6)=0,DAY($L87)=MIN(DAY(INDEX('1 Budget annuel'!$L$14:$L$43,COLUMN()-COLUMN($X$42)+1)),DAY(EOMONTH($L87,0)))),AND(INDEX('1 Budget annuel'!$E$14:$E$43,COLUMN()-COLUMN($X$42)+1)="Annuelle",MOD((YEAR($L87)-YEAR(INDEX('1 Budget annuel'!$L$14:$L$43,COLUMN()-COLUMN($X$42)+1)))*12+MONTH($L87)-MONTH(INDEX('1 Budget annuel'!$L$14:$L$43,COLUMN()-COLUMN($X$42)+1)),12)=0,DAY($L87)=MIN(DAY(INDEX('1 Budget annuel'!$L$14:$L$43,COLUMN()-COLUMN($X$42)+1)),DAY(EOMONTH($L87,0))))),IF(INDEX('1 Budget annuel'!$B$14:$B$43,COLUMN()-COLUMN($X$42)+1)="Entrée",INDEX('1 Budget annuel'!$I$14:$I$43,COLUMN()-COLUMN($X$42)+1),-INDEX('1 Budget annuel'!$I$14:$I$43,COLUMN()-COLUMN($X$42)+1)),0))</x:f>
        <x:v>0</x:v>
      </x:c>
    </x:row>
    <x:row r="88">
      <x:c r="L88" s="114" t="n">
        <x:f>L87+1</x:f>
        <x:v>46282</x:v>
      </x:c>
      <x:c r="M88" s="115" t="b">
        <x:f>AND(L88&gt;=$D$5,L88&lt;=$D$5+363,MOD(L88-$D$5,7)=0)</x:f>
        <x:v>0</x:v>
      </x:c>
      <x:c r="N88" s="116" t="n">
        <x:f>SUM(X88:BA88)</x:f>
        <x:v>0</x:v>
      </x:c>
      <x:c r="O88" s="116" t="n">
        <x:f>IF(M88,$D$10,0)</x:f>
        <x:v>0</x:v>
      </x:c>
      <x:c r="P88" s="116" t="n">
        <x:f>N88-O88</x:f>
        <x:v>0</x:v>
      </x:c>
      <x:c r="Q88" s="116" t="n">
        <x:f>IF(L88&lt;$D$5,0,IF(L88=$D$5,P88,Q87+P88))</x:f>
        <x:v>0</x:v>
      </x:c>
      <x:c r="R88" s="116" t="n">
        <x:f>IF(L88&lt;$D$5,"",$J$10+Q88)</x:f>
        <x:v>0</x:v>
      </x:c>
      <x:c r="S88" s="116" t="n">
        <x:f>IF($L88&lt;$D$5,"",IF($L88=$D$5,$J$10+$N88-IF($M88,IF(INT(($L88-$D$5)/7)&lt;$A$20,$B$20,$D$10),0),S87+$N88-IF($M88,IF(INT(($L88-$D$5)/7)&lt;$A$20,$B$20,$D$10),0)))</x:f>
        <x:v>0</x:v>
      </x:c>
      <x:c r="T88" s="116" t="n">
        <x:f>IF($L88&lt;$D$5,"",IF($L88=$D$5,$J$10+$N88-IF($M88,IF(INT(($L88-$D$5)/7)&lt;$A$21,$B$21,$D$10),0),T87+$N88-IF($M88,IF(INT(($L88-$D$5)/7)&lt;$A$21,$B$21,$D$10),0)))</x:f>
        <x:v>0</x:v>
      </x:c>
      <x:c r="U88" s="116" t="n">
        <x:f>IF($L88&lt;$D$5,"",IF($L88=$D$5,$J$10+$N88-IF($M88,IF(INT(($L88-$D$5)/7)&lt;$A$22,$B$22,$D$10),0),U87+$N88-IF($M88,IF(INT(($L88-$D$5)/7)&lt;$A$22,$B$22,$D$10),0)))</x:f>
        <x:v>0</x:v>
      </x:c>
      <x:c r="V88" s="116" t="n">
        <x:f>IF($L88&lt;$D$5,"",IF($L88=$D$5,$J$10+$N88-IF($M88,IF(INT(($L88-$D$5)/7)&lt;$A$23,$B$23,$D$10),0),V87+$N88-IF($M88,IF(INT(($L88-$D$5)/7)&lt;$A$23,$B$23,$D$10),0)))</x:f>
        <x:v>0</x:v>
      </x:c>
      <x:c r="W88" s="116" t="n">
        <x:f>IF($L88&lt;$D$5,"",IF($L88=$D$5,$J$10+$N88-IF($M88,IF(INT(($L88-$D$5)/7)&lt;$A$24,$B$24,$D$10),0),W87+$N88-IF($M88,IF(INT(($L88-$D$5)/7)&lt;$A$24,$B$24,$D$10),0)))</x:f>
        <x:v>0</x:v>
      </x:c>
      <x:c r="X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Y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Z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A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B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C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D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E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F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G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H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I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J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K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L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M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N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O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P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Q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R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S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T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U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V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W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X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Y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AZ88" s="116"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c r="BA88" s="117" t="n">
        <x:f>IF(OR(INDEX('1 Budget annuel'!$A$14:$A$43,COLUMN()-COLUMN($X$42)+1)&lt;&gt;"Oui",INDEX('1 Budget annuel'!$L$14:$L$43,COLUMN()-COLUMN($X$42)+1)="",AND(INDEX('1 Budget annuel'!$B$14:$B$43,COLUMN()-COLUMN($X$42)+1)="Sortie",INDEX('1 Budget annuel'!$M$14:$M$43,COLUMN()-COLUMN($X$42)+1)="Oui"),$L88&lt;INDEX('1 Budget annuel'!$L$14:$L$43,COLUMN()-COLUMN($X$42)+1),$L88&gt;$D$5+363),0,IF(OR(AND(INDEX('1 Budget annuel'!$E$14:$E$43,COLUMN()-COLUMN($X$42)+1)="Hebdomadaire",MOD($L88-INDEX('1 Budget annuel'!$L$14:$L$43,COLUMN()-COLUMN($X$42)+1),7)=0),AND(INDEX('1 Budget annuel'!$E$14:$E$43,COLUMN()-COLUMN($X$42)+1)="Toutes les 4 semaines",MOD($L88-INDEX('1 Budget annuel'!$L$14:$L$43,COLUMN()-COLUMN($X$42)+1),28)=0),AND(INDEX('1 Budget annuel'!$E$14:$E$43,COLUMN()-COLUMN($X$42)+1)="Mensuelle",DAY($L88)=MIN(DAY(INDEX('1 Budget annuel'!$L$14:$L$43,COLUMN()-COLUMN($X$42)+1)),DAY(EOMONTH($L88,0)))),AND(INDEX('1 Budget annuel'!$E$14:$E$43,COLUMN()-COLUMN($X$42)+1)="Trimestrielle",MOD((YEAR($L88)-YEAR(INDEX('1 Budget annuel'!$L$14:$L$43,COLUMN()-COLUMN($X$42)+1)))*12+MONTH($L88)-MONTH(INDEX('1 Budget annuel'!$L$14:$L$43,COLUMN()-COLUMN($X$42)+1)),3)=0,DAY($L88)=MIN(DAY(INDEX('1 Budget annuel'!$L$14:$L$43,COLUMN()-COLUMN($X$42)+1)),DAY(EOMONTH($L88,0)))),AND(INDEX('1 Budget annuel'!$E$14:$E$43,COLUMN()-COLUMN($X$42)+1)="Semestrielle",MOD((YEAR($L88)-YEAR(INDEX('1 Budget annuel'!$L$14:$L$43,COLUMN()-COLUMN($X$42)+1)))*12+MONTH($L88)-MONTH(INDEX('1 Budget annuel'!$L$14:$L$43,COLUMN()-COLUMN($X$42)+1)),6)=0,DAY($L88)=MIN(DAY(INDEX('1 Budget annuel'!$L$14:$L$43,COLUMN()-COLUMN($X$42)+1)),DAY(EOMONTH($L88,0)))),AND(INDEX('1 Budget annuel'!$E$14:$E$43,COLUMN()-COLUMN($X$42)+1)="Annuelle",MOD((YEAR($L88)-YEAR(INDEX('1 Budget annuel'!$L$14:$L$43,COLUMN()-COLUMN($X$42)+1)))*12+MONTH($L88)-MONTH(INDEX('1 Budget annuel'!$L$14:$L$43,COLUMN()-COLUMN($X$42)+1)),12)=0,DAY($L88)=MIN(DAY(INDEX('1 Budget annuel'!$L$14:$L$43,COLUMN()-COLUMN($X$42)+1)),DAY(EOMONTH($L88,0))))),IF(INDEX('1 Budget annuel'!$B$14:$B$43,COLUMN()-COLUMN($X$42)+1)="Entrée",INDEX('1 Budget annuel'!$I$14:$I$43,COLUMN()-COLUMN($X$42)+1),-INDEX('1 Budget annuel'!$I$14:$I$43,COLUMN()-COLUMN($X$42)+1)),0))</x:f>
        <x:v>0</x:v>
      </x:c>
    </x:row>
    <x:row r="89">
      <x:c r="L89" s="114" t="n">
        <x:f>L88+1</x:f>
        <x:v>46283</x:v>
      </x:c>
      <x:c r="M89" s="115" t="b">
        <x:f>AND(L89&gt;=$D$5,L89&lt;=$D$5+363,MOD(L89-$D$5,7)=0)</x:f>
        <x:v>0</x:v>
      </x:c>
      <x:c r="N89" s="116" t="n">
        <x:f>SUM(X89:BA89)</x:f>
        <x:v>0</x:v>
      </x:c>
      <x:c r="O89" s="116" t="n">
        <x:f>IF(M89,$D$10,0)</x:f>
        <x:v>0</x:v>
      </x:c>
      <x:c r="P89" s="116" t="n">
        <x:f>N89-O89</x:f>
        <x:v>0</x:v>
      </x:c>
      <x:c r="Q89" s="116" t="n">
        <x:f>IF(L89&lt;$D$5,0,IF(L89=$D$5,P89,Q88+P89))</x:f>
        <x:v>0</x:v>
      </x:c>
      <x:c r="R89" s="116" t="n">
        <x:f>IF(L89&lt;$D$5,"",$J$10+Q89)</x:f>
        <x:v>0</x:v>
      </x:c>
      <x:c r="S89" s="116" t="n">
        <x:f>IF($L89&lt;$D$5,"",IF($L89=$D$5,$J$10+$N89-IF($M89,IF(INT(($L89-$D$5)/7)&lt;$A$20,$B$20,$D$10),0),S88+$N89-IF($M89,IF(INT(($L89-$D$5)/7)&lt;$A$20,$B$20,$D$10),0)))</x:f>
        <x:v>0</x:v>
      </x:c>
      <x:c r="T89" s="116" t="n">
        <x:f>IF($L89&lt;$D$5,"",IF($L89=$D$5,$J$10+$N89-IF($M89,IF(INT(($L89-$D$5)/7)&lt;$A$21,$B$21,$D$10),0),T88+$N89-IF($M89,IF(INT(($L89-$D$5)/7)&lt;$A$21,$B$21,$D$10),0)))</x:f>
        <x:v>0</x:v>
      </x:c>
      <x:c r="U89" s="116" t="n">
        <x:f>IF($L89&lt;$D$5,"",IF($L89=$D$5,$J$10+$N89-IF($M89,IF(INT(($L89-$D$5)/7)&lt;$A$22,$B$22,$D$10),0),U88+$N89-IF($M89,IF(INT(($L89-$D$5)/7)&lt;$A$22,$B$22,$D$10),0)))</x:f>
        <x:v>0</x:v>
      </x:c>
      <x:c r="V89" s="116" t="n">
        <x:f>IF($L89&lt;$D$5,"",IF($L89=$D$5,$J$10+$N89-IF($M89,IF(INT(($L89-$D$5)/7)&lt;$A$23,$B$23,$D$10),0),V88+$N89-IF($M89,IF(INT(($L89-$D$5)/7)&lt;$A$23,$B$23,$D$10),0)))</x:f>
        <x:v>0</x:v>
      </x:c>
      <x:c r="W89" s="116" t="n">
        <x:f>IF($L89&lt;$D$5,"",IF($L89=$D$5,$J$10+$N89-IF($M89,IF(INT(($L89-$D$5)/7)&lt;$A$24,$B$24,$D$10),0),W88+$N89-IF($M89,IF(INT(($L89-$D$5)/7)&lt;$A$24,$B$24,$D$10),0)))</x:f>
        <x:v>0</x:v>
      </x:c>
      <x:c r="X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Y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Z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A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B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C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D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E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F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G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H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I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J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K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L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M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N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O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P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Q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R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S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T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U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V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W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X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Y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AZ89" s="116"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c r="BA89" s="117" t="n">
        <x:f>IF(OR(INDEX('1 Budget annuel'!$A$14:$A$43,COLUMN()-COLUMN($X$42)+1)&lt;&gt;"Oui",INDEX('1 Budget annuel'!$L$14:$L$43,COLUMN()-COLUMN($X$42)+1)="",AND(INDEX('1 Budget annuel'!$B$14:$B$43,COLUMN()-COLUMN($X$42)+1)="Sortie",INDEX('1 Budget annuel'!$M$14:$M$43,COLUMN()-COLUMN($X$42)+1)="Oui"),$L89&lt;INDEX('1 Budget annuel'!$L$14:$L$43,COLUMN()-COLUMN($X$42)+1),$L89&gt;$D$5+363),0,IF(OR(AND(INDEX('1 Budget annuel'!$E$14:$E$43,COLUMN()-COLUMN($X$42)+1)="Hebdomadaire",MOD($L89-INDEX('1 Budget annuel'!$L$14:$L$43,COLUMN()-COLUMN($X$42)+1),7)=0),AND(INDEX('1 Budget annuel'!$E$14:$E$43,COLUMN()-COLUMN($X$42)+1)="Toutes les 4 semaines",MOD($L89-INDEX('1 Budget annuel'!$L$14:$L$43,COLUMN()-COLUMN($X$42)+1),28)=0),AND(INDEX('1 Budget annuel'!$E$14:$E$43,COLUMN()-COLUMN($X$42)+1)="Mensuelle",DAY($L89)=MIN(DAY(INDEX('1 Budget annuel'!$L$14:$L$43,COLUMN()-COLUMN($X$42)+1)),DAY(EOMONTH($L89,0)))),AND(INDEX('1 Budget annuel'!$E$14:$E$43,COLUMN()-COLUMN($X$42)+1)="Trimestrielle",MOD((YEAR($L89)-YEAR(INDEX('1 Budget annuel'!$L$14:$L$43,COLUMN()-COLUMN($X$42)+1)))*12+MONTH($L89)-MONTH(INDEX('1 Budget annuel'!$L$14:$L$43,COLUMN()-COLUMN($X$42)+1)),3)=0,DAY($L89)=MIN(DAY(INDEX('1 Budget annuel'!$L$14:$L$43,COLUMN()-COLUMN($X$42)+1)),DAY(EOMONTH($L89,0)))),AND(INDEX('1 Budget annuel'!$E$14:$E$43,COLUMN()-COLUMN($X$42)+1)="Semestrielle",MOD((YEAR($L89)-YEAR(INDEX('1 Budget annuel'!$L$14:$L$43,COLUMN()-COLUMN($X$42)+1)))*12+MONTH($L89)-MONTH(INDEX('1 Budget annuel'!$L$14:$L$43,COLUMN()-COLUMN($X$42)+1)),6)=0,DAY($L89)=MIN(DAY(INDEX('1 Budget annuel'!$L$14:$L$43,COLUMN()-COLUMN($X$42)+1)),DAY(EOMONTH($L89,0)))),AND(INDEX('1 Budget annuel'!$E$14:$E$43,COLUMN()-COLUMN($X$42)+1)="Annuelle",MOD((YEAR($L89)-YEAR(INDEX('1 Budget annuel'!$L$14:$L$43,COLUMN()-COLUMN($X$42)+1)))*12+MONTH($L89)-MONTH(INDEX('1 Budget annuel'!$L$14:$L$43,COLUMN()-COLUMN($X$42)+1)),12)=0,DAY($L89)=MIN(DAY(INDEX('1 Budget annuel'!$L$14:$L$43,COLUMN()-COLUMN($X$42)+1)),DAY(EOMONTH($L89,0))))),IF(INDEX('1 Budget annuel'!$B$14:$B$43,COLUMN()-COLUMN($X$42)+1)="Entrée",INDEX('1 Budget annuel'!$I$14:$I$43,COLUMN()-COLUMN($X$42)+1),-INDEX('1 Budget annuel'!$I$14:$I$43,COLUMN()-COLUMN($X$42)+1)),0))</x:f>
        <x:v>0</x:v>
      </x:c>
    </x:row>
    <x:row r="90">
      <x:c r="L90" s="114" t="n">
        <x:f>L89+1</x:f>
        <x:v>46284</x:v>
      </x:c>
      <x:c r="M90" s="115" t="b">
        <x:f>AND(L90&gt;=$D$5,L90&lt;=$D$5+363,MOD(L90-$D$5,7)=0)</x:f>
        <x:v>1</x:v>
      </x:c>
      <x:c r="N90" s="116" t="n">
        <x:f>SUM(X90:BA90)</x:f>
        <x:v>0</x:v>
      </x:c>
      <x:c r="O90" s="116" t="n">
        <x:f>IF(M90,$D$10,0)</x:f>
        <x:v>0</x:v>
      </x:c>
      <x:c r="P90" s="116" t="n">
        <x:f>N90-O90</x:f>
        <x:v>0</x:v>
      </x:c>
      <x:c r="Q90" s="116" t="n">
        <x:f>IF(L90&lt;$D$5,0,IF(L90=$D$5,P90,Q89+P90))</x:f>
        <x:v>0</x:v>
      </x:c>
      <x:c r="R90" s="116" t="n">
        <x:f>IF(L90&lt;$D$5,"",$J$10+Q90)</x:f>
        <x:v>0</x:v>
      </x:c>
      <x:c r="S90" s="116" t="n">
        <x:f>IF($L90&lt;$D$5,"",IF($L90=$D$5,$J$10+$N90-IF($M90,IF(INT(($L90-$D$5)/7)&lt;$A$20,$B$20,$D$10),0),S89+$N90-IF($M90,IF(INT(($L90-$D$5)/7)&lt;$A$20,$B$20,$D$10),0)))</x:f>
        <x:v>0</x:v>
      </x:c>
      <x:c r="T90" s="116" t="n">
        <x:f>IF($L90&lt;$D$5,"",IF($L90=$D$5,$J$10+$N90-IF($M90,IF(INT(($L90-$D$5)/7)&lt;$A$21,$B$21,$D$10),0),T89+$N90-IF($M90,IF(INT(($L90-$D$5)/7)&lt;$A$21,$B$21,$D$10),0)))</x:f>
        <x:v>0</x:v>
      </x:c>
      <x:c r="U90" s="116" t="n">
        <x:f>IF($L90&lt;$D$5,"",IF($L90=$D$5,$J$10+$N90-IF($M90,IF(INT(($L90-$D$5)/7)&lt;$A$22,$B$22,$D$10),0),U89+$N90-IF($M90,IF(INT(($L90-$D$5)/7)&lt;$A$22,$B$22,$D$10),0)))</x:f>
        <x:v>0</x:v>
      </x:c>
      <x:c r="V90" s="116" t="n">
        <x:f>IF($L90&lt;$D$5,"",IF($L90=$D$5,$J$10+$N90-IF($M90,IF(INT(($L90-$D$5)/7)&lt;$A$23,$B$23,$D$10),0),V89+$N90-IF($M90,IF(INT(($L90-$D$5)/7)&lt;$A$23,$B$23,$D$10),0)))</x:f>
        <x:v>0</x:v>
      </x:c>
      <x:c r="W90" s="116" t="n">
        <x:f>IF($L90&lt;$D$5,"",IF($L90=$D$5,$J$10+$N90-IF($M90,IF(INT(($L90-$D$5)/7)&lt;$A$24,$B$24,$D$10),0),W89+$N90-IF($M90,IF(INT(($L90-$D$5)/7)&lt;$A$24,$B$24,$D$10),0)))</x:f>
        <x:v>0</x:v>
      </x:c>
      <x:c r="X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Y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Z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A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B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C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D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E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F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G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H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I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J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K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L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M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N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O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P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Q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R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S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T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U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V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W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X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Y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AZ90" s="116"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c r="BA90" s="117" t="n">
        <x:f>IF(OR(INDEX('1 Budget annuel'!$A$14:$A$43,COLUMN()-COLUMN($X$42)+1)&lt;&gt;"Oui",INDEX('1 Budget annuel'!$L$14:$L$43,COLUMN()-COLUMN($X$42)+1)="",AND(INDEX('1 Budget annuel'!$B$14:$B$43,COLUMN()-COLUMN($X$42)+1)="Sortie",INDEX('1 Budget annuel'!$M$14:$M$43,COLUMN()-COLUMN($X$42)+1)="Oui"),$L90&lt;INDEX('1 Budget annuel'!$L$14:$L$43,COLUMN()-COLUMN($X$42)+1),$L90&gt;$D$5+363),0,IF(OR(AND(INDEX('1 Budget annuel'!$E$14:$E$43,COLUMN()-COLUMN($X$42)+1)="Hebdomadaire",MOD($L90-INDEX('1 Budget annuel'!$L$14:$L$43,COLUMN()-COLUMN($X$42)+1),7)=0),AND(INDEX('1 Budget annuel'!$E$14:$E$43,COLUMN()-COLUMN($X$42)+1)="Toutes les 4 semaines",MOD($L90-INDEX('1 Budget annuel'!$L$14:$L$43,COLUMN()-COLUMN($X$42)+1),28)=0),AND(INDEX('1 Budget annuel'!$E$14:$E$43,COLUMN()-COLUMN($X$42)+1)="Mensuelle",DAY($L90)=MIN(DAY(INDEX('1 Budget annuel'!$L$14:$L$43,COLUMN()-COLUMN($X$42)+1)),DAY(EOMONTH($L90,0)))),AND(INDEX('1 Budget annuel'!$E$14:$E$43,COLUMN()-COLUMN($X$42)+1)="Trimestrielle",MOD((YEAR($L90)-YEAR(INDEX('1 Budget annuel'!$L$14:$L$43,COLUMN()-COLUMN($X$42)+1)))*12+MONTH($L90)-MONTH(INDEX('1 Budget annuel'!$L$14:$L$43,COLUMN()-COLUMN($X$42)+1)),3)=0,DAY($L90)=MIN(DAY(INDEX('1 Budget annuel'!$L$14:$L$43,COLUMN()-COLUMN($X$42)+1)),DAY(EOMONTH($L90,0)))),AND(INDEX('1 Budget annuel'!$E$14:$E$43,COLUMN()-COLUMN($X$42)+1)="Semestrielle",MOD((YEAR($L90)-YEAR(INDEX('1 Budget annuel'!$L$14:$L$43,COLUMN()-COLUMN($X$42)+1)))*12+MONTH($L90)-MONTH(INDEX('1 Budget annuel'!$L$14:$L$43,COLUMN()-COLUMN($X$42)+1)),6)=0,DAY($L90)=MIN(DAY(INDEX('1 Budget annuel'!$L$14:$L$43,COLUMN()-COLUMN($X$42)+1)),DAY(EOMONTH($L90,0)))),AND(INDEX('1 Budget annuel'!$E$14:$E$43,COLUMN()-COLUMN($X$42)+1)="Annuelle",MOD((YEAR($L90)-YEAR(INDEX('1 Budget annuel'!$L$14:$L$43,COLUMN()-COLUMN($X$42)+1)))*12+MONTH($L90)-MONTH(INDEX('1 Budget annuel'!$L$14:$L$43,COLUMN()-COLUMN($X$42)+1)),12)=0,DAY($L90)=MIN(DAY(INDEX('1 Budget annuel'!$L$14:$L$43,COLUMN()-COLUMN($X$42)+1)),DAY(EOMONTH($L90,0))))),IF(INDEX('1 Budget annuel'!$B$14:$B$43,COLUMN()-COLUMN($X$42)+1)="Entrée",INDEX('1 Budget annuel'!$I$14:$I$43,COLUMN()-COLUMN($X$42)+1),-INDEX('1 Budget annuel'!$I$14:$I$43,COLUMN()-COLUMN($X$42)+1)),0))</x:f>
        <x:v>0</x:v>
      </x:c>
    </x:row>
    <x:row r="91">
      <x:c r="L91" s="114" t="n">
        <x:f>L90+1</x:f>
        <x:v>46285</x:v>
      </x:c>
      <x:c r="M91" s="115" t="b">
        <x:f>AND(L91&gt;=$D$5,L91&lt;=$D$5+363,MOD(L91-$D$5,7)=0)</x:f>
        <x:v>0</x:v>
      </x:c>
      <x:c r="N91" s="116" t="n">
        <x:f>SUM(X91:BA91)</x:f>
        <x:v>0</x:v>
      </x:c>
      <x:c r="O91" s="116" t="n">
        <x:f>IF(M91,$D$10,0)</x:f>
        <x:v>0</x:v>
      </x:c>
      <x:c r="P91" s="116" t="n">
        <x:f>N91-O91</x:f>
        <x:v>0</x:v>
      </x:c>
      <x:c r="Q91" s="116" t="n">
        <x:f>IF(L91&lt;$D$5,0,IF(L91=$D$5,P91,Q90+P91))</x:f>
        <x:v>0</x:v>
      </x:c>
      <x:c r="R91" s="116" t="n">
        <x:f>IF(L91&lt;$D$5,"",$J$10+Q91)</x:f>
        <x:v>0</x:v>
      </x:c>
      <x:c r="S91" s="116" t="n">
        <x:f>IF($L91&lt;$D$5,"",IF($L91=$D$5,$J$10+$N91-IF($M91,IF(INT(($L91-$D$5)/7)&lt;$A$20,$B$20,$D$10),0),S90+$N91-IF($M91,IF(INT(($L91-$D$5)/7)&lt;$A$20,$B$20,$D$10),0)))</x:f>
        <x:v>0</x:v>
      </x:c>
      <x:c r="T91" s="116" t="n">
        <x:f>IF($L91&lt;$D$5,"",IF($L91=$D$5,$J$10+$N91-IF($M91,IF(INT(($L91-$D$5)/7)&lt;$A$21,$B$21,$D$10),0),T90+$N91-IF($M91,IF(INT(($L91-$D$5)/7)&lt;$A$21,$B$21,$D$10),0)))</x:f>
        <x:v>0</x:v>
      </x:c>
      <x:c r="U91" s="116" t="n">
        <x:f>IF($L91&lt;$D$5,"",IF($L91=$D$5,$J$10+$N91-IF($M91,IF(INT(($L91-$D$5)/7)&lt;$A$22,$B$22,$D$10),0),U90+$N91-IF($M91,IF(INT(($L91-$D$5)/7)&lt;$A$22,$B$22,$D$10),0)))</x:f>
        <x:v>0</x:v>
      </x:c>
      <x:c r="V91" s="116" t="n">
        <x:f>IF($L91&lt;$D$5,"",IF($L91=$D$5,$J$10+$N91-IF($M91,IF(INT(($L91-$D$5)/7)&lt;$A$23,$B$23,$D$10),0),V90+$N91-IF($M91,IF(INT(($L91-$D$5)/7)&lt;$A$23,$B$23,$D$10),0)))</x:f>
        <x:v>0</x:v>
      </x:c>
      <x:c r="W91" s="116" t="n">
        <x:f>IF($L91&lt;$D$5,"",IF($L91=$D$5,$J$10+$N91-IF($M91,IF(INT(($L91-$D$5)/7)&lt;$A$24,$B$24,$D$10),0),W90+$N91-IF($M91,IF(INT(($L91-$D$5)/7)&lt;$A$24,$B$24,$D$10),0)))</x:f>
        <x:v>0</x:v>
      </x:c>
      <x:c r="X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Y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Z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A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B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C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D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E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F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G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H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I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J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K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L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M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N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O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P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Q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R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S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T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U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V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W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X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Y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AZ91" s="116"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c r="BA91" s="117" t="n">
        <x:f>IF(OR(INDEX('1 Budget annuel'!$A$14:$A$43,COLUMN()-COLUMN($X$42)+1)&lt;&gt;"Oui",INDEX('1 Budget annuel'!$L$14:$L$43,COLUMN()-COLUMN($X$42)+1)="",AND(INDEX('1 Budget annuel'!$B$14:$B$43,COLUMN()-COLUMN($X$42)+1)="Sortie",INDEX('1 Budget annuel'!$M$14:$M$43,COLUMN()-COLUMN($X$42)+1)="Oui"),$L91&lt;INDEX('1 Budget annuel'!$L$14:$L$43,COLUMN()-COLUMN($X$42)+1),$L91&gt;$D$5+363),0,IF(OR(AND(INDEX('1 Budget annuel'!$E$14:$E$43,COLUMN()-COLUMN($X$42)+1)="Hebdomadaire",MOD($L91-INDEX('1 Budget annuel'!$L$14:$L$43,COLUMN()-COLUMN($X$42)+1),7)=0),AND(INDEX('1 Budget annuel'!$E$14:$E$43,COLUMN()-COLUMN($X$42)+1)="Toutes les 4 semaines",MOD($L91-INDEX('1 Budget annuel'!$L$14:$L$43,COLUMN()-COLUMN($X$42)+1),28)=0),AND(INDEX('1 Budget annuel'!$E$14:$E$43,COLUMN()-COLUMN($X$42)+1)="Mensuelle",DAY($L91)=MIN(DAY(INDEX('1 Budget annuel'!$L$14:$L$43,COLUMN()-COLUMN($X$42)+1)),DAY(EOMONTH($L91,0)))),AND(INDEX('1 Budget annuel'!$E$14:$E$43,COLUMN()-COLUMN($X$42)+1)="Trimestrielle",MOD((YEAR($L91)-YEAR(INDEX('1 Budget annuel'!$L$14:$L$43,COLUMN()-COLUMN($X$42)+1)))*12+MONTH($L91)-MONTH(INDEX('1 Budget annuel'!$L$14:$L$43,COLUMN()-COLUMN($X$42)+1)),3)=0,DAY($L91)=MIN(DAY(INDEX('1 Budget annuel'!$L$14:$L$43,COLUMN()-COLUMN($X$42)+1)),DAY(EOMONTH($L91,0)))),AND(INDEX('1 Budget annuel'!$E$14:$E$43,COLUMN()-COLUMN($X$42)+1)="Semestrielle",MOD((YEAR($L91)-YEAR(INDEX('1 Budget annuel'!$L$14:$L$43,COLUMN()-COLUMN($X$42)+1)))*12+MONTH($L91)-MONTH(INDEX('1 Budget annuel'!$L$14:$L$43,COLUMN()-COLUMN($X$42)+1)),6)=0,DAY($L91)=MIN(DAY(INDEX('1 Budget annuel'!$L$14:$L$43,COLUMN()-COLUMN($X$42)+1)),DAY(EOMONTH($L91,0)))),AND(INDEX('1 Budget annuel'!$E$14:$E$43,COLUMN()-COLUMN($X$42)+1)="Annuelle",MOD((YEAR($L91)-YEAR(INDEX('1 Budget annuel'!$L$14:$L$43,COLUMN()-COLUMN($X$42)+1)))*12+MONTH($L91)-MONTH(INDEX('1 Budget annuel'!$L$14:$L$43,COLUMN()-COLUMN($X$42)+1)),12)=0,DAY($L91)=MIN(DAY(INDEX('1 Budget annuel'!$L$14:$L$43,COLUMN()-COLUMN($X$42)+1)),DAY(EOMONTH($L91,0))))),IF(INDEX('1 Budget annuel'!$B$14:$B$43,COLUMN()-COLUMN($X$42)+1)="Entrée",INDEX('1 Budget annuel'!$I$14:$I$43,COLUMN()-COLUMN($X$42)+1),-INDEX('1 Budget annuel'!$I$14:$I$43,COLUMN()-COLUMN($X$42)+1)),0))</x:f>
        <x:v>0</x:v>
      </x:c>
    </x:row>
    <x:row r="92">
      <x:c r="L92" s="114" t="n">
        <x:f>L91+1</x:f>
        <x:v>46286</x:v>
      </x:c>
      <x:c r="M92" s="115" t="b">
        <x:f>AND(L92&gt;=$D$5,L92&lt;=$D$5+363,MOD(L92-$D$5,7)=0)</x:f>
        <x:v>0</x:v>
      </x:c>
      <x:c r="N92" s="116" t="n">
        <x:f>SUM(X92:BA92)</x:f>
        <x:v>0</x:v>
      </x:c>
      <x:c r="O92" s="116" t="n">
        <x:f>IF(M92,$D$10,0)</x:f>
        <x:v>0</x:v>
      </x:c>
      <x:c r="P92" s="116" t="n">
        <x:f>N92-O92</x:f>
        <x:v>0</x:v>
      </x:c>
      <x:c r="Q92" s="116" t="n">
        <x:f>IF(L92&lt;$D$5,0,IF(L92=$D$5,P92,Q91+P92))</x:f>
        <x:v>0</x:v>
      </x:c>
      <x:c r="R92" s="116" t="n">
        <x:f>IF(L92&lt;$D$5,"",$J$10+Q92)</x:f>
        <x:v>0</x:v>
      </x:c>
      <x:c r="S92" s="116" t="n">
        <x:f>IF($L92&lt;$D$5,"",IF($L92=$D$5,$J$10+$N92-IF($M92,IF(INT(($L92-$D$5)/7)&lt;$A$20,$B$20,$D$10),0),S91+$N92-IF($M92,IF(INT(($L92-$D$5)/7)&lt;$A$20,$B$20,$D$10),0)))</x:f>
        <x:v>0</x:v>
      </x:c>
      <x:c r="T92" s="116" t="n">
        <x:f>IF($L92&lt;$D$5,"",IF($L92=$D$5,$J$10+$N92-IF($M92,IF(INT(($L92-$D$5)/7)&lt;$A$21,$B$21,$D$10),0),T91+$N92-IF($M92,IF(INT(($L92-$D$5)/7)&lt;$A$21,$B$21,$D$10),0)))</x:f>
        <x:v>0</x:v>
      </x:c>
      <x:c r="U92" s="116" t="n">
        <x:f>IF($L92&lt;$D$5,"",IF($L92=$D$5,$J$10+$N92-IF($M92,IF(INT(($L92-$D$5)/7)&lt;$A$22,$B$22,$D$10),0),U91+$N92-IF($M92,IF(INT(($L92-$D$5)/7)&lt;$A$22,$B$22,$D$10),0)))</x:f>
        <x:v>0</x:v>
      </x:c>
      <x:c r="V92" s="116" t="n">
        <x:f>IF($L92&lt;$D$5,"",IF($L92=$D$5,$J$10+$N92-IF($M92,IF(INT(($L92-$D$5)/7)&lt;$A$23,$B$23,$D$10),0),V91+$N92-IF($M92,IF(INT(($L92-$D$5)/7)&lt;$A$23,$B$23,$D$10),0)))</x:f>
        <x:v>0</x:v>
      </x:c>
      <x:c r="W92" s="116" t="n">
        <x:f>IF($L92&lt;$D$5,"",IF($L92=$D$5,$J$10+$N92-IF($M92,IF(INT(($L92-$D$5)/7)&lt;$A$24,$B$24,$D$10),0),W91+$N92-IF($M92,IF(INT(($L92-$D$5)/7)&lt;$A$24,$B$24,$D$10),0)))</x:f>
        <x:v>0</x:v>
      </x:c>
      <x:c r="X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Y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Z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A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B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C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D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E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F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G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H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I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J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K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L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M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N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O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P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Q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R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S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T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U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V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W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X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Y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AZ92" s="116"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c r="BA92" s="117" t="n">
        <x:f>IF(OR(INDEX('1 Budget annuel'!$A$14:$A$43,COLUMN()-COLUMN($X$42)+1)&lt;&gt;"Oui",INDEX('1 Budget annuel'!$L$14:$L$43,COLUMN()-COLUMN($X$42)+1)="",AND(INDEX('1 Budget annuel'!$B$14:$B$43,COLUMN()-COLUMN($X$42)+1)="Sortie",INDEX('1 Budget annuel'!$M$14:$M$43,COLUMN()-COLUMN($X$42)+1)="Oui"),$L92&lt;INDEX('1 Budget annuel'!$L$14:$L$43,COLUMN()-COLUMN($X$42)+1),$L92&gt;$D$5+363),0,IF(OR(AND(INDEX('1 Budget annuel'!$E$14:$E$43,COLUMN()-COLUMN($X$42)+1)="Hebdomadaire",MOD($L92-INDEX('1 Budget annuel'!$L$14:$L$43,COLUMN()-COLUMN($X$42)+1),7)=0),AND(INDEX('1 Budget annuel'!$E$14:$E$43,COLUMN()-COLUMN($X$42)+1)="Toutes les 4 semaines",MOD($L92-INDEX('1 Budget annuel'!$L$14:$L$43,COLUMN()-COLUMN($X$42)+1),28)=0),AND(INDEX('1 Budget annuel'!$E$14:$E$43,COLUMN()-COLUMN($X$42)+1)="Mensuelle",DAY($L92)=MIN(DAY(INDEX('1 Budget annuel'!$L$14:$L$43,COLUMN()-COLUMN($X$42)+1)),DAY(EOMONTH($L92,0)))),AND(INDEX('1 Budget annuel'!$E$14:$E$43,COLUMN()-COLUMN($X$42)+1)="Trimestrielle",MOD((YEAR($L92)-YEAR(INDEX('1 Budget annuel'!$L$14:$L$43,COLUMN()-COLUMN($X$42)+1)))*12+MONTH($L92)-MONTH(INDEX('1 Budget annuel'!$L$14:$L$43,COLUMN()-COLUMN($X$42)+1)),3)=0,DAY($L92)=MIN(DAY(INDEX('1 Budget annuel'!$L$14:$L$43,COLUMN()-COLUMN($X$42)+1)),DAY(EOMONTH($L92,0)))),AND(INDEX('1 Budget annuel'!$E$14:$E$43,COLUMN()-COLUMN($X$42)+1)="Semestrielle",MOD((YEAR($L92)-YEAR(INDEX('1 Budget annuel'!$L$14:$L$43,COLUMN()-COLUMN($X$42)+1)))*12+MONTH($L92)-MONTH(INDEX('1 Budget annuel'!$L$14:$L$43,COLUMN()-COLUMN($X$42)+1)),6)=0,DAY($L92)=MIN(DAY(INDEX('1 Budget annuel'!$L$14:$L$43,COLUMN()-COLUMN($X$42)+1)),DAY(EOMONTH($L92,0)))),AND(INDEX('1 Budget annuel'!$E$14:$E$43,COLUMN()-COLUMN($X$42)+1)="Annuelle",MOD((YEAR($L92)-YEAR(INDEX('1 Budget annuel'!$L$14:$L$43,COLUMN()-COLUMN($X$42)+1)))*12+MONTH($L92)-MONTH(INDEX('1 Budget annuel'!$L$14:$L$43,COLUMN()-COLUMN($X$42)+1)),12)=0,DAY($L92)=MIN(DAY(INDEX('1 Budget annuel'!$L$14:$L$43,COLUMN()-COLUMN($X$42)+1)),DAY(EOMONTH($L92,0))))),IF(INDEX('1 Budget annuel'!$B$14:$B$43,COLUMN()-COLUMN($X$42)+1)="Entrée",INDEX('1 Budget annuel'!$I$14:$I$43,COLUMN()-COLUMN($X$42)+1),-INDEX('1 Budget annuel'!$I$14:$I$43,COLUMN()-COLUMN($X$42)+1)),0))</x:f>
        <x:v>0</x:v>
      </x:c>
    </x:row>
    <x:row r="93">
      <x:c r="L93" s="114" t="n">
        <x:f>L92+1</x:f>
        <x:v>46287</x:v>
      </x:c>
      <x:c r="M93" s="115" t="b">
        <x:f>AND(L93&gt;=$D$5,L93&lt;=$D$5+363,MOD(L93-$D$5,7)=0)</x:f>
        <x:v>0</x:v>
      </x:c>
      <x:c r="N93" s="116" t="n">
        <x:f>SUM(X93:BA93)</x:f>
        <x:v>0</x:v>
      </x:c>
      <x:c r="O93" s="116" t="n">
        <x:f>IF(M93,$D$10,0)</x:f>
        <x:v>0</x:v>
      </x:c>
      <x:c r="P93" s="116" t="n">
        <x:f>N93-O93</x:f>
        <x:v>0</x:v>
      </x:c>
      <x:c r="Q93" s="116" t="n">
        <x:f>IF(L93&lt;$D$5,0,IF(L93=$D$5,P93,Q92+P93))</x:f>
        <x:v>0</x:v>
      </x:c>
      <x:c r="R93" s="116" t="n">
        <x:f>IF(L93&lt;$D$5,"",$J$10+Q93)</x:f>
        <x:v>0</x:v>
      </x:c>
      <x:c r="S93" s="116" t="n">
        <x:f>IF($L93&lt;$D$5,"",IF($L93=$D$5,$J$10+$N93-IF($M93,IF(INT(($L93-$D$5)/7)&lt;$A$20,$B$20,$D$10),0),S92+$N93-IF($M93,IF(INT(($L93-$D$5)/7)&lt;$A$20,$B$20,$D$10),0)))</x:f>
        <x:v>0</x:v>
      </x:c>
      <x:c r="T93" s="116" t="n">
        <x:f>IF($L93&lt;$D$5,"",IF($L93=$D$5,$J$10+$N93-IF($M93,IF(INT(($L93-$D$5)/7)&lt;$A$21,$B$21,$D$10),0),T92+$N93-IF($M93,IF(INT(($L93-$D$5)/7)&lt;$A$21,$B$21,$D$10),0)))</x:f>
        <x:v>0</x:v>
      </x:c>
      <x:c r="U93" s="116" t="n">
        <x:f>IF($L93&lt;$D$5,"",IF($L93=$D$5,$J$10+$N93-IF($M93,IF(INT(($L93-$D$5)/7)&lt;$A$22,$B$22,$D$10),0),U92+$N93-IF($M93,IF(INT(($L93-$D$5)/7)&lt;$A$22,$B$22,$D$10),0)))</x:f>
        <x:v>0</x:v>
      </x:c>
      <x:c r="V93" s="116" t="n">
        <x:f>IF($L93&lt;$D$5,"",IF($L93=$D$5,$J$10+$N93-IF($M93,IF(INT(($L93-$D$5)/7)&lt;$A$23,$B$23,$D$10),0),V92+$N93-IF($M93,IF(INT(($L93-$D$5)/7)&lt;$A$23,$B$23,$D$10),0)))</x:f>
        <x:v>0</x:v>
      </x:c>
      <x:c r="W93" s="116" t="n">
        <x:f>IF($L93&lt;$D$5,"",IF($L93=$D$5,$J$10+$N93-IF($M93,IF(INT(($L93-$D$5)/7)&lt;$A$24,$B$24,$D$10),0),W92+$N93-IF($M93,IF(INT(($L93-$D$5)/7)&lt;$A$24,$B$24,$D$10),0)))</x:f>
        <x:v>0</x:v>
      </x:c>
      <x:c r="X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Y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Z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A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B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C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D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E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F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G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H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I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J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K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L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M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N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O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P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Q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R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S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T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U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V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W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X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Y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AZ93" s="116"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c r="BA93" s="117" t="n">
        <x:f>IF(OR(INDEX('1 Budget annuel'!$A$14:$A$43,COLUMN()-COLUMN($X$42)+1)&lt;&gt;"Oui",INDEX('1 Budget annuel'!$L$14:$L$43,COLUMN()-COLUMN($X$42)+1)="",AND(INDEX('1 Budget annuel'!$B$14:$B$43,COLUMN()-COLUMN($X$42)+1)="Sortie",INDEX('1 Budget annuel'!$M$14:$M$43,COLUMN()-COLUMN($X$42)+1)="Oui"),$L93&lt;INDEX('1 Budget annuel'!$L$14:$L$43,COLUMN()-COLUMN($X$42)+1),$L93&gt;$D$5+363),0,IF(OR(AND(INDEX('1 Budget annuel'!$E$14:$E$43,COLUMN()-COLUMN($X$42)+1)="Hebdomadaire",MOD($L93-INDEX('1 Budget annuel'!$L$14:$L$43,COLUMN()-COLUMN($X$42)+1),7)=0),AND(INDEX('1 Budget annuel'!$E$14:$E$43,COLUMN()-COLUMN($X$42)+1)="Toutes les 4 semaines",MOD($L93-INDEX('1 Budget annuel'!$L$14:$L$43,COLUMN()-COLUMN($X$42)+1),28)=0),AND(INDEX('1 Budget annuel'!$E$14:$E$43,COLUMN()-COLUMN($X$42)+1)="Mensuelle",DAY($L93)=MIN(DAY(INDEX('1 Budget annuel'!$L$14:$L$43,COLUMN()-COLUMN($X$42)+1)),DAY(EOMONTH($L93,0)))),AND(INDEX('1 Budget annuel'!$E$14:$E$43,COLUMN()-COLUMN($X$42)+1)="Trimestrielle",MOD((YEAR($L93)-YEAR(INDEX('1 Budget annuel'!$L$14:$L$43,COLUMN()-COLUMN($X$42)+1)))*12+MONTH($L93)-MONTH(INDEX('1 Budget annuel'!$L$14:$L$43,COLUMN()-COLUMN($X$42)+1)),3)=0,DAY($L93)=MIN(DAY(INDEX('1 Budget annuel'!$L$14:$L$43,COLUMN()-COLUMN($X$42)+1)),DAY(EOMONTH($L93,0)))),AND(INDEX('1 Budget annuel'!$E$14:$E$43,COLUMN()-COLUMN($X$42)+1)="Semestrielle",MOD((YEAR($L93)-YEAR(INDEX('1 Budget annuel'!$L$14:$L$43,COLUMN()-COLUMN($X$42)+1)))*12+MONTH($L93)-MONTH(INDEX('1 Budget annuel'!$L$14:$L$43,COLUMN()-COLUMN($X$42)+1)),6)=0,DAY($L93)=MIN(DAY(INDEX('1 Budget annuel'!$L$14:$L$43,COLUMN()-COLUMN($X$42)+1)),DAY(EOMONTH($L93,0)))),AND(INDEX('1 Budget annuel'!$E$14:$E$43,COLUMN()-COLUMN($X$42)+1)="Annuelle",MOD((YEAR($L93)-YEAR(INDEX('1 Budget annuel'!$L$14:$L$43,COLUMN()-COLUMN($X$42)+1)))*12+MONTH($L93)-MONTH(INDEX('1 Budget annuel'!$L$14:$L$43,COLUMN()-COLUMN($X$42)+1)),12)=0,DAY($L93)=MIN(DAY(INDEX('1 Budget annuel'!$L$14:$L$43,COLUMN()-COLUMN($X$42)+1)),DAY(EOMONTH($L93,0))))),IF(INDEX('1 Budget annuel'!$B$14:$B$43,COLUMN()-COLUMN($X$42)+1)="Entrée",INDEX('1 Budget annuel'!$I$14:$I$43,COLUMN()-COLUMN($X$42)+1),-INDEX('1 Budget annuel'!$I$14:$I$43,COLUMN()-COLUMN($X$42)+1)),0))</x:f>
        <x:v>0</x:v>
      </x:c>
    </x:row>
    <x:row r="94">
      <x:c r="L94" s="114" t="n">
        <x:f>L93+1</x:f>
        <x:v>46288</x:v>
      </x:c>
      <x:c r="M94" s="115" t="b">
        <x:f>AND(L94&gt;=$D$5,L94&lt;=$D$5+363,MOD(L94-$D$5,7)=0)</x:f>
        <x:v>0</x:v>
      </x:c>
      <x:c r="N94" s="116" t="n">
        <x:f>SUM(X94:BA94)</x:f>
        <x:v>0</x:v>
      </x:c>
      <x:c r="O94" s="116" t="n">
        <x:f>IF(M94,$D$10,0)</x:f>
        <x:v>0</x:v>
      </x:c>
      <x:c r="P94" s="116" t="n">
        <x:f>N94-O94</x:f>
        <x:v>0</x:v>
      </x:c>
      <x:c r="Q94" s="116" t="n">
        <x:f>IF(L94&lt;$D$5,0,IF(L94=$D$5,P94,Q93+P94))</x:f>
        <x:v>0</x:v>
      </x:c>
      <x:c r="R94" s="116" t="n">
        <x:f>IF(L94&lt;$D$5,"",$J$10+Q94)</x:f>
        <x:v>0</x:v>
      </x:c>
      <x:c r="S94" s="116" t="n">
        <x:f>IF($L94&lt;$D$5,"",IF($L94=$D$5,$J$10+$N94-IF($M94,IF(INT(($L94-$D$5)/7)&lt;$A$20,$B$20,$D$10),0),S93+$N94-IF($M94,IF(INT(($L94-$D$5)/7)&lt;$A$20,$B$20,$D$10),0)))</x:f>
        <x:v>0</x:v>
      </x:c>
      <x:c r="T94" s="116" t="n">
        <x:f>IF($L94&lt;$D$5,"",IF($L94=$D$5,$J$10+$N94-IF($M94,IF(INT(($L94-$D$5)/7)&lt;$A$21,$B$21,$D$10),0),T93+$N94-IF($M94,IF(INT(($L94-$D$5)/7)&lt;$A$21,$B$21,$D$10),0)))</x:f>
        <x:v>0</x:v>
      </x:c>
      <x:c r="U94" s="116" t="n">
        <x:f>IF($L94&lt;$D$5,"",IF($L94=$D$5,$J$10+$N94-IF($M94,IF(INT(($L94-$D$5)/7)&lt;$A$22,$B$22,$D$10),0),U93+$N94-IF($M94,IF(INT(($L94-$D$5)/7)&lt;$A$22,$B$22,$D$10),0)))</x:f>
        <x:v>0</x:v>
      </x:c>
      <x:c r="V94" s="116" t="n">
        <x:f>IF($L94&lt;$D$5,"",IF($L94=$D$5,$J$10+$N94-IF($M94,IF(INT(($L94-$D$5)/7)&lt;$A$23,$B$23,$D$10),0),V93+$N94-IF($M94,IF(INT(($L94-$D$5)/7)&lt;$A$23,$B$23,$D$10),0)))</x:f>
        <x:v>0</x:v>
      </x:c>
      <x:c r="W94" s="116" t="n">
        <x:f>IF($L94&lt;$D$5,"",IF($L94=$D$5,$J$10+$N94-IF($M94,IF(INT(($L94-$D$5)/7)&lt;$A$24,$B$24,$D$10),0),W93+$N94-IF($M94,IF(INT(($L94-$D$5)/7)&lt;$A$24,$B$24,$D$10),0)))</x:f>
        <x:v>0</x:v>
      </x:c>
      <x:c r="X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Y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Z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A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B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C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D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E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F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G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H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I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J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K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L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M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N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O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P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Q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R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S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T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U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V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W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X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Y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AZ94" s="116"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c r="BA94" s="117" t="n">
        <x:f>IF(OR(INDEX('1 Budget annuel'!$A$14:$A$43,COLUMN()-COLUMN($X$42)+1)&lt;&gt;"Oui",INDEX('1 Budget annuel'!$L$14:$L$43,COLUMN()-COLUMN($X$42)+1)="",AND(INDEX('1 Budget annuel'!$B$14:$B$43,COLUMN()-COLUMN($X$42)+1)="Sortie",INDEX('1 Budget annuel'!$M$14:$M$43,COLUMN()-COLUMN($X$42)+1)="Oui"),$L94&lt;INDEX('1 Budget annuel'!$L$14:$L$43,COLUMN()-COLUMN($X$42)+1),$L94&gt;$D$5+363),0,IF(OR(AND(INDEX('1 Budget annuel'!$E$14:$E$43,COLUMN()-COLUMN($X$42)+1)="Hebdomadaire",MOD($L94-INDEX('1 Budget annuel'!$L$14:$L$43,COLUMN()-COLUMN($X$42)+1),7)=0),AND(INDEX('1 Budget annuel'!$E$14:$E$43,COLUMN()-COLUMN($X$42)+1)="Toutes les 4 semaines",MOD($L94-INDEX('1 Budget annuel'!$L$14:$L$43,COLUMN()-COLUMN($X$42)+1),28)=0),AND(INDEX('1 Budget annuel'!$E$14:$E$43,COLUMN()-COLUMN($X$42)+1)="Mensuelle",DAY($L94)=MIN(DAY(INDEX('1 Budget annuel'!$L$14:$L$43,COLUMN()-COLUMN($X$42)+1)),DAY(EOMONTH($L94,0)))),AND(INDEX('1 Budget annuel'!$E$14:$E$43,COLUMN()-COLUMN($X$42)+1)="Trimestrielle",MOD((YEAR($L94)-YEAR(INDEX('1 Budget annuel'!$L$14:$L$43,COLUMN()-COLUMN($X$42)+1)))*12+MONTH($L94)-MONTH(INDEX('1 Budget annuel'!$L$14:$L$43,COLUMN()-COLUMN($X$42)+1)),3)=0,DAY($L94)=MIN(DAY(INDEX('1 Budget annuel'!$L$14:$L$43,COLUMN()-COLUMN($X$42)+1)),DAY(EOMONTH($L94,0)))),AND(INDEX('1 Budget annuel'!$E$14:$E$43,COLUMN()-COLUMN($X$42)+1)="Semestrielle",MOD((YEAR($L94)-YEAR(INDEX('1 Budget annuel'!$L$14:$L$43,COLUMN()-COLUMN($X$42)+1)))*12+MONTH($L94)-MONTH(INDEX('1 Budget annuel'!$L$14:$L$43,COLUMN()-COLUMN($X$42)+1)),6)=0,DAY($L94)=MIN(DAY(INDEX('1 Budget annuel'!$L$14:$L$43,COLUMN()-COLUMN($X$42)+1)),DAY(EOMONTH($L94,0)))),AND(INDEX('1 Budget annuel'!$E$14:$E$43,COLUMN()-COLUMN($X$42)+1)="Annuelle",MOD((YEAR($L94)-YEAR(INDEX('1 Budget annuel'!$L$14:$L$43,COLUMN()-COLUMN($X$42)+1)))*12+MONTH($L94)-MONTH(INDEX('1 Budget annuel'!$L$14:$L$43,COLUMN()-COLUMN($X$42)+1)),12)=0,DAY($L94)=MIN(DAY(INDEX('1 Budget annuel'!$L$14:$L$43,COLUMN()-COLUMN($X$42)+1)),DAY(EOMONTH($L94,0))))),IF(INDEX('1 Budget annuel'!$B$14:$B$43,COLUMN()-COLUMN($X$42)+1)="Entrée",INDEX('1 Budget annuel'!$I$14:$I$43,COLUMN()-COLUMN($X$42)+1),-INDEX('1 Budget annuel'!$I$14:$I$43,COLUMN()-COLUMN($X$42)+1)),0))</x:f>
        <x:v>0</x:v>
      </x:c>
    </x:row>
    <x:row r="95">
      <x:c r="L95" s="114" t="n">
        <x:f>L94+1</x:f>
        <x:v>46289</x:v>
      </x:c>
      <x:c r="M95" s="115" t="b">
        <x:f>AND(L95&gt;=$D$5,L95&lt;=$D$5+363,MOD(L95-$D$5,7)=0)</x:f>
        <x:v>0</x:v>
      </x:c>
      <x:c r="N95" s="116" t="n">
        <x:f>SUM(X95:BA95)</x:f>
        <x:v>0</x:v>
      </x:c>
      <x:c r="O95" s="116" t="n">
        <x:f>IF(M95,$D$10,0)</x:f>
        <x:v>0</x:v>
      </x:c>
      <x:c r="P95" s="116" t="n">
        <x:f>N95-O95</x:f>
        <x:v>0</x:v>
      </x:c>
      <x:c r="Q95" s="116" t="n">
        <x:f>IF(L95&lt;$D$5,0,IF(L95=$D$5,P95,Q94+P95))</x:f>
        <x:v>0</x:v>
      </x:c>
      <x:c r="R95" s="116" t="n">
        <x:f>IF(L95&lt;$D$5,"",$J$10+Q95)</x:f>
        <x:v>0</x:v>
      </x:c>
      <x:c r="S95" s="116" t="n">
        <x:f>IF($L95&lt;$D$5,"",IF($L95=$D$5,$J$10+$N95-IF($M95,IF(INT(($L95-$D$5)/7)&lt;$A$20,$B$20,$D$10),0),S94+$N95-IF($M95,IF(INT(($L95-$D$5)/7)&lt;$A$20,$B$20,$D$10),0)))</x:f>
        <x:v>0</x:v>
      </x:c>
      <x:c r="T95" s="116" t="n">
        <x:f>IF($L95&lt;$D$5,"",IF($L95=$D$5,$J$10+$N95-IF($M95,IF(INT(($L95-$D$5)/7)&lt;$A$21,$B$21,$D$10),0),T94+$N95-IF($M95,IF(INT(($L95-$D$5)/7)&lt;$A$21,$B$21,$D$10),0)))</x:f>
        <x:v>0</x:v>
      </x:c>
      <x:c r="U95" s="116" t="n">
        <x:f>IF($L95&lt;$D$5,"",IF($L95=$D$5,$J$10+$N95-IF($M95,IF(INT(($L95-$D$5)/7)&lt;$A$22,$B$22,$D$10),0),U94+$N95-IF($M95,IF(INT(($L95-$D$5)/7)&lt;$A$22,$B$22,$D$10),0)))</x:f>
        <x:v>0</x:v>
      </x:c>
      <x:c r="V95" s="116" t="n">
        <x:f>IF($L95&lt;$D$5,"",IF($L95=$D$5,$J$10+$N95-IF($M95,IF(INT(($L95-$D$5)/7)&lt;$A$23,$B$23,$D$10),0),V94+$N95-IF($M95,IF(INT(($L95-$D$5)/7)&lt;$A$23,$B$23,$D$10),0)))</x:f>
        <x:v>0</x:v>
      </x:c>
      <x:c r="W95" s="116" t="n">
        <x:f>IF($L95&lt;$D$5,"",IF($L95=$D$5,$J$10+$N95-IF($M95,IF(INT(($L95-$D$5)/7)&lt;$A$24,$B$24,$D$10),0),W94+$N95-IF($M95,IF(INT(($L95-$D$5)/7)&lt;$A$24,$B$24,$D$10),0)))</x:f>
        <x:v>0</x:v>
      </x:c>
      <x:c r="X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Y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Z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A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B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C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D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E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F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G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H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I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J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K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L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M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N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O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P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Q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R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S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T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U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V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W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X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Y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AZ95" s="116"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c r="BA95" s="117" t="n">
        <x:f>IF(OR(INDEX('1 Budget annuel'!$A$14:$A$43,COLUMN()-COLUMN($X$42)+1)&lt;&gt;"Oui",INDEX('1 Budget annuel'!$L$14:$L$43,COLUMN()-COLUMN($X$42)+1)="",AND(INDEX('1 Budget annuel'!$B$14:$B$43,COLUMN()-COLUMN($X$42)+1)="Sortie",INDEX('1 Budget annuel'!$M$14:$M$43,COLUMN()-COLUMN($X$42)+1)="Oui"),$L95&lt;INDEX('1 Budget annuel'!$L$14:$L$43,COLUMN()-COLUMN($X$42)+1),$L95&gt;$D$5+363),0,IF(OR(AND(INDEX('1 Budget annuel'!$E$14:$E$43,COLUMN()-COLUMN($X$42)+1)="Hebdomadaire",MOD($L95-INDEX('1 Budget annuel'!$L$14:$L$43,COLUMN()-COLUMN($X$42)+1),7)=0),AND(INDEX('1 Budget annuel'!$E$14:$E$43,COLUMN()-COLUMN($X$42)+1)="Toutes les 4 semaines",MOD($L95-INDEX('1 Budget annuel'!$L$14:$L$43,COLUMN()-COLUMN($X$42)+1),28)=0),AND(INDEX('1 Budget annuel'!$E$14:$E$43,COLUMN()-COLUMN($X$42)+1)="Mensuelle",DAY($L95)=MIN(DAY(INDEX('1 Budget annuel'!$L$14:$L$43,COLUMN()-COLUMN($X$42)+1)),DAY(EOMONTH($L95,0)))),AND(INDEX('1 Budget annuel'!$E$14:$E$43,COLUMN()-COLUMN($X$42)+1)="Trimestrielle",MOD((YEAR($L95)-YEAR(INDEX('1 Budget annuel'!$L$14:$L$43,COLUMN()-COLUMN($X$42)+1)))*12+MONTH($L95)-MONTH(INDEX('1 Budget annuel'!$L$14:$L$43,COLUMN()-COLUMN($X$42)+1)),3)=0,DAY($L95)=MIN(DAY(INDEX('1 Budget annuel'!$L$14:$L$43,COLUMN()-COLUMN($X$42)+1)),DAY(EOMONTH($L95,0)))),AND(INDEX('1 Budget annuel'!$E$14:$E$43,COLUMN()-COLUMN($X$42)+1)="Semestrielle",MOD((YEAR($L95)-YEAR(INDEX('1 Budget annuel'!$L$14:$L$43,COLUMN()-COLUMN($X$42)+1)))*12+MONTH($L95)-MONTH(INDEX('1 Budget annuel'!$L$14:$L$43,COLUMN()-COLUMN($X$42)+1)),6)=0,DAY($L95)=MIN(DAY(INDEX('1 Budget annuel'!$L$14:$L$43,COLUMN()-COLUMN($X$42)+1)),DAY(EOMONTH($L95,0)))),AND(INDEX('1 Budget annuel'!$E$14:$E$43,COLUMN()-COLUMN($X$42)+1)="Annuelle",MOD((YEAR($L95)-YEAR(INDEX('1 Budget annuel'!$L$14:$L$43,COLUMN()-COLUMN($X$42)+1)))*12+MONTH($L95)-MONTH(INDEX('1 Budget annuel'!$L$14:$L$43,COLUMN()-COLUMN($X$42)+1)),12)=0,DAY($L95)=MIN(DAY(INDEX('1 Budget annuel'!$L$14:$L$43,COLUMN()-COLUMN($X$42)+1)),DAY(EOMONTH($L95,0))))),IF(INDEX('1 Budget annuel'!$B$14:$B$43,COLUMN()-COLUMN($X$42)+1)="Entrée",INDEX('1 Budget annuel'!$I$14:$I$43,COLUMN()-COLUMN($X$42)+1),-INDEX('1 Budget annuel'!$I$14:$I$43,COLUMN()-COLUMN($X$42)+1)),0))</x:f>
        <x:v>0</x:v>
      </x:c>
    </x:row>
    <x:row r="96">
      <x:c r="L96" s="114" t="n">
        <x:f>L95+1</x:f>
        <x:v>46290</x:v>
      </x:c>
      <x:c r="M96" s="115" t="b">
        <x:f>AND(L96&gt;=$D$5,L96&lt;=$D$5+363,MOD(L96-$D$5,7)=0)</x:f>
        <x:v>0</x:v>
      </x:c>
      <x:c r="N96" s="116" t="n">
        <x:f>SUM(X96:BA96)</x:f>
        <x:v>0</x:v>
      </x:c>
      <x:c r="O96" s="116" t="n">
        <x:f>IF(M96,$D$10,0)</x:f>
        <x:v>0</x:v>
      </x:c>
      <x:c r="P96" s="116" t="n">
        <x:f>N96-O96</x:f>
        <x:v>0</x:v>
      </x:c>
      <x:c r="Q96" s="116" t="n">
        <x:f>IF(L96&lt;$D$5,0,IF(L96=$D$5,P96,Q95+P96))</x:f>
        <x:v>0</x:v>
      </x:c>
      <x:c r="R96" s="116" t="n">
        <x:f>IF(L96&lt;$D$5,"",$J$10+Q96)</x:f>
        <x:v>0</x:v>
      </x:c>
      <x:c r="S96" s="116" t="n">
        <x:f>IF($L96&lt;$D$5,"",IF($L96=$D$5,$J$10+$N96-IF($M96,IF(INT(($L96-$D$5)/7)&lt;$A$20,$B$20,$D$10),0),S95+$N96-IF($M96,IF(INT(($L96-$D$5)/7)&lt;$A$20,$B$20,$D$10),0)))</x:f>
        <x:v>0</x:v>
      </x:c>
      <x:c r="T96" s="116" t="n">
        <x:f>IF($L96&lt;$D$5,"",IF($L96=$D$5,$J$10+$N96-IF($M96,IF(INT(($L96-$D$5)/7)&lt;$A$21,$B$21,$D$10),0),T95+$N96-IF($M96,IF(INT(($L96-$D$5)/7)&lt;$A$21,$B$21,$D$10),0)))</x:f>
        <x:v>0</x:v>
      </x:c>
      <x:c r="U96" s="116" t="n">
        <x:f>IF($L96&lt;$D$5,"",IF($L96=$D$5,$J$10+$N96-IF($M96,IF(INT(($L96-$D$5)/7)&lt;$A$22,$B$22,$D$10),0),U95+$N96-IF($M96,IF(INT(($L96-$D$5)/7)&lt;$A$22,$B$22,$D$10),0)))</x:f>
        <x:v>0</x:v>
      </x:c>
      <x:c r="V96" s="116" t="n">
        <x:f>IF($L96&lt;$D$5,"",IF($L96=$D$5,$J$10+$N96-IF($M96,IF(INT(($L96-$D$5)/7)&lt;$A$23,$B$23,$D$10),0),V95+$N96-IF($M96,IF(INT(($L96-$D$5)/7)&lt;$A$23,$B$23,$D$10),0)))</x:f>
        <x:v>0</x:v>
      </x:c>
      <x:c r="W96" s="116" t="n">
        <x:f>IF($L96&lt;$D$5,"",IF($L96=$D$5,$J$10+$N96-IF($M96,IF(INT(($L96-$D$5)/7)&lt;$A$24,$B$24,$D$10),0),W95+$N96-IF($M96,IF(INT(($L96-$D$5)/7)&lt;$A$24,$B$24,$D$10),0)))</x:f>
        <x:v>0</x:v>
      </x:c>
      <x:c r="X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Y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Z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A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B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C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D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E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F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G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H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I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J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K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L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M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N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O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P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Q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R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S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T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U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V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W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X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Y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AZ96" s="116"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c r="BA96" s="117" t="n">
        <x:f>IF(OR(INDEX('1 Budget annuel'!$A$14:$A$43,COLUMN()-COLUMN($X$42)+1)&lt;&gt;"Oui",INDEX('1 Budget annuel'!$L$14:$L$43,COLUMN()-COLUMN($X$42)+1)="",AND(INDEX('1 Budget annuel'!$B$14:$B$43,COLUMN()-COLUMN($X$42)+1)="Sortie",INDEX('1 Budget annuel'!$M$14:$M$43,COLUMN()-COLUMN($X$42)+1)="Oui"),$L96&lt;INDEX('1 Budget annuel'!$L$14:$L$43,COLUMN()-COLUMN($X$42)+1),$L96&gt;$D$5+363),0,IF(OR(AND(INDEX('1 Budget annuel'!$E$14:$E$43,COLUMN()-COLUMN($X$42)+1)="Hebdomadaire",MOD($L96-INDEX('1 Budget annuel'!$L$14:$L$43,COLUMN()-COLUMN($X$42)+1),7)=0),AND(INDEX('1 Budget annuel'!$E$14:$E$43,COLUMN()-COLUMN($X$42)+1)="Toutes les 4 semaines",MOD($L96-INDEX('1 Budget annuel'!$L$14:$L$43,COLUMN()-COLUMN($X$42)+1),28)=0),AND(INDEX('1 Budget annuel'!$E$14:$E$43,COLUMN()-COLUMN($X$42)+1)="Mensuelle",DAY($L96)=MIN(DAY(INDEX('1 Budget annuel'!$L$14:$L$43,COLUMN()-COLUMN($X$42)+1)),DAY(EOMONTH($L96,0)))),AND(INDEX('1 Budget annuel'!$E$14:$E$43,COLUMN()-COLUMN($X$42)+1)="Trimestrielle",MOD((YEAR($L96)-YEAR(INDEX('1 Budget annuel'!$L$14:$L$43,COLUMN()-COLUMN($X$42)+1)))*12+MONTH($L96)-MONTH(INDEX('1 Budget annuel'!$L$14:$L$43,COLUMN()-COLUMN($X$42)+1)),3)=0,DAY($L96)=MIN(DAY(INDEX('1 Budget annuel'!$L$14:$L$43,COLUMN()-COLUMN($X$42)+1)),DAY(EOMONTH($L96,0)))),AND(INDEX('1 Budget annuel'!$E$14:$E$43,COLUMN()-COLUMN($X$42)+1)="Semestrielle",MOD((YEAR($L96)-YEAR(INDEX('1 Budget annuel'!$L$14:$L$43,COLUMN()-COLUMN($X$42)+1)))*12+MONTH($L96)-MONTH(INDEX('1 Budget annuel'!$L$14:$L$43,COLUMN()-COLUMN($X$42)+1)),6)=0,DAY($L96)=MIN(DAY(INDEX('1 Budget annuel'!$L$14:$L$43,COLUMN()-COLUMN($X$42)+1)),DAY(EOMONTH($L96,0)))),AND(INDEX('1 Budget annuel'!$E$14:$E$43,COLUMN()-COLUMN($X$42)+1)="Annuelle",MOD((YEAR($L96)-YEAR(INDEX('1 Budget annuel'!$L$14:$L$43,COLUMN()-COLUMN($X$42)+1)))*12+MONTH($L96)-MONTH(INDEX('1 Budget annuel'!$L$14:$L$43,COLUMN()-COLUMN($X$42)+1)),12)=0,DAY($L96)=MIN(DAY(INDEX('1 Budget annuel'!$L$14:$L$43,COLUMN()-COLUMN($X$42)+1)),DAY(EOMONTH($L96,0))))),IF(INDEX('1 Budget annuel'!$B$14:$B$43,COLUMN()-COLUMN($X$42)+1)="Entrée",INDEX('1 Budget annuel'!$I$14:$I$43,COLUMN()-COLUMN($X$42)+1),-INDEX('1 Budget annuel'!$I$14:$I$43,COLUMN()-COLUMN($X$42)+1)),0))</x:f>
        <x:v>0</x:v>
      </x:c>
    </x:row>
    <x:row r="97">
      <x:c r="L97" s="114" t="n">
        <x:f>L96+1</x:f>
        <x:v>46291</x:v>
      </x:c>
      <x:c r="M97" s="115" t="b">
        <x:f>AND(L97&gt;=$D$5,L97&lt;=$D$5+363,MOD(L97-$D$5,7)=0)</x:f>
        <x:v>1</x:v>
      </x:c>
      <x:c r="N97" s="116" t="n">
        <x:f>SUM(X97:BA97)</x:f>
        <x:v>0</x:v>
      </x:c>
      <x:c r="O97" s="116" t="n">
        <x:f>IF(M97,$D$10,0)</x:f>
        <x:v>0</x:v>
      </x:c>
      <x:c r="P97" s="116" t="n">
        <x:f>N97-O97</x:f>
        <x:v>0</x:v>
      </x:c>
      <x:c r="Q97" s="116" t="n">
        <x:f>IF(L97&lt;$D$5,0,IF(L97=$D$5,P97,Q96+P97))</x:f>
        <x:v>0</x:v>
      </x:c>
      <x:c r="R97" s="116" t="n">
        <x:f>IF(L97&lt;$D$5,"",$J$10+Q97)</x:f>
        <x:v>0</x:v>
      </x:c>
      <x:c r="S97" s="116" t="n">
        <x:f>IF($L97&lt;$D$5,"",IF($L97=$D$5,$J$10+$N97-IF($M97,IF(INT(($L97-$D$5)/7)&lt;$A$20,$B$20,$D$10),0),S96+$N97-IF($M97,IF(INT(($L97-$D$5)/7)&lt;$A$20,$B$20,$D$10),0)))</x:f>
        <x:v>0</x:v>
      </x:c>
      <x:c r="T97" s="116" t="n">
        <x:f>IF($L97&lt;$D$5,"",IF($L97=$D$5,$J$10+$N97-IF($M97,IF(INT(($L97-$D$5)/7)&lt;$A$21,$B$21,$D$10),0),T96+$N97-IF($M97,IF(INT(($L97-$D$5)/7)&lt;$A$21,$B$21,$D$10),0)))</x:f>
        <x:v>0</x:v>
      </x:c>
      <x:c r="U97" s="116" t="n">
        <x:f>IF($L97&lt;$D$5,"",IF($L97=$D$5,$J$10+$N97-IF($M97,IF(INT(($L97-$D$5)/7)&lt;$A$22,$B$22,$D$10),0),U96+$N97-IF($M97,IF(INT(($L97-$D$5)/7)&lt;$A$22,$B$22,$D$10),0)))</x:f>
        <x:v>0</x:v>
      </x:c>
      <x:c r="V97" s="116" t="n">
        <x:f>IF($L97&lt;$D$5,"",IF($L97=$D$5,$J$10+$N97-IF($M97,IF(INT(($L97-$D$5)/7)&lt;$A$23,$B$23,$D$10),0),V96+$N97-IF($M97,IF(INT(($L97-$D$5)/7)&lt;$A$23,$B$23,$D$10),0)))</x:f>
        <x:v>0</x:v>
      </x:c>
      <x:c r="W97" s="116" t="n">
        <x:f>IF($L97&lt;$D$5,"",IF($L97=$D$5,$J$10+$N97-IF($M97,IF(INT(($L97-$D$5)/7)&lt;$A$24,$B$24,$D$10),0),W96+$N97-IF($M97,IF(INT(($L97-$D$5)/7)&lt;$A$24,$B$24,$D$10),0)))</x:f>
        <x:v>0</x:v>
      </x:c>
      <x:c r="X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Y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Z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A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B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C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D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E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F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G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H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I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J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K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L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M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N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O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P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Q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R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S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T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U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V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W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X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Y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AZ97" s="116"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c r="BA97" s="117" t="n">
        <x:f>IF(OR(INDEX('1 Budget annuel'!$A$14:$A$43,COLUMN()-COLUMN($X$42)+1)&lt;&gt;"Oui",INDEX('1 Budget annuel'!$L$14:$L$43,COLUMN()-COLUMN($X$42)+1)="",AND(INDEX('1 Budget annuel'!$B$14:$B$43,COLUMN()-COLUMN($X$42)+1)="Sortie",INDEX('1 Budget annuel'!$M$14:$M$43,COLUMN()-COLUMN($X$42)+1)="Oui"),$L97&lt;INDEX('1 Budget annuel'!$L$14:$L$43,COLUMN()-COLUMN($X$42)+1),$L97&gt;$D$5+363),0,IF(OR(AND(INDEX('1 Budget annuel'!$E$14:$E$43,COLUMN()-COLUMN($X$42)+1)="Hebdomadaire",MOD($L97-INDEX('1 Budget annuel'!$L$14:$L$43,COLUMN()-COLUMN($X$42)+1),7)=0),AND(INDEX('1 Budget annuel'!$E$14:$E$43,COLUMN()-COLUMN($X$42)+1)="Toutes les 4 semaines",MOD($L97-INDEX('1 Budget annuel'!$L$14:$L$43,COLUMN()-COLUMN($X$42)+1),28)=0),AND(INDEX('1 Budget annuel'!$E$14:$E$43,COLUMN()-COLUMN($X$42)+1)="Mensuelle",DAY($L97)=MIN(DAY(INDEX('1 Budget annuel'!$L$14:$L$43,COLUMN()-COLUMN($X$42)+1)),DAY(EOMONTH($L97,0)))),AND(INDEX('1 Budget annuel'!$E$14:$E$43,COLUMN()-COLUMN($X$42)+1)="Trimestrielle",MOD((YEAR($L97)-YEAR(INDEX('1 Budget annuel'!$L$14:$L$43,COLUMN()-COLUMN($X$42)+1)))*12+MONTH($L97)-MONTH(INDEX('1 Budget annuel'!$L$14:$L$43,COLUMN()-COLUMN($X$42)+1)),3)=0,DAY($L97)=MIN(DAY(INDEX('1 Budget annuel'!$L$14:$L$43,COLUMN()-COLUMN($X$42)+1)),DAY(EOMONTH($L97,0)))),AND(INDEX('1 Budget annuel'!$E$14:$E$43,COLUMN()-COLUMN($X$42)+1)="Semestrielle",MOD((YEAR($L97)-YEAR(INDEX('1 Budget annuel'!$L$14:$L$43,COLUMN()-COLUMN($X$42)+1)))*12+MONTH($L97)-MONTH(INDEX('1 Budget annuel'!$L$14:$L$43,COLUMN()-COLUMN($X$42)+1)),6)=0,DAY($L97)=MIN(DAY(INDEX('1 Budget annuel'!$L$14:$L$43,COLUMN()-COLUMN($X$42)+1)),DAY(EOMONTH($L97,0)))),AND(INDEX('1 Budget annuel'!$E$14:$E$43,COLUMN()-COLUMN($X$42)+1)="Annuelle",MOD((YEAR($L97)-YEAR(INDEX('1 Budget annuel'!$L$14:$L$43,COLUMN()-COLUMN($X$42)+1)))*12+MONTH($L97)-MONTH(INDEX('1 Budget annuel'!$L$14:$L$43,COLUMN()-COLUMN($X$42)+1)),12)=0,DAY($L97)=MIN(DAY(INDEX('1 Budget annuel'!$L$14:$L$43,COLUMN()-COLUMN($X$42)+1)),DAY(EOMONTH($L97,0))))),IF(INDEX('1 Budget annuel'!$B$14:$B$43,COLUMN()-COLUMN($X$42)+1)="Entrée",INDEX('1 Budget annuel'!$I$14:$I$43,COLUMN()-COLUMN($X$42)+1),-INDEX('1 Budget annuel'!$I$14:$I$43,COLUMN()-COLUMN($X$42)+1)),0))</x:f>
        <x:v>0</x:v>
      </x:c>
    </x:row>
    <x:row r="98">
      <x:c r="L98" s="114" t="n">
        <x:f>L97+1</x:f>
        <x:v>46292</x:v>
      </x:c>
      <x:c r="M98" s="115" t="b">
        <x:f>AND(L98&gt;=$D$5,L98&lt;=$D$5+363,MOD(L98-$D$5,7)=0)</x:f>
        <x:v>0</x:v>
      </x:c>
      <x:c r="N98" s="116" t="n">
        <x:f>SUM(X98:BA98)</x:f>
        <x:v>0</x:v>
      </x:c>
      <x:c r="O98" s="116" t="n">
        <x:f>IF(M98,$D$10,0)</x:f>
        <x:v>0</x:v>
      </x:c>
      <x:c r="P98" s="116" t="n">
        <x:f>N98-O98</x:f>
        <x:v>0</x:v>
      </x:c>
      <x:c r="Q98" s="116" t="n">
        <x:f>IF(L98&lt;$D$5,0,IF(L98=$D$5,P98,Q97+P98))</x:f>
        <x:v>0</x:v>
      </x:c>
      <x:c r="R98" s="116" t="n">
        <x:f>IF(L98&lt;$D$5,"",$J$10+Q98)</x:f>
        <x:v>0</x:v>
      </x:c>
      <x:c r="S98" s="116" t="n">
        <x:f>IF($L98&lt;$D$5,"",IF($L98=$D$5,$J$10+$N98-IF($M98,IF(INT(($L98-$D$5)/7)&lt;$A$20,$B$20,$D$10),0),S97+$N98-IF($M98,IF(INT(($L98-$D$5)/7)&lt;$A$20,$B$20,$D$10),0)))</x:f>
        <x:v>0</x:v>
      </x:c>
      <x:c r="T98" s="116" t="n">
        <x:f>IF($L98&lt;$D$5,"",IF($L98=$D$5,$J$10+$N98-IF($M98,IF(INT(($L98-$D$5)/7)&lt;$A$21,$B$21,$D$10),0),T97+$N98-IF($M98,IF(INT(($L98-$D$5)/7)&lt;$A$21,$B$21,$D$10),0)))</x:f>
        <x:v>0</x:v>
      </x:c>
      <x:c r="U98" s="116" t="n">
        <x:f>IF($L98&lt;$D$5,"",IF($L98=$D$5,$J$10+$N98-IF($M98,IF(INT(($L98-$D$5)/7)&lt;$A$22,$B$22,$D$10),0),U97+$N98-IF($M98,IF(INT(($L98-$D$5)/7)&lt;$A$22,$B$22,$D$10),0)))</x:f>
        <x:v>0</x:v>
      </x:c>
      <x:c r="V98" s="116" t="n">
        <x:f>IF($L98&lt;$D$5,"",IF($L98=$D$5,$J$10+$N98-IF($M98,IF(INT(($L98-$D$5)/7)&lt;$A$23,$B$23,$D$10),0),V97+$N98-IF($M98,IF(INT(($L98-$D$5)/7)&lt;$A$23,$B$23,$D$10),0)))</x:f>
        <x:v>0</x:v>
      </x:c>
      <x:c r="W98" s="116" t="n">
        <x:f>IF($L98&lt;$D$5,"",IF($L98=$D$5,$J$10+$N98-IF($M98,IF(INT(($L98-$D$5)/7)&lt;$A$24,$B$24,$D$10),0),W97+$N98-IF($M98,IF(INT(($L98-$D$5)/7)&lt;$A$24,$B$24,$D$10),0)))</x:f>
        <x:v>0</x:v>
      </x:c>
      <x:c r="X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Y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Z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A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B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C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D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E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F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G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H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I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J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K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L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M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N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O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P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Q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R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S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T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U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V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W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X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Y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AZ98" s="116"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c r="BA98" s="117" t="n">
        <x:f>IF(OR(INDEX('1 Budget annuel'!$A$14:$A$43,COLUMN()-COLUMN($X$42)+1)&lt;&gt;"Oui",INDEX('1 Budget annuel'!$L$14:$L$43,COLUMN()-COLUMN($X$42)+1)="",AND(INDEX('1 Budget annuel'!$B$14:$B$43,COLUMN()-COLUMN($X$42)+1)="Sortie",INDEX('1 Budget annuel'!$M$14:$M$43,COLUMN()-COLUMN($X$42)+1)="Oui"),$L98&lt;INDEX('1 Budget annuel'!$L$14:$L$43,COLUMN()-COLUMN($X$42)+1),$L98&gt;$D$5+363),0,IF(OR(AND(INDEX('1 Budget annuel'!$E$14:$E$43,COLUMN()-COLUMN($X$42)+1)="Hebdomadaire",MOD($L98-INDEX('1 Budget annuel'!$L$14:$L$43,COLUMN()-COLUMN($X$42)+1),7)=0),AND(INDEX('1 Budget annuel'!$E$14:$E$43,COLUMN()-COLUMN($X$42)+1)="Toutes les 4 semaines",MOD($L98-INDEX('1 Budget annuel'!$L$14:$L$43,COLUMN()-COLUMN($X$42)+1),28)=0),AND(INDEX('1 Budget annuel'!$E$14:$E$43,COLUMN()-COLUMN($X$42)+1)="Mensuelle",DAY($L98)=MIN(DAY(INDEX('1 Budget annuel'!$L$14:$L$43,COLUMN()-COLUMN($X$42)+1)),DAY(EOMONTH($L98,0)))),AND(INDEX('1 Budget annuel'!$E$14:$E$43,COLUMN()-COLUMN($X$42)+1)="Trimestrielle",MOD((YEAR($L98)-YEAR(INDEX('1 Budget annuel'!$L$14:$L$43,COLUMN()-COLUMN($X$42)+1)))*12+MONTH($L98)-MONTH(INDEX('1 Budget annuel'!$L$14:$L$43,COLUMN()-COLUMN($X$42)+1)),3)=0,DAY($L98)=MIN(DAY(INDEX('1 Budget annuel'!$L$14:$L$43,COLUMN()-COLUMN($X$42)+1)),DAY(EOMONTH($L98,0)))),AND(INDEX('1 Budget annuel'!$E$14:$E$43,COLUMN()-COLUMN($X$42)+1)="Semestrielle",MOD((YEAR($L98)-YEAR(INDEX('1 Budget annuel'!$L$14:$L$43,COLUMN()-COLUMN($X$42)+1)))*12+MONTH($L98)-MONTH(INDEX('1 Budget annuel'!$L$14:$L$43,COLUMN()-COLUMN($X$42)+1)),6)=0,DAY($L98)=MIN(DAY(INDEX('1 Budget annuel'!$L$14:$L$43,COLUMN()-COLUMN($X$42)+1)),DAY(EOMONTH($L98,0)))),AND(INDEX('1 Budget annuel'!$E$14:$E$43,COLUMN()-COLUMN($X$42)+1)="Annuelle",MOD((YEAR($L98)-YEAR(INDEX('1 Budget annuel'!$L$14:$L$43,COLUMN()-COLUMN($X$42)+1)))*12+MONTH($L98)-MONTH(INDEX('1 Budget annuel'!$L$14:$L$43,COLUMN()-COLUMN($X$42)+1)),12)=0,DAY($L98)=MIN(DAY(INDEX('1 Budget annuel'!$L$14:$L$43,COLUMN()-COLUMN($X$42)+1)),DAY(EOMONTH($L98,0))))),IF(INDEX('1 Budget annuel'!$B$14:$B$43,COLUMN()-COLUMN($X$42)+1)="Entrée",INDEX('1 Budget annuel'!$I$14:$I$43,COLUMN()-COLUMN($X$42)+1),-INDEX('1 Budget annuel'!$I$14:$I$43,COLUMN()-COLUMN($X$42)+1)),0))</x:f>
        <x:v>0</x:v>
      </x:c>
    </x:row>
    <x:row r="99">
      <x:c r="L99" s="114" t="n">
        <x:f>L98+1</x:f>
        <x:v>46293</x:v>
      </x:c>
      <x:c r="M99" s="115" t="b">
        <x:f>AND(L99&gt;=$D$5,L99&lt;=$D$5+363,MOD(L99-$D$5,7)=0)</x:f>
        <x:v>0</x:v>
      </x:c>
      <x:c r="N99" s="116" t="n">
        <x:f>SUM(X99:BA99)</x:f>
        <x:v>0</x:v>
      </x:c>
      <x:c r="O99" s="116" t="n">
        <x:f>IF(M99,$D$10,0)</x:f>
        <x:v>0</x:v>
      </x:c>
      <x:c r="P99" s="116" t="n">
        <x:f>N99-O99</x:f>
        <x:v>0</x:v>
      </x:c>
      <x:c r="Q99" s="116" t="n">
        <x:f>IF(L99&lt;$D$5,0,IF(L99=$D$5,P99,Q98+P99))</x:f>
        <x:v>0</x:v>
      </x:c>
      <x:c r="R99" s="116" t="n">
        <x:f>IF(L99&lt;$D$5,"",$J$10+Q99)</x:f>
        <x:v>0</x:v>
      </x:c>
      <x:c r="S99" s="116" t="n">
        <x:f>IF($L99&lt;$D$5,"",IF($L99=$D$5,$J$10+$N99-IF($M99,IF(INT(($L99-$D$5)/7)&lt;$A$20,$B$20,$D$10),0),S98+$N99-IF($M99,IF(INT(($L99-$D$5)/7)&lt;$A$20,$B$20,$D$10),0)))</x:f>
        <x:v>0</x:v>
      </x:c>
      <x:c r="T99" s="116" t="n">
        <x:f>IF($L99&lt;$D$5,"",IF($L99=$D$5,$J$10+$N99-IF($M99,IF(INT(($L99-$D$5)/7)&lt;$A$21,$B$21,$D$10),0),T98+$N99-IF($M99,IF(INT(($L99-$D$5)/7)&lt;$A$21,$B$21,$D$10),0)))</x:f>
        <x:v>0</x:v>
      </x:c>
      <x:c r="U99" s="116" t="n">
        <x:f>IF($L99&lt;$D$5,"",IF($L99=$D$5,$J$10+$N99-IF($M99,IF(INT(($L99-$D$5)/7)&lt;$A$22,$B$22,$D$10),0),U98+$N99-IF($M99,IF(INT(($L99-$D$5)/7)&lt;$A$22,$B$22,$D$10),0)))</x:f>
        <x:v>0</x:v>
      </x:c>
      <x:c r="V99" s="116" t="n">
        <x:f>IF($L99&lt;$D$5,"",IF($L99=$D$5,$J$10+$N99-IF($M99,IF(INT(($L99-$D$5)/7)&lt;$A$23,$B$23,$D$10),0),V98+$N99-IF($M99,IF(INT(($L99-$D$5)/7)&lt;$A$23,$B$23,$D$10),0)))</x:f>
        <x:v>0</x:v>
      </x:c>
      <x:c r="W99" s="116" t="n">
        <x:f>IF($L99&lt;$D$5,"",IF($L99=$D$5,$J$10+$N99-IF($M99,IF(INT(($L99-$D$5)/7)&lt;$A$24,$B$24,$D$10),0),W98+$N99-IF($M99,IF(INT(($L99-$D$5)/7)&lt;$A$24,$B$24,$D$10),0)))</x:f>
        <x:v>0</x:v>
      </x:c>
      <x:c r="X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Y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Z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A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B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C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D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E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F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G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H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I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J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K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L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M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N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O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P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Q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R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S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T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U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V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W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X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Y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AZ99" s="116"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c r="BA99" s="117" t="n">
        <x:f>IF(OR(INDEX('1 Budget annuel'!$A$14:$A$43,COLUMN()-COLUMN($X$42)+1)&lt;&gt;"Oui",INDEX('1 Budget annuel'!$L$14:$L$43,COLUMN()-COLUMN($X$42)+1)="",AND(INDEX('1 Budget annuel'!$B$14:$B$43,COLUMN()-COLUMN($X$42)+1)="Sortie",INDEX('1 Budget annuel'!$M$14:$M$43,COLUMN()-COLUMN($X$42)+1)="Oui"),$L99&lt;INDEX('1 Budget annuel'!$L$14:$L$43,COLUMN()-COLUMN($X$42)+1),$L99&gt;$D$5+363),0,IF(OR(AND(INDEX('1 Budget annuel'!$E$14:$E$43,COLUMN()-COLUMN($X$42)+1)="Hebdomadaire",MOD($L99-INDEX('1 Budget annuel'!$L$14:$L$43,COLUMN()-COLUMN($X$42)+1),7)=0),AND(INDEX('1 Budget annuel'!$E$14:$E$43,COLUMN()-COLUMN($X$42)+1)="Toutes les 4 semaines",MOD($L99-INDEX('1 Budget annuel'!$L$14:$L$43,COLUMN()-COLUMN($X$42)+1),28)=0),AND(INDEX('1 Budget annuel'!$E$14:$E$43,COLUMN()-COLUMN($X$42)+1)="Mensuelle",DAY($L99)=MIN(DAY(INDEX('1 Budget annuel'!$L$14:$L$43,COLUMN()-COLUMN($X$42)+1)),DAY(EOMONTH($L99,0)))),AND(INDEX('1 Budget annuel'!$E$14:$E$43,COLUMN()-COLUMN($X$42)+1)="Trimestrielle",MOD((YEAR($L99)-YEAR(INDEX('1 Budget annuel'!$L$14:$L$43,COLUMN()-COLUMN($X$42)+1)))*12+MONTH($L99)-MONTH(INDEX('1 Budget annuel'!$L$14:$L$43,COLUMN()-COLUMN($X$42)+1)),3)=0,DAY($L99)=MIN(DAY(INDEX('1 Budget annuel'!$L$14:$L$43,COLUMN()-COLUMN($X$42)+1)),DAY(EOMONTH($L99,0)))),AND(INDEX('1 Budget annuel'!$E$14:$E$43,COLUMN()-COLUMN($X$42)+1)="Semestrielle",MOD((YEAR($L99)-YEAR(INDEX('1 Budget annuel'!$L$14:$L$43,COLUMN()-COLUMN($X$42)+1)))*12+MONTH($L99)-MONTH(INDEX('1 Budget annuel'!$L$14:$L$43,COLUMN()-COLUMN($X$42)+1)),6)=0,DAY($L99)=MIN(DAY(INDEX('1 Budget annuel'!$L$14:$L$43,COLUMN()-COLUMN($X$42)+1)),DAY(EOMONTH($L99,0)))),AND(INDEX('1 Budget annuel'!$E$14:$E$43,COLUMN()-COLUMN($X$42)+1)="Annuelle",MOD((YEAR($L99)-YEAR(INDEX('1 Budget annuel'!$L$14:$L$43,COLUMN()-COLUMN($X$42)+1)))*12+MONTH($L99)-MONTH(INDEX('1 Budget annuel'!$L$14:$L$43,COLUMN()-COLUMN($X$42)+1)),12)=0,DAY($L99)=MIN(DAY(INDEX('1 Budget annuel'!$L$14:$L$43,COLUMN()-COLUMN($X$42)+1)),DAY(EOMONTH($L99,0))))),IF(INDEX('1 Budget annuel'!$B$14:$B$43,COLUMN()-COLUMN($X$42)+1)="Entrée",INDEX('1 Budget annuel'!$I$14:$I$43,COLUMN()-COLUMN($X$42)+1),-INDEX('1 Budget annuel'!$I$14:$I$43,COLUMN()-COLUMN($X$42)+1)),0))</x:f>
        <x:v>0</x:v>
      </x:c>
    </x:row>
    <x:row r="100">
      <x:c r="L100" s="114" t="n">
        <x:f>L99+1</x:f>
        <x:v>46294</x:v>
      </x:c>
      <x:c r="M100" s="115" t="b">
        <x:f>AND(L100&gt;=$D$5,L100&lt;=$D$5+363,MOD(L100-$D$5,7)=0)</x:f>
        <x:v>0</x:v>
      </x:c>
      <x:c r="N100" s="116" t="n">
        <x:f>SUM(X100:BA100)</x:f>
        <x:v>0</x:v>
      </x:c>
      <x:c r="O100" s="116" t="n">
        <x:f>IF(M100,$D$10,0)</x:f>
        <x:v>0</x:v>
      </x:c>
      <x:c r="P100" s="116" t="n">
        <x:f>N100-O100</x:f>
        <x:v>0</x:v>
      </x:c>
      <x:c r="Q100" s="116" t="n">
        <x:f>IF(L100&lt;$D$5,0,IF(L100=$D$5,P100,Q99+P100))</x:f>
        <x:v>0</x:v>
      </x:c>
      <x:c r="R100" s="116" t="n">
        <x:f>IF(L100&lt;$D$5,"",$J$10+Q100)</x:f>
        <x:v>0</x:v>
      </x:c>
      <x:c r="S100" s="116" t="n">
        <x:f>IF($L100&lt;$D$5,"",IF($L100=$D$5,$J$10+$N100-IF($M100,IF(INT(($L100-$D$5)/7)&lt;$A$20,$B$20,$D$10),0),S99+$N100-IF($M100,IF(INT(($L100-$D$5)/7)&lt;$A$20,$B$20,$D$10),0)))</x:f>
        <x:v>0</x:v>
      </x:c>
      <x:c r="T100" s="116" t="n">
        <x:f>IF($L100&lt;$D$5,"",IF($L100=$D$5,$J$10+$N100-IF($M100,IF(INT(($L100-$D$5)/7)&lt;$A$21,$B$21,$D$10),0),T99+$N100-IF($M100,IF(INT(($L100-$D$5)/7)&lt;$A$21,$B$21,$D$10),0)))</x:f>
        <x:v>0</x:v>
      </x:c>
      <x:c r="U100" s="116" t="n">
        <x:f>IF($L100&lt;$D$5,"",IF($L100=$D$5,$J$10+$N100-IF($M100,IF(INT(($L100-$D$5)/7)&lt;$A$22,$B$22,$D$10),0),U99+$N100-IF($M100,IF(INT(($L100-$D$5)/7)&lt;$A$22,$B$22,$D$10),0)))</x:f>
        <x:v>0</x:v>
      </x:c>
      <x:c r="V100" s="116" t="n">
        <x:f>IF($L100&lt;$D$5,"",IF($L100=$D$5,$J$10+$N100-IF($M100,IF(INT(($L100-$D$5)/7)&lt;$A$23,$B$23,$D$10),0),V99+$N100-IF($M100,IF(INT(($L100-$D$5)/7)&lt;$A$23,$B$23,$D$10),0)))</x:f>
        <x:v>0</x:v>
      </x:c>
      <x:c r="W100" s="116" t="n">
        <x:f>IF($L100&lt;$D$5,"",IF($L100=$D$5,$J$10+$N100-IF($M100,IF(INT(($L100-$D$5)/7)&lt;$A$24,$B$24,$D$10),0),W99+$N100-IF($M100,IF(INT(($L100-$D$5)/7)&lt;$A$24,$B$24,$D$10),0)))</x:f>
        <x:v>0</x:v>
      </x:c>
      <x:c r="X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Y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Z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A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B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C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D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E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F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G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H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I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J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K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L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M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N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O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P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Q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R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S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T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U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V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W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X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Y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AZ100" s="116"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c r="BA100" s="117" t="n">
        <x:f>IF(OR(INDEX('1 Budget annuel'!$A$14:$A$43,COLUMN()-COLUMN($X$42)+1)&lt;&gt;"Oui",INDEX('1 Budget annuel'!$L$14:$L$43,COLUMN()-COLUMN($X$42)+1)="",AND(INDEX('1 Budget annuel'!$B$14:$B$43,COLUMN()-COLUMN($X$42)+1)="Sortie",INDEX('1 Budget annuel'!$M$14:$M$43,COLUMN()-COLUMN($X$42)+1)="Oui"),$L100&lt;INDEX('1 Budget annuel'!$L$14:$L$43,COLUMN()-COLUMN($X$42)+1),$L100&gt;$D$5+363),0,IF(OR(AND(INDEX('1 Budget annuel'!$E$14:$E$43,COLUMN()-COLUMN($X$42)+1)="Hebdomadaire",MOD($L100-INDEX('1 Budget annuel'!$L$14:$L$43,COLUMN()-COLUMN($X$42)+1),7)=0),AND(INDEX('1 Budget annuel'!$E$14:$E$43,COLUMN()-COLUMN($X$42)+1)="Toutes les 4 semaines",MOD($L100-INDEX('1 Budget annuel'!$L$14:$L$43,COLUMN()-COLUMN($X$42)+1),28)=0),AND(INDEX('1 Budget annuel'!$E$14:$E$43,COLUMN()-COLUMN($X$42)+1)="Mensuelle",DAY($L100)=MIN(DAY(INDEX('1 Budget annuel'!$L$14:$L$43,COLUMN()-COLUMN($X$42)+1)),DAY(EOMONTH($L100,0)))),AND(INDEX('1 Budget annuel'!$E$14:$E$43,COLUMN()-COLUMN($X$42)+1)="Trimestrielle",MOD((YEAR($L100)-YEAR(INDEX('1 Budget annuel'!$L$14:$L$43,COLUMN()-COLUMN($X$42)+1)))*12+MONTH($L100)-MONTH(INDEX('1 Budget annuel'!$L$14:$L$43,COLUMN()-COLUMN($X$42)+1)),3)=0,DAY($L100)=MIN(DAY(INDEX('1 Budget annuel'!$L$14:$L$43,COLUMN()-COLUMN($X$42)+1)),DAY(EOMONTH($L100,0)))),AND(INDEX('1 Budget annuel'!$E$14:$E$43,COLUMN()-COLUMN($X$42)+1)="Semestrielle",MOD((YEAR($L100)-YEAR(INDEX('1 Budget annuel'!$L$14:$L$43,COLUMN()-COLUMN($X$42)+1)))*12+MONTH($L100)-MONTH(INDEX('1 Budget annuel'!$L$14:$L$43,COLUMN()-COLUMN($X$42)+1)),6)=0,DAY($L100)=MIN(DAY(INDEX('1 Budget annuel'!$L$14:$L$43,COLUMN()-COLUMN($X$42)+1)),DAY(EOMONTH($L100,0)))),AND(INDEX('1 Budget annuel'!$E$14:$E$43,COLUMN()-COLUMN($X$42)+1)="Annuelle",MOD((YEAR($L100)-YEAR(INDEX('1 Budget annuel'!$L$14:$L$43,COLUMN()-COLUMN($X$42)+1)))*12+MONTH($L100)-MONTH(INDEX('1 Budget annuel'!$L$14:$L$43,COLUMN()-COLUMN($X$42)+1)),12)=0,DAY($L100)=MIN(DAY(INDEX('1 Budget annuel'!$L$14:$L$43,COLUMN()-COLUMN($X$42)+1)),DAY(EOMONTH($L100,0))))),IF(INDEX('1 Budget annuel'!$B$14:$B$43,COLUMN()-COLUMN($X$42)+1)="Entrée",INDEX('1 Budget annuel'!$I$14:$I$43,COLUMN()-COLUMN($X$42)+1),-INDEX('1 Budget annuel'!$I$14:$I$43,COLUMN()-COLUMN($X$42)+1)),0))</x:f>
        <x:v>0</x:v>
      </x:c>
    </x:row>
    <x:row r="101">
      <x:c r="L101" s="114" t="n">
        <x:f>L100+1</x:f>
        <x:v>46295</x:v>
      </x:c>
      <x:c r="M101" s="115" t="b">
        <x:f>AND(L101&gt;=$D$5,L101&lt;=$D$5+363,MOD(L101-$D$5,7)=0)</x:f>
        <x:v>0</x:v>
      </x:c>
      <x:c r="N101" s="116" t="n">
        <x:f>SUM(X101:BA101)</x:f>
        <x:v>0</x:v>
      </x:c>
      <x:c r="O101" s="116" t="n">
        <x:f>IF(M101,$D$10,0)</x:f>
        <x:v>0</x:v>
      </x:c>
      <x:c r="P101" s="116" t="n">
        <x:f>N101-O101</x:f>
        <x:v>0</x:v>
      </x:c>
      <x:c r="Q101" s="116" t="n">
        <x:f>IF(L101&lt;$D$5,0,IF(L101=$D$5,P101,Q100+P101))</x:f>
        <x:v>0</x:v>
      </x:c>
      <x:c r="R101" s="116" t="n">
        <x:f>IF(L101&lt;$D$5,"",$J$10+Q101)</x:f>
        <x:v>0</x:v>
      </x:c>
      <x:c r="S101" s="116" t="n">
        <x:f>IF($L101&lt;$D$5,"",IF($L101=$D$5,$J$10+$N101-IF($M101,IF(INT(($L101-$D$5)/7)&lt;$A$20,$B$20,$D$10),0),S100+$N101-IF($M101,IF(INT(($L101-$D$5)/7)&lt;$A$20,$B$20,$D$10),0)))</x:f>
        <x:v>0</x:v>
      </x:c>
      <x:c r="T101" s="116" t="n">
        <x:f>IF($L101&lt;$D$5,"",IF($L101=$D$5,$J$10+$N101-IF($M101,IF(INT(($L101-$D$5)/7)&lt;$A$21,$B$21,$D$10),0),T100+$N101-IF($M101,IF(INT(($L101-$D$5)/7)&lt;$A$21,$B$21,$D$10),0)))</x:f>
        <x:v>0</x:v>
      </x:c>
      <x:c r="U101" s="116" t="n">
        <x:f>IF($L101&lt;$D$5,"",IF($L101=$D$5,$J$10+$N101-IF($M101,IF(INT(($L101-$D$5)/7)&lt;$A$22,$B$22,$D$10),0),U100+$N101-IF($M101,IF(INT(($L101-$D$5)/7)&lt;$A$22,$B$22,$D$10),0)))</x:f>
        <x:v>0</x:v>
      </x:c>
      <x:c r="V101" s="116" t="n">
        <x:f>IF($L101&lt;$D$5,"",IF($L101=$D$5,$J$10+$N101-IF($M101,IF(INT(($L101-$D$5)/7)&lt;$A$23,$B$23,$D$10),0),V100+$N101-IF($M101,IF(INT(($L101-$D$5)/7)&lt;$A$23,$B$23,$D$10),0)))</x:f>
        <x:v>0</x:v>
      </x:c>
      <x:c r="W101" s="116" t="n">
        <x:f>IF($L101&lt;$D$5,"",IF($L101=$D$5,$J$10+$N101-IF($M101,IF(INT(($L101-$D$5)/7)&lt;$A$24,$B$24,$D$10),0),W100+$N101-IF($M101,IF(INT(($L101-$D$5)/7)&lt;$A$24,$B$24,$D$10),0)))</x:f>
        <x:v>0</x:v>
      </x:c>
      <x:c r="X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Y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Z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A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B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C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D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E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F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G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H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I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J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K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L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M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N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O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P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Q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R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S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T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U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V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W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X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Y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AZ101" s="116"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c r="BA101" s="117" t="n">
        <x:f>IF(OR(INDEX('1 Budget annuel'!$A$14:$A$43,COLUMN()-COLUMN($X$42)+1)&lt;&gt;"Oui",INDEX('1 Budget annuel'!$L$14:$L$43,COLUMN()-COLUMN($X$42)+1)="",AND(INDEX('1 Budget annuel'!$B$14:$B$43,COLUMN()-COLUMN($X$42)+1)="Sortie",INDEX('1 Budget annuel'!$M$14:$M$43,COLUMN()-COLUMN($X$42)+1)="Oui"),$L101&lt;INDEX('1 Budget annuel'!$L$14:$L$43,COLUMN()-COLUMN($X$42)+1),$L101&gt;$D$5+363),0,IF(OR(AND(INDEX('1 Budget annuel'!$E$14:$E$43,COLUMN()-COLUMN($X$42)+1)="Hebdomadaire",MOD($L101-INDEX('1 Budget annuel'!$L$14:$L$43,COLUMN()-COLUMN($X$42)+1),7)=0),AND(INDEX('1 Budget annuel'!$E$14:$E$43,COLUMN()-COLUMN($X$42)+1)="Toutes les 4 semaines",MOD($L101-INDEX('1 Budget annuel'!$L$14:$L$43,COLUMN()-COLUMN($X$42)+1),28)=0),AND(INDEX('1 Budget annuel'!$E$14:$E$43,COLUMN()-COLUMN($X$42)+1)="Mensuelle",DAY($L101)=MIN(DAY(INDEX('1 Budget annuel'!$L$14:$L$43,COLUMN()-COLUMN($X$42)+1)),DAY(EOMONTH($L101,0)))),AND(INDEX('1 Budget annuel'!$E$14:$E$43,COLUMN()-COLUMN($X$42)+1)="Trimestrielle",MOD((YEAR($L101)-YEAR(INDEX('1 Budget annuel'!$L$14:$L$43,COLUMN()-COLUMN($X$42)+1)))*12+MONTH($L101)-MONTH(INDEX('1 Budget annuel'!$L$14:$L$43,COLUMN()-COLUMN($X$42)+1)),3)=0,DAY($L101)=MIN(DAY(INDEX('1 Budget annuel'!$L$14:$L$43,COLUMN()-COLUMN($X$42)+1)),DAY(EOMONTH($L101,0)))),AND(INDEX('1 Budget annuel'!$E$14:$E$43,COLUMN()-COLUMN($X$42)+1)="Semestrielle",MOD((YEAR($L101)-YEAR(INDEX('1 Budget annuel'!$L$14:$L$43,COLUMN()-COLUMN($X$42)+1)))*12+MONTH($L101)-MONTH(INDEX('1 Budget annuel'!$L$14:$L$43,COLUMN()-COLUMN($X$42)+1)),6)=0,DAY($L101)=MIN(DAY(INDEX('1 Budget annuel'!$L$14:$L$43,COLUMN()-COLUMN($X$42)+1)),DAY(EOMONTH($L101,0)))),AND(INDEX('1 Budget annuel'!$E$14:$E$43,COLUMN()-COLUMN($X$42)+1)="Annuelle",MOD((YEAR($L101)-YEAR(INDEX('1 Budget annuel'!$L$14:$L$43,COLUMN()-COLUMN($X$42)+1)))*12+MONTH($L101)-MONTH(INDEX('1 Budget annuel'!$L$14:$L$43,COLUMN()-COLUMN($X$42)+1)),12)=0,DAY($L101)=MIN(DAY(INDEX('1 Budget annuel'!$L$14:$L$43,COLUMN()-COLUMN($X$42)+1)),DAY(EOMONTH($L101,0))))),IF(INDEX('1 Budget annuel'!$B$14:$B$43,COLUMN()-COLUMN($X$42)+1)="Entrée",INDEX('1 Budget annuel'!$I$14:$I$43,COLUMN()-COLUMN($X$42)+1),-INDEX('1 Budget annuel'!$I$14:$I$43,COLUMN()-COLUMN($X$42)+1)),0))</x:f>
        <x:v>0</x:v>
      </x:c>
    </x:row>
    <x:row r="102">
      <x:c r="L102" s="114" t="n">
        <x:f>L101+1</x:f>
        <x:v>46296</x:v>
      </x:c>
      <x:c r="M102" s="115" t="b">
        <x:f>AND(L102&gt;=$D$5,L102&lt;=$D$5+363,MOD(L102-$D$5,7)=0)</x:f>
        <x:v>0</x:v>
      </x:c>
      <x:c r="N102" s="116" t="n">
        <x:f>SUM(X102:BA102)</x:f>
        <x:v>0</x:v>
      </x:c>
      <x:c r="O102" s="116" t="n">
        <x:f>IF(M102,$D$10,0)</x:f>
        <x:v>0</x:v>
      </x:c>
      <x:c r="P102" s="116" t="n">
        <x:f>N102-O102</x:f>
        <x:v>0</x:v>
      </x:c>
      <x:c r="Q102" s="116" t="n">
        <x:f>IF(L102&lt;$D$5,0,IF(L102=$D$5,P102,Q101+P102))</x:f>
        <x:v>0</x:v>
      </x:c>
      <x:c r="R102" s="116" t="n">
        <x:f>IF(L102&lt;$D$5,"",$J$10+Q102)</x:f>
        <x:v>0</x:v>
      </x:c>
      <x:c r="S102" s="116" t="n">
        <x:f>IF($L102&lt;$D$5,"",IF($L102=$D$5,$J$10+$N102-IF($M102,IF(INT(($L102-$D$5)/7)&lt;$A$20,$B$20,$D$10),0),S101+$N102-IF($M102,IF(INT(($L102-$D$5)/7)&lt;$A$20,$B$20,$D$10),0)))</x:f>
        <x:v>0</x:v>
      </x:c>
      <x:c r="T102" s="116" t="n">
        <x:f>IF($L102&lt;$D$5,"",IF($L102=$D$5,$J$10+$N102-IF($M102,IF(INT(($L102-$D$5)/7)&lt;$A$21,$B$21,$D$10),0),T101+$N102-IF($M102,IF(INT(($L102-$D$5)/7)&lt;$A$21,$B$21,$D$10),0)))</x:f>
        <x:v>0</x:v>
      </x:c>
      <x:c r="U102" s="116" t="n">
        <x:f>IF($L102&lt;$D$5,"",IF($L102=$D$5,$J$10+$N102-IF($M102,IF(INT(($L102-$D$5)/7)&lt;$A$22,$B$22,$D$10),0),U101+$N102-IF($M102,IF(INT(($L102-$D$5)/7)&lt;$A$22,$B$22,$D$10),0)))</x:f>
        <x:v>0</x:v>
      </x:c>
      <x:c r="V102" s="116" t="n">
        <x:f>IF($L102&lt;$D$5,"",IF($L102=$D$5,$J$10+$N102-IF($M102,IF(INT(($L102-$D$5)/7)&lt;$A$23,$B$23,$D$10),0),V101+$N102-IF($M102,IF(INT(($L102-$D$5)/7)&lt;$A$23,$B$23,$D$10),0)))</x:f>
        <x:v>0</x:v>
      </x:c>
      <x:c r="W102" s="116" t="n">
        <x:f>IF($L102&lt;$D$5,"",IF($L102=$D$5,$J$10+$N102-IF($M102,IF(INT(($L102-$D$5)/7)&lt;$A$24,$B$24,$D$10),0),W101+$N102-IF($M102,IF(INT(($L102-$D$5)/7)&lt;$A$24,$B$24,$D$10),0)))</x:f>
        <x:v>0</x:v>
      </x:c>
      <x:c r="X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Y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Z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A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B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C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D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E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F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G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H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I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J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K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L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M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N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O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P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Q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R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S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T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U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V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W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X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Y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AZ102" s="116"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c r="BA102" s="117" t="n">
        <x:f>IF(OR(INDEX('1 Budget annuel'!$A$14:$A$43,COLUMN()-COLUMN($X$42)+1)&lt;&gt;"Oui",INDEX('1 Budget annuel'!$L$14:$L$43,COLUMN()-COLUMN($X$42)+1)="",AND(INDEX('1 Budget annuel'!$B$14:$B$43,COLUMN()-COLUMN($X$42)+1)="Sortie",INDEX('1 Budget annuel'!$M$14:$M$43,COLUMN()-COLUMN($X$42)+1)="Oui"),$L102&lt;INDEX('1 Budget annuel'!$L$14:$L$43,COLUMN()-COLUMN($X$42)+1),$L102&gt;$D$5+363),0,IF(OR(AND(INDEX('1 Budget annuel'!$E$14:$E$43,COLUMN()-COLUMN($X$42)+1)="Hebdomadaire",MOD($L102-INDEX('1 Budget annuel'!$L$14:$L$43,COLUMN()-COLUMN($X$42)+1),7)=0),AND(INDEX('1 Budget annuel'!$E$14:$E$43,COLUMN()-COLUMN($X$42)+1)="Toutes les 4 semaines",MOD($L102-INDEX('1 Budget annuel'!$L$14:$L$43,COLUMN()-COLUMN($X$42)+1),28)=0),AND(INDEX('1 Budget annuel'!$E$14:$E$43,COLUMN()-COLUMN($X$42)+1)="Mensuelle",DAY($L102)=MIN(DAY(INDEX('1 Budget annuel'!$L$14:$L$43,COLUMN()-COLUMN($X$42)+1)),DAY(EOMONTH($L102,0)))),AND(INDEX('1 Budget annuel'!$E$14:$E$43,COLUMN()-COLUMN($X$42)+1)="Trimestrielle",MOD((YEAR($L102)-YEAR(INDEX('1 Budget annuel'!$L$14:$L$43,COLUMN()-COLUMN($X$42)+1)))*12+MONTH($L102)-MONTH(INDEX('1 Budget annuel'!$L$14:$L$43,COLUMN()-COLUMN($X$42)+1)),3)=0,DAY($L102)=MIN(DAY(INDEX('1 Budget annuel'!$L$14:$L$43,COLUMN()-COLUMN($X$42)+1)),DAY(EOMONTH($L102,0)))),AND(INDEX('1 Budget annuel'!$E$14:$E$43,COLUMN()-COLUMN($X$42)+1)="Semestrielle",MOD((YEAR($L102)-YEAR(INDEX('1 Budget annuel'!$L$14:$L$43,COLUMN()-COLUMN($X$42)+1)))*12+MONTH($L102)-MONTH(INDEX('1 Budget annuel'!$L$14:$L$43,COLUMN()-COLUMN($X$42)+1)),6)=0,DAY($L102)=MIN(DAY(INDEX('1 Budget annuel'!$L$14:$L$43,COLUMN()-COLUMN($X$42)+1)),DAY(EOMONTH($L102,0)))),AND(INDEX('1 Budget annuel'!$E$14:$E$43,COLUMN()-COLUMN($X$42)+1)="Annuelle",MOD((YEAR($L102)-YEAR(INDEX('1 Budget annuel'!$L$14:$L$43,COLUMN()-COLUMN($X$42)+1)))*12+MONTH($L102)-MONTH(INDEX('1 Budget annuel'!$L$14:$L$43,COLUMN()-COLUMN($X$42)+1)),12)=0,DAY($L102)=MIN(DAY(INDEX('1 Budget annuel'!$L$14:$L$43,COLUMN()-COLUMN($X$42)+1)),DAY(EOMONTH($L102,0))))),IF(INDEX('1 Budget annuel'!$B$14:$B$43,COLUMN()-COLUMN($X$42)+1)="Entrée",INDEX('1 Budget annuel'!$I$14:$I$43,COLUMN()-COLUMN($X$42)+1),-INDEX('1 Budget annuel'!$I$14:$I$43,COLUMN()-COLUMN($X$42)+1)),0))</x:f>
        <x:v>0</x:v>
      </x:c>
    </x:row>
    <x:row r="103">
      <x:c r="L103" s="114" t="n">
        <x:f>L102+1</x:f>
        <x:v>46297</x:v>
      </x:c>
      <x:c r="M103" s="115" t="b">
        <x:f>AND(L103&gt;=$D$5,L103&lt;=$D$5+363,MOD(L103-$D$5,7)=0)</x:f>
        <x:v>0</x:v>
      </x:c>
      <x:c r="N103" s="116" t="n">
        <x:f>SUM(X103:BA103)</x:f>
        <x:v>0</x:v>
      </x:c>
      <x:c r="O103" s="116" t="n">
        <x:f>IF(M103,$D$10,0)</x:f>
        <x:v>0</x:v>
      </x:c>
      <x:c r="P103" s="116" t="n">
        <x:f>N103-O103</x:f>
        <x:v>0</x:v>
      </x:c>
      <x:c r="Q103" s="116" t="n">
        <x:f>IF(L103&lt;$D$5,0,IF(L103=$D$5,P103,Q102+P103))</x:f>
        <x:v>0</x:v>
      </x:c>
      <x:c r="R103" s="116" t="n">
        <x:f>IF(L103&lt;$D$5,"",$J$10+Q103)</x:f>
        <x:v>0</x:v>
      </x:c>
      <x:c r="S103" s="116" t="n">
        <x:f>IF($L103&lt;$D$5,"",IF($L103=$D$5,$J$10+$N103-IF($M103,IF(INT(($L103-$D$5)/7)&lt;$A$20,$B$20,$D$10),0),S102+$N103-IF($M103,IF(INT(($L103-$D$5)/7)&lt;$A$20,$B$20,$D$10),0)))</x:f>
        <x:v>0</x:v>
      </x:c>
      <x:c r="T103" s="116" t="n">
        <x:f>IF($L103&lt;$D$5,"",IF($L103=$D$5,$J$10+$N103-IF($M103,IF(INT(($L103-$D$5)/7)&lt;$A$21,$B$21,$D$10),0),T102+$N103-IF($M103,IF(INT(($L103-$D$5)/7)&lt;$A$21,$B$21,$D$10),0)))</x:f>
        <x:v>0</x:v>
      </x:c>
      <x:c r="U103" s="116" t="n">
        <x:f>IF($L103&lt;$D$5,"",IF($L103=$D$5,$J$10+$N103-IF($M103,IF(INT(($L103-$D$5)/7)&lt;$A$22,$B$22,$D$10),0),U102+$N103-IF($M103,IF(INT(($L103-$D$5)/7)&lt;$A$22,$B$22,$D$10),0)))</x:f>
        <x:v>0</x:v>
      </x:c>
      <x:c r="V103" s="116" t="n">
        <x:f>IF($L103&lt;$D$5,"",IF($L103=$D$5,$J$10+$N103-IF($M103,IF(INT(($L103-$D$5)/7)&lt;$A$23,$B$23,$D$10),0),V102+$N103-IF($M103,IF(INT(($L103-$D$5)/7)&lt;$A$23,$B$23,$D$10),0)))</x:f>
        <x:v>0</x:v>
      </x:c>
      <x:c r="W103" s="116" t="n">
        <x:f>IF($L103&lt;$D$5,"",IF($L103=$D$5,$J$10+$N103-IF($M103,IF(INT(($L103-$D$5)/7)&lt;$A$24,$B$24,$D$10),0),W102+$N103-IF($M103,IF(INT(($L103-$D$5)/7)&lt;$A$24,$B$24,$D$10),0)))</x:f>
        <x:v>0</x:v>
      </x:c>
      <x:c r="X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Y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Z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A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B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C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D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E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F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G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H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I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J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K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L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M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N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O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P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Q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R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S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T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U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V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W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X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Y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AZ103" s="116"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c r="BA103" s="117" t="n">
        <x:f>IF(OR(INDEX('1 Budget annuel'!$A$14:$A$43,COLUMN()-COLUMN($X$42)+1)&lt;&gt;"Oui",INDEX('1 Budget annuel'!$L$14:$L$43,COLUMN()-COLUMN($X$42)+1)="",AND(INDEX('1 Budget annuel'!$B$14:$B$43,COLUMN()-COLUMN($X$42)+1)="Sortie",INDEX('1 Budget annuel'!$M$14:$M$43,COLUMN()-COLUMN($X$42)+1)="Oui"),$L103&lt;INDEX('1 Budget annuel'!$L$14:$L$43,COLUMN()-COLUMN($X$42)+1),$L103&gt;$D$5+363),0,IF(OR(AND(INDEX('1 Budget annuel'!$E$14:$E$43,COLUMN()-COLUMN($X$42)+1)="Hebdomadaire",MOD($L103-INDEX('1 Budget annuel'!$L$14:$L$43,COLUMN()-COLUMN($X$42)+1),7)=0),AND(INDEX('1 Budget annuel'!$E$14:$E$43,COLUMN()-COLUMN($X$42)+1)="Toutes les 4 semaines",MOD($L103-INDEX('1 Budget annuel'!$L$14:$L$43,COLUMN()-COLUMN($X$42)+1),28)=0),AND(INDEX('1 Budget annuel'!$E$14:$E$43,COLUMN()-COLUMN($X$42)+1)="Mensuelle",DAY($L103)=MIN(DAY(INDEX('1 Budget annuel'!$L$14:$L$43,COLUMN()-COLUMN($X$42)+1)),DAY(EOMONTH($L103,0)))),AND(INDEX('1 Budget annuel'!$E$14:$E$43,COLUMN()-COLUMN($X$42)+1)="Trimestrielle",MOD((YEAR($L103)-YEAR(INDEX('1 Budget annuel'!$L$14:$L$43,COLUMN()-COLUMN($X$42)+1)))*12+MONTH($L103)-MONTH(INDEX('1 Budget annuel'!$L$14:$L$43,COLUMN()-COLUMN($X$42)+1)),3)=0,DAY($L103)=MIN(DAY(INDEX('1 Budget annuel'!$L$14:$L$43,COLUMN()-COLUMN($X$42)+1)),DAY(EOMONTH($L103,0)))),AND(INDEX('1 Budget annuel'!$E$14:$E$43,COLUMN()-COLUMN($X$42)+1)="Semestrielle",MOD((YEAR($L103)-YEAR(INDEX('1 Budget annuel'!$L$14:$L$43,COLUMN()-COLUMN($X$42)+1)))*12+MONTH($L103)-MONTH(INDEX('1 Budget annuel'!$L$14:$L$43,COLUMN()-COLUMN($X$42)+1)),6)=0,DAY($L103)=MIN(DAY(INDEX('1 Budget annuel'!$L$14:$L$43,COLUMN()-COLUMN($X$42)+1)),DAY(EOMONTH($L103,0)))),AND(INDEX('1 Budget annuel'!$E$14:$E$43,COLUMN()-COLUMN($X$42)+1)="Annuelle",MOD((YEAR($L103)-YEAR(INDEX('1 Budget annuel'!$L$14:$L$43,COLUMN()-COLUMN($X$42)+1)))*12+MONTH($L103)-MONTH(INDEX('1 Budget annuel'!$L$14:$L$43,COLUMN()-COLUMN($X$42)+1)),12)=0,DAY($L103)=MIN(DAY(INDEX('1 Budget annuel'!$L$14:$L$43,COLUMN()-COLUMN($X$42)+1)),DAY(EOMONTH($L103,0))))),IF(INDEX('1 Budget annuel'!$B$14:$B$43,COLUMN()-COLUMN($X$42)+1)="Entrée",INDEX('1 Budget annuel'!$I$14:$I$43,COLUMN()-COLUMN($X$42)+1),-INDEX('1 Budget annuel'!$I$14:$I$43,COLUMN()-COLUMN($X$42)+1)),0))</x:f>
        <x:v>0</x:v>
      </x:c>
    </x:row>
    <x:row r="104">
      <x:c r="L104" s="114" t="n">
        <x:f>L103+1</x:f>
        <x:v>46298</x:v>
      </x:c>
      <x:c r="M104" s="115" t="b">
        <x:f>AND(L104&gt;=$D$5,L104&lt;=$D$5+363,MOD(L104-$D$5,7)=0)</x:f>
        <x:v>1</x:v>
      </x:c>
      <x:c r="N104" s="116" t="n">
        <x:f>SUM(X104:BA104)</x:f>
        <x:v>0</x:v>
      </x:c>
      <x:c r="O104" s="116" t="n">
        <x:f>IF(M104,$D$10,0)</x:f>
        <x:v>0</x:v>
      </x:c>
      <x:c r="P104" s="116" t="n">
        <x:f>N104-O104</x:f>
        <x:v>0</x:v>
      </x:c>
      <x:c r="Q104" s="116" t="n">
        <x:f>IF(L104&lt;$D$5,0,IF(L104=$D$5,P104,Q103+P104))</x:f>
        <x:v>0</x:v>
      </x:c>
      <x:c r="R104" s="116" t="n">
        <x:f>IF(L104&lt;$D$5,"",$J$10+Q104)</x:f>
        <x:v>0</x:v>
      </x:c>
      <x:c r="S104" s="116" t="n">
        <x:f>IF($L104&lt;$D$5,"",IF($L104=$D$5,$J$10+$N104-IF($M104,IF(INT(($L104-$D$5)/7)&lt;$A$20,$B$20,$D$10),0),S103+$N104-IF($M104,IF(INT(($L104-$D$5)/7)&lt;$A$20,$B$20,$D$10),0)))</x:f>
        <x:v>0</x:v>
      </x:c>
      <x:c r="T104" s="116" t="n">
        <x:f>IF($L104&lt;$D$5,"",IF($L104=$D$5,$J$10+$N104-IF($M104,IF(INT(($L104-$D$5)/7)&lt;$A$21,$B$21,$D$10),0),T103+$N104-IF($M104,IF(INT(($L104-$D$5)/7)&lt;$A$21,$B$21,$D$10),0)))</x:f>
        <x:v>0</x:v>
      </x:c>
      <x:c r="U104" s="116" t="n">
        <x:f>IF($L104&lt;$D$5,"",IF($L104=$D$5,$J$10+$N104-IF($M104,IF(INT(($L104-$D$5)/7)&lt;$A$22,$B$22,$D$10),0),U103+$N104-IF($M104,IF(INT(($L104-$D$5)/7)&lt;$A$22,$B$22,$D$10),0)))</x:f>
        <x:v>0</x:v>
      </x:c>
      <x:c r="V104" s="116" t="n">
        <x:f>IF($L104&lt;$D$5,"",IF($L104=$D$5,$J$10+$N104-IF($M104,IF(INT(($L104-$D$5)/7)&lt;$A$23,$B$23,$D$10),0),V103+$N104-IF($M104,IF(INT(($L104-$D$5)/7)&lt;$A$23,$B$23,$D$10),0)))</x:f>
        <x:v>0</x:v>
      </x:c>
      <x:c r="W104" s="116" t="n">
        <x:f>IF($L104&lt;$D$5,"",IF($L104=$D$5,$J$10+$N104-IF($M104,IF(INT(($L104-$D$5)/7)&lt;$A$24,$B$24,$D$10),0),W103+$N104-IF($M104,IF(INT(($L104-$D$5)/7)&lt;$A$24,$B$24,$D$10),0)))</x:f>
        <x:v>0</x:v>
      </x:c>
      <x:c r="X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Y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Z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A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B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C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D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E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F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G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H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I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J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K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L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M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N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O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P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Q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R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S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T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U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V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W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X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Y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AZ104" s="116"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c r="BA104" s="117" t="n">
        <x:f>IF(OR(INDEX('1 Budget annuel'!$A$14:$A$43,COLUMN()-COLUMN($X$42)+1)&lt;&gt;"Oui",INDEX('1 Budget annuel'!$L$14:$L$43,COLUMN()-COLUMN($X$42)+1)="",AND(INDEX('1 Budget annuel'!$B$14:$B$43,COLUMN()-COLUMN($X$42)+1)="Sortie",INDEX('1 Budget annuel'!$M$14:$M$43,COLUMN()-COLUMN($X$42)+1)="Oui"),$L104&lt;INDEX('1 Budget annuel'!$L$14:$L$43,COLUMN()-COLUMN($X$42)+1),$L104&gt;$D$5+363),0,IF(OR(AND(INDEX('1 Budget annuel'!$E$14:$E$43,COLUMN()-COLUMN($X$42)+1)="Hebdomadaire",MOD($L104-INDEX('1 Budget annuel'!$L$14:$L$43,COLUMN()-COLUMN($X$42)+1),7)=0),AND(INDEX('1 Budget annuel'!$E$14:$E$43,COLUMN()-COLUMN($X$42)+1)="Toutes les 4 semaines",MOD($L104-INDEX('1 Budget annuel'!$L$14:$L$43,COLUMN()-COLUMN($X$42)+1),28)=0),AND(INDEX('1 Budget annuel'!$E$14:$E$43,COLUMN()-COLUMN($X$42)+1)="Mensuelle",DAY($L104)=MIN(DAY(INDEX('1 Budget annuel'!$L$14:$L$43,COLUMN()-COLUMN($X$42)+1)),DAY(EOMONTH($L104,0)))),AND(INDEX('1 Budget annuel'!$E$14:$E$43,COLUMN()-COLUMN($X$42)+1)="Trimestrielle",MOD((YEAR($L104)-YEAR(INDEX('1 Budget annuel'!$L$14:$L$43,COLUMN()-COLUMN($X$42)+1)))*12+MONTH($L104)-MONTH(INDEX('1 Budget annuel'!$L$14:$L$43,COLUMN()-COLUMN($X$42)+1)),3)=0,DAY($L104)=MIN(DAY(INDEX('1 Budget annuel'!$L$14:$L$43,COLUMN()-COLUMN($X$42)+1)),DAY(EOMONTH($L104,0)))),AND(INDEX('1 Budget annuel'!$E$14:$E$43,COLUMN()-COLUMN($X$42)+1)="Semestrielle",MOD((YEAR($L104)-YEAR(INDEX('1 Budget annuel'!$L$14:$L$43,COLUMN()-COLUMN($X$42)+1)))*12+MONTH($L104)-MONTH(INDEX('1 Budget annuel'!$L$14:$L$43,COLUMN()-COLUMN($X$42)+1)),6)=0,DAY($L104)=MIN(DAY(INDEX('1 Budget annuel'!$L$14:$L$43,COLUMN()-COLUMN($X$42)+1)),DAY(EOMONTH($L104,0)))),AND(INDEX('1 Budget annuel'!$E$14:$E$43,COLUMN()-COLUMN($X$42)+1)="Annuelle",MOD((YEAR($L104)-YEAR(INDEX('1 Budget annuel'!$L$14:$L$43,COLUMN()-COLUMN($X$42)+1)))*12+MONTH($L104)-MONTH(INDEX('1 Budget annuel'!$L$14:$L$43,COLUMN()-COLUMN($X$42)+1)),12)=0,DAY($L104)=MIN(DAY(INDEX('1 Budget annuel'!$L$14:$L$43,COLUMN()-COLUMN($X$42)+1)),DAY(EOMONTH($L104,0))))),IF(INDEX('1 Budget annuel'!$B$14:$B$43,COLUMN()-COLUMN($X$42)+1)="Entrée",INDEX('1 Budget annuel'!$I$14:$I$43,COLUMN()-COLUMN($X$42)+1),-INDEX('1 Budget annuel'!$I$14:$I$43,COLUMN()-COLUMN($X$42)+1)),0))</x:f>
        <x:v>0</x:v>
      </x:c>
    </x:row>
    <x:row r="105">
      <x:c r="L105" s="114" t="n">
        <x:f>L104+1</x:f>
        <x:v>46299</x:v>
      </x:c>
      <x:c r="M105" s="115" t="b">
        <x:f>AND(L105&gt;=$D$5,L105&lt;=$D$5+363,MOD(L105-$D$5,7)=0)</x:f>
        <x:v>0</x:v>
      </x:c>
      <x:c r="N105" s="116" t="n">
        <x:f>SUM(X105:BA105)</x:f>
        <x:v>0</x:v>
      </x:c>
      <x:c r="O105" s="116" t="n">
        <x:f>IF(M105,$D$10,0)</x:f>
        <x:v>0</x:v>
      </x:c>
      <x:c r="P105" s="116" t="n">
        <x:f>N105-O105</x:f>
        <x:v>0</x:v>
      </x:c>
      <x:c r="Q105" s="116" t="n">
        <x:f>IF(L105&lt;$D$5,0,IF(L105=$D$5,P105,Q104+P105))</x:f>
        <x:v>0</x:v>
      </x:c>
      <x:c r="R105" s="116" t="n">
        <x:f>IF(L105&lt;$D$5,"",$J$10+Q105)</x:f>
        <x:v>0</x:v>
      </x:c>
      <x:c r="S105" s="116" t="n">
        <x:f>IF($L105&lt;$D$5,"",IF($L105=$D$5,$J$10+$N105-IF($M105,IF(INT(($L105-$D$5)/7)&lt;$A$20,$B$20,$D$10),0),S104+$N105-IF($M105,IF(INT(($L105-$D$5)/7)&lt;$A$20,$B$20,$D$10),0)))</x:f>
        <x:v>0</x:v>
      </x:c>
      <x:c r="T105" s="116" t="n">
        <x:f>IF($L105&lt;$D$5,"",IF($L105=$D$5,$J$10+$N105-IF($M105,IF(INT(($L105-$D$5)/7)&lt;$A$21,$B$21,$D$10),0),T104+$N105-IF($M105,IF(INT(($L105-$D$5)/7)&lt;$A$21,$B$21,$D$10),0)))</x:f>
        <x:v>0</x:v>
      </x:c>
      <x:c r="U105" s="116" t="n">
        <x:f>IF($L105&lt;$D$5,"",IF($L105=$D$5,$J$10+$N105-IF($M105,IF(INT(($L105-$D$5)/7)&lt;$A$22,$B$22,$D$10),0),U104+$N105-IF($M105,IF(INT(($L105-$D$5)/7)&lt;$A$22,$B$22,$D$10),0)))</x:f>
        <x:v>0</x:v>
      </x:c>
      <x:c r="V105" s="116" t="n">
        <x:f>IF($L105&lt;$D$5,"",IF($L105=$D$5,$J$10+$N105-IF($M105,IF(INT(($L105-$D$5)/7)&lt;$A$23,$B$23,$D$10),0),V104+$N105-IF($M105,IF(INT(($L105-$D$5)/7)&lt;$A$23,$B$23,$D$10),0)))</x:f>
        <x:v>0</x:v>
      </x:c>
      <x:c r="W105" s="116" t="n">
        <x:f>IF($L105&lt;$D$5,"",IF($L105=$D$5,$J$10+$N105-IF($M105,IF(INT(($L105-$D$5)/7)&lt;$A$24,$B$24,$D$10),0),W104+$N105-IF($M105,IF(INT(($L105-$D$5)/7)&lt;$A$24,$B$24,$D$10),0)))</x:f>
        <x:v>0</x:v>
      </x:c>
      <x:c r="X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Y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Z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A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B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C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D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E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F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G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H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I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J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K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L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M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N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O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P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Q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R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S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T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U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V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W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X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Y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AZ105" s="116"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c r="BA105" s="117" t="n">
        <x:f>IF(OR(INDEX('1 Budget annuel'!$A$14:$A$43,COLUMN()-COLUMN($X$42)+1)&lt;&gt;"Oui",INDEX('1 Budget annuel'!$L$14:$L$43,COLUMN()-COLUMN($X$42)+1)="",AND(INDEX('1 Budget annuel'!$B$14:$B$43,COLUMN()-COLUMN($X$42)+1)="Sortie",INDEX('1 Budget annuel'!$M$14:$M$43,COLUMN()-COLUMN($X$42)+1)="Oui"),$L105&lt;INDEX('1 Budget annuel'!$L$14:$L$43,COLUMN()-COLUMN($X$42)+1),$L105&gt;$D$5+363),0,IF(OR(AND(INDEX('1 Budget annuel'!$E$14:$E$43,COLUMN()-COLUMN($X$42)+1)="Hebdomadaire",MOD($L105-INDEX('1 Budget annuel'!$L$14:$L$43,COLUMN()-COLUMN($X$42)+1),7)=0),AND(INDEX('1 Budget annuel'!$E$14:$E$43,COLUMN()-COLUMN($X$42)+1)="Toutes les 4 semaines",MOD($L105-INDEX('1 Budget annuel'!$L$14:$L$43,COLUMN()-COLUMN($X$42)+1),28)=0),AND(INDEX('1 Budget annuel'!$E$14:$E$43,COLUMN()-COLUMN($X$42)+1)="Mensuelle",DAY($L105)=MIN(DAY(INDEX('1 Budget annuel'!$L$14:$L$43,COLUMN()-COLUMN($X$42)+1)),DAY(EOMONTH($L105,0)))),AND(INDEX('1 Budget annuel'!$E$14:$E$43,COLUMN()-COLUMN($X$42)+1)="Trimestrielle",MOD((YEAR($L105)-YEAR(INDEX('1 Budget annuel'!$L$14:$L$43,COLUMN()-COLUMN($X$42)+1)))*12+MONTH($L105)-MONTH(INDEX('1 Budget annuel'!$L$14:$L$43,COLUMN()-COLUMN($X$42)+1)),3)=0,DAY($L105)=MIN(DAY(INDEX('1 Budget annuel'!$L$14:$L$43,COLUMN()-COLUMN($X$42)+1)),DAY(EOMONTH($L105,0)))),AND(INDEX('1 Budget annuel'!$E$14:$E$43,COLUMN()-COLUMN($X$42)+1)="Semestrielle",MOD((YEAR($L105)-YEAR(INDEX('1 Budget annuel'!$L$14:$L$43,COLUMN()-COLUMN($X$42)+1)))*12+MONTH($L105)-MONTH(INDEX('1 Budget annuel'!$L$14:$L$43,COLUMN()-COLUMN($X$42)+1)),6)=0,DAY($L105)=MIN(DAY(INDEX('1 Budget annuel'!$L$14:$L$43,COLUMN()-COLUMN($X$42)+1)),DAY(EOMONTH($L105,0)))),AND(INDEX('1 Budget annuel'!$E$14:$E$43,COLUMN()-COLUMN($X$42)+1)="Annuelle",MOD((YEAR($L105)-YEAR(INDEX('1 Budget annuel'!$L$14:$L$43,COLUMN()-COLUMN($X$42)+1)))*12+MONTH($L105)-MONTH(INDEX('1 Budget annuel'!$L$14:$L$43,COLUMN()-COLUMN($X$42)+1)),12)=0,DAY($L105)=MIN(DAY(INDEX('1 Budget annuel'!$L$14:$L$43,COLUMN()-COLUMN($X$42)+1)),DAY(EOMONTH($L105,0))))),IF(INDEX('1 Budget annuel'!$B$14:$B$43,COLUMN()-COLUMN($X$42)+1)="Entrée",INDEX('1 Budget annuel'!$I$14:$I$43,COLUMN()-COLUMN($X$42)+1),-INDEX('1 Budget annuel'!$I$14:$I$43,COLUMN()-COLUMN($X$42)+1)),0))</x:f>
        <x:v>0</x:v>
      </x:c>
    </x:row>
    <x:row r="106">
      <x:c r="L106" s="114" t="n">
        <x:f>L105+1</x:f>
        <x:v>46300</x:v>
      </x:c>
      <x:c r="M106" s="115" t="b">
        <x:f>AND(L106&gt;=$D$5,L106&lt;=$D$5+363,MOD(L106-$D$5,7)=0)</x:f>
        <x:v>0</x:v>
      </x:c>
      <x:c r="N106" s="116" t="n">
        <x:f>SUM(X106:BA106)</x:f>
        <x:v>0</x:v>
      </x:c>
      <x:c r="O106" s="116" t="n">
        <x:f>IF(M106,$D$10,0)</x:f>
        <x:v>0</x:v>
      </x:c>
      <x:c r="P106" s="116" t="n">
        <x:f>N106-O106</x:f>
        <x:v>0</x:v>
      </x:c>
      <x:c r="Q106" s="116" t="n">
        <x:f>IF(L106&lt;$D$5,0,IF(L106=$D$5,P106,Q105+P106))</x:f>
        <x:v>0</x:v>
      </x:c>
      <x:c r="R106" s="116" t="n">
        <x:f>IF(L106&lt;$D$5,"",$J$10+Q106)</x:f>
        <x:v>0</x:v>
      </x:c>
      <x:c r="S106" s="116" t="n">
        <x:f>IF($L106&lt;$D$5,"",IF($L106=$D$5,$J$10+$N106-IF($M106,IF(INT(($L106-$D$5)/7)&lt;$A$20,$B$20,$D$10),0),S105+$N106-IF($M106,IF(INT(($L106-$D$5)/7)&lt;$A$20,$B$20,$D$10),0)))</x:f>
        <x:v>0</x:v>
      </x:c>
      <x:c r="T106" s="116" t="n">
        <x:f>IF($L106&lt;$D$5,"",IF($L106=$D$5,$J$10+$N106-IF($M106,IF(INT(($L106-$D$5)/7)&lt;$A$21,$B$21,$D$10),0),T105+$N106-IF($M106,IF(INT(($L106-$D$5)/7)&lt;$A$21,$B$21,$D$10),0)))</x:f>
        <x:v>0</x:v>
      </x:c>
      <x:c r="U106" s="116" t="n">
        <x:f>IF($L106&lt;$D$5,"",IF($L106=$D$5,$J$10+$N106-IF($M106,IF(INT(($L106-$D$5)/7)&lt;$A$22,$B$22,$D$10),0),U105+$N106-IF($M106,IF(INT(($L106-$D$5)/7)&lt;$A$22,$B$22,$D$10),0)))</x:f>
        <x:v>0</x:v>
      </x:c>
      <x:c r="V106" s="116" t="n">
        <x:f>IF($L106&lt;$D$5,"",IF($L106=$D$5,$J$10+$N106-IF($M106,IF(INT(($L106-$D$5)/7)&lt;$A$23,$B$23,$D$10),0),V105+$N106-IF($M106,IF(INT(($L106-$D$5)/7)&lt;$A$23,$B$23,$D$10),0)))</x:f>
        <x:v>0</x:v>
      </x:c>
      <x:c r="W106" s="116" t="n">
        <x:f>IF($L106&lt;$D$5,"",IF($L106=$D$5,$J$10+$N106-IF($M106,IF(INT(($L106-$D$5)/7)&lt;$A$24,$B$24,$D$10),0),W105+$N106-IF($M106,IF(INT(($L106-$D$5)/7)&lt;$A$24,$B$24,$D$10),0)))</x:f>
        <x:v>0</x:v>
      </x:c>
      <x:c r="X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Y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Z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A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B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C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D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E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F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G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H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I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J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K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L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M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N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O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P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Q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R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S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T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U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V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W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X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Y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AZ106" s="116"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c r="BA106" s="117" t="n">
        <x:f>IF(OR(INDEX('1 Budget annuel'!$A$14:$A$43,COLUMN()-COLUMN($X$42)+1)&lt;&gt;"Oui",INDEX('1 Budget annuel'!$L$14:$L$43,COLUMN()-COLUMN($X$42)+1)="",AND(INDEX('1 Budget annuel'!$B$14:$B$43,COLUMN()-COLUMN($X$42)+1)="Sortie",INDEX('1 Budget annuel'!$M$14:$M$43,COLUMN()-COLUMN($X$42)+1)="Oui"),$L106&lt;INDEX('1 Budget annuel'!$L$14:$L$43,COLUMN()-COLUMN($X$42)+1),$L106&gt;$D$5+363),0,IF(OR(AND(INDEX('1 Budget annuel'!$E$14:$E$43,COLUMN()-COLUMN($X$42)+1)="Hebdomadaire",MOD($L106-INDEX('1 Budget annuel'!$L$14:$L$43,COLUMN()-COLUMN($X$42)+1),7)=0),AND(INDEX('1 Budget annuel'!$E$14:$E$43,COLUMN()-COLUMN($X$42)+1)="Toutes les 4 semaines",MOD($L106-INDEX('1 Budget annuel'!$L$14:$L$43,COLUMN()-COLUMN($X$42)+1),28)=0),AND(INDEX('1 Budget annuel'!$E$14:$E$43,COLUMN()-COLUMN($X$42)+1)="Mensuelle",DAY($L106)=MIN(DAY(INDEX('1 Budget annuel'!$L$14:$L$43,COLUMN()-COLUMN($X$42)+1)),DAY(EOMONTH($L106,0)))),AND(INDEX('1 Budget annuel'!$E$14:$E$43,COLUMN()-COLUMN($X$42)+1)="Trimestrielle",MOD((YEAR($L106)-YEAR(INDEX('1 Budget annuel'!$L$14:$L$43,COLUMN()-COLUMN($X$42)+1)))*12+MONTH($L106)-MONTH(INDEX('1 Budget annuel'!$L$14:$L$43,COLUMN()-COLUMN($X$42)+1)),3)=0,DAY($L106)=MIN(DAY(INDEX('1 Budget annuel'!$L$14:$L$43,COLUMN()-COLUMN($X$42)+1)),DAY(EOMONTH($L106,0)))),AND(INDEX('1 Budget annuel'!$E$14:$E$43,COLUMN()-COLUMN($X$42)+1)="Semestrielle",MOD((YEAR($L106)-YEAR(INDEX('1 Budget annuel'!$L$14:$L$43,COLUMN()-COLUMN($X$42)+1)))*12+MONTH($L106)-MONTH(INDEX('1 Budget annuel'!$L$14:$L$43,COLUMN()-COLUMN($X$42)+1)),6)=0,DAY($L106)=MIN(DAY(INDEX('1 Budget annuel'!$L$14:$L$43,COLUMN()-COLUMN($X$42)+1)),DAY(EOMONTH($L106,0)))),AND(INDEX('1 Budget annuel'!$E$14:$E$43,COLUMN()-COLUMN($X$42)+1)="Annuelle",MOD((YEAR($L106)-YEAR(INDEX('1 Budget annuel'!$L$14:$L$43,COLUMN()-COLUMN($X$42)+1)))*12+MONTH($L106)-MONTH(INDEX('1 Budget annuel'!$L$14:$L$43,COLUMN()-COLUMN($X$42)+1)),12)=0,DAY($L106)=MIN(DAY(INDEX('1 Budget annuel'!$L$14:$L$43,COLUMN()-COLUMN($X$42)+1)),DAY(EOMONTH($L106,0))))),IF(INDEX('1 Budget annuel'!$B$14:$B$43,COLUMN()-COLUMN($X$42)+1)="Entrée",INDEX('1 Budget annuel'!$I$14:$I$43,COLUMN()-COLUMN($X$42)+1),-INDEX('1 Budget annuel'!$I$14:$I$43,COLUMN()-COLUMN($X$42)+1)),0))</x:f>
        <x:v>0</x:v>
      </x:c>
    </x:row>
    <x:row r="107">
      <x:c r="L107" s="114" t="n">
        <x:f>L106+1</x:f>
        <x:v>46301</x:v>
      </x:c>
      <x:c r="M107" s="115" t="b">
        <x:f>AND(L107&gt;=$D$5,L107&lt;=$D$5+363,MOD(L107-$D$5,7)=0)</x:f>
        <x:v>0</x:v>
      </x:c>
      <x:c r="N107" s="116" t="n">
        <x:f>SUM(X107:BA107)</x:f>
        <x:v>0</x:v>
      </x:c>
      <x:c r="O107" s="116" t="n">
        <x:f>IF(M107,$D$10,0)</x:f>
        <x:v>0</x:v>
      </x:c>
      <x:c r="P107" s="116" t="n">
        <x:f>N107-O107</x:f>
        <x:v>0</x:v>
      </x:c>
      <x:c r="Q107" s="116" t="n">
        <x:f>IF(L107&lt;$D$5,0,IF(L107=$D$5,P107,Q106+P107))</x:f>
        <x:v>0</x:v>
      </x:c>
      <x:c r="R107" s="116" t="n">
        <x:f>IF(L107&lt;$D$5,"",$J$10+Q107)</x:f>
        <x:v>0</x:v>
      </x:c>
      <x:c r="S107" s="116" t="n">
        <x:f>IF($L107&lt;$D$5,"",IF($L107=$D$5,$J$10+$N107-IF($M107,IF(INT(($L107-$D$5)/7)&lt;$A$20,$B$20,$D$10),0),S106+$N107-IF($M107,IF(INT(($L107-$D$5)/7)&lt;$A$20,$B$20,$D$10),0)))</x:f>
        <x:v>0</x:v>
      </x:c>
      <x:c r="T107" s="116" t="n">
        <x:f>IF($L107&lt;$D$5,"",IF($L107=$D$5,$J$10+$N107-IF($M107,IF(INT(($L107-$D$5)/7)&lt;$A$21,$B$21,$D$10),0),T106+$N107-IF($M107,IF(INT(($L107-$D$5)/7)&lt;$A$21,$B$21,$D$10),0)))</x:f>
        <x:v>0</x:v>
      </x:c>
      <x:c r="U107" s="116" t="n">
        <x:f>IF($L107&lt;$D$5,"",IF($L107=$D$5,$J$10+$N107-IF($M107,IF(INT(($L107-$D$5)/7)&lt;$A$22,$B$22,$D$10),0),U106+$N107-IF($M107,IF(INT(($L107-$D$5)/7)&lt;$A$22,$B$22,$D$10),0)))</x:f>
        <x:v>0</x:v>
      </x:c>
      <x:c r="V107" s="116" t="n">
        <x:f>IF($L107&lt;$D$5,"",IF($L107=$D$5,$J$10+$N107-IF($M107,IF(INT(($L107-$D$5)/7)&lt;$A$23,$B$23,$D$10),0),V106+$N107-IF($M107,IF(INT(($L107-$D$5)/7)&lt;$A$23,$B$23,$D$10),0)))</x:f>
        <x:v>0</x:v>
      </x:c>
      <x:c r="W107" s="116" t="n">
        <x:f>IF($L107&lt;$D$5,"",IF($L107=$D$5,$J$10+$N107-IF($M107,IF(INT(($L107-$D$5)/7)&lt;$A$24,$B$24,$D$10),0),W106+$N107-IF($M107,IF(INT(($L107-$D$5)/7)&lt;$A$24,$B$24,$D$10),0)))</x:f>
        <x:v>0</x:v>
      </x:c>
      <x:c r="X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Y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Z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A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B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C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D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E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F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G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H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I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J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K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L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M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N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O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P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Q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R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S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T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U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V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W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X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Y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AZ107" s="116"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c r="BA107" s="117" t="n">
        <x:f>IF(OR(INDEX('1 Budget annuel'!$A$14:$A$43,COLUMN()-COLUMN($X$42)+1)&lt;&gt;"Oui",INDEX('1 Budget annuel'!$L$14:$L$43,COLUMN()-COLUMN($X$42)+1)="",AND(INDEX('1 Budget annuel'!$B$14:$B$43,COLUMN()-COLUMN($X$42)+1)="Sortie",INDEX('1 Budget annuel'!$M$14:$M$43,COLUMN()-COLUMN($X$42)+1)="Oui"),$L107&lt;INDEX('1 Budget annuel'!$L$14:$L$43,COLUMN()-COLUMN($X$42)+1),$L107&gt;$D$5+363),0,IF(OR(AND(INDEX('1 Budget annuel'!$E$14:$E$43,COLUMN()-COLUMN($X$42)+1)="Hebdomadaire",MOD($L107-INDEX('1 Budget annuel'!$L$14:$L$43,COLUMN()-COLUMN($X$42)+1),7)=0),AND(INDEX('1 Budget annuel'!$E$14:$E$43,COLUMN()-COLUMN($X$42)+1)="Toutes les 4 semaines",MOD($L107-INDEX('1 Budget annuel'!$L$14:$L$43,COLUMN()-COLUMN($X$42)+1),28)=0),AND(INDEX('1 Budget annuel'!$E$14:$E$43,COLUMN()-COLUMN($X$42)+1)="Mensuelle",DAY($L107)=MIN(DAY(INDEX('1 Budget annuel'!$L$14:$L$43,COLUMN()-COLUMN($X$42)+1)),DAY(EOMONTH($L107,0)))),AND(INDEX('1 Budget annuel'!$E$14:$E$43,COLUMN()-COLUMN($X$42)+1)="Trimestrielle",MOD((YEAR($L107)-YEAR(INDEX('1 Budget annuel'!$L$14:$L$43,COLUMN()-COLUMN($X$42)+1)))*12+MONTH($L107)-MONTH(INDEX('1 Budget annuel'!$L$14:$L$43,COLUMN()-COLUMN($X$42)+1)),3)=0,DAY($L107)=MIN(DAY(INDEX('1 Budget annuel'!$L$14:$L$43,COLUMN()-COLUMN($X$42)+1)),DAY(EOMONTH($L107,0)))),AND(INDEX('1 Budget annuel'!$E$14:$E$43,COLUMN()-COLUMN($X$42)+1)="Semestrielle",MOD((YEAR($L107)-YEAR(INDEX('1 Budget annuel'!$L$14:$L$43,COLUMN()-COLUMN($X$42)+1)))*12+MONTH($L107)-MONTH(INDEX('1 Budget annuel'!$L$14:$L$43,COLUMN()-COLUMN($X$42)+1)),6)=0,DAY($L107)=MIN(DAY(INDEX('1 Budget annuel'!$L$14:$L$43,COLUMN()-COLUMN($X$42)+1)),DAY(EOMONTH($L107,0)))),AND(INDEX('1 Budget annuel'!$E$14:$E$43,COLUMN()-COLUMN($X$42)+1)="Annuelle",MOD((YEAR($L107)-YEAR(INDEX('1 Budget annuel'!$L$14:$L$43,COLUMN()-COLUMN($X$42)+1)))*12+MONTH($L107)-MONTH(INDEX('1 Budget annuel'!$L$14:$L$43,COLUMN()-COLUMN($X$42)+1)),12)=0,DAY($L107)=MIN(DAY(INDEX('1 Budget annuel'!$L$14:$L$43,COLUMN()-COLUMN($X$42)+1)),DAY(EOMONTH($L107,0))))),IF(INDEX('1 Budget annuel'!$B$14:$B$43,COLUMN()-COLUMN($X$42)+1)="Entrée",INDEX('1 Budget annuel'!$I$14:$I$43,COLUMN()-COLUMN($X$42)+1),-INDEX('1 Budget annuel'!$I$14:$I$43,COLUMN()-COLUMN($X$42)+1)),0))</x:f>
        <x:v>0</x:v>
      </x:c>
    </x:row>
    <x:row r="108">
      <x:c r="L108" s="114" t="n">
        <x:f>L107+1</x:f>
        <x:v>46302</x:v>
      </x:c>
      <x:c r="M108" s="115" t="b">
        <x:f>AND(L108&gt;=$D$5,L108&lt;=$D$5+363,MOD(L108-$D$5,7)=0)</x:f>
        <x:v>0</x:v>
      </x:c>
      <x:c r="N108" s="116" t="n">
        <x:f>SUM(X108:BA108)</x:f>
        <x:v>0</x:v>
      </x:c>
      <x:c r="O108" s="116" t="n">
        <x:f>IF(M108,$D$10,0)</x:f>
        <x:v>0</x:v>
      </x:c>
      <x:c r="P108" s="116" t="n">
        <x:f>N108-O108</x:f>
        <x:v>0</x:v>
      </x:c>
      <x:c r="Q108" s="116" t="n">
        <x:f>IF(L108&lt;$D$5,0,IF(L108=$D$5,P108,Q107+P108))</x:f>
        <x:v>0</x:v>
      </x:c>
      <x:c r="R108" s="116" t="n">
        <x:f>IF(L108&lt;$D$5,"",$J$10+Q108)</x:f>
        <x:v>0</x:v>
      </x:c>
      <x:c r="S108" s="116" t="n">
        <x:f>IF($L108&lt;$D$5,"",IF($L108=$D$5,$J$10+$N108-IF($M108,IF(INT(($L108-$D$5)/7)&lt;$A$20,$B$20,$D$10),0),S107+$N108-IF($M108,IF(INT(($L108-$D$5)/7)&lt;$A$20,$B$20,$D$10),0)))</x:f>
        <x:v>0</x:v>
      </x:c>
      <x:c r="T108" s="116" t="n">
        <x:f>IF($L108&lt;$D$5,"",IF($L108=$D$5,$J$10+$N108-IF($M108,IF(INT(($L108-$D$5)/7)&lt;$A$21,$B$21,$D$10),0),T107+$N108-IF($M108,IF(INT(($L108-$D$5)/7)&lt;$A$21,$B$21,$D$10),0)))</x:f>
        <x:v>0</x:v>
      </x:c>
      <x:c r="U108" s="116" t="n">
        <x:f>IF($L108&lt;$D$5,"",IF($L108=$D$5,$J$10+$N108-IF($M108,IF(INT(($L108-$D$5)/7)&lt;$A$22,$B$22,$D$10),0),U107+$N108-IF($M108,IF(INT(($L108-$D$5)/7)&lt;$A$22,$B$22,$D$10),0)))</x:f>
        <x:v>0</x:v>
      </x:c>
      <x:c r="V108" s="116" t="n">
        <x:f>IF($L108&lt;$D$5,"",IF($L108=$D$5,$J$10+$N108-IF($M108,IF(INT(($L108-$D$5)/7)&lt;$A$23,$B$23,$D$10),0),V107+$N108-IF($M108,IF(INT(($L108-$D$5)/7)&lt;$A$23,$B$23,$D$10),0)))</x:f>
        <x:v>0</x:v>
      </x:c>
      <x:c r="W108" s="116" t="n">
        <x:f>IF($L108&lt;$D$5,"",IF($L108=$D$5,$J$10+$N108-IF($M108,IF(INT(($L108-$D$5)/7)&lt;$A$24,$B$24,$D$10),0),W107+$N108-IF($M108,IF(INT(($L108-$D$5)/7)&lt;$A$24,$B$24,$D$10),0)))</x:f>
        <x:v>0</x:v>
      </x:c>
      <x:c r="X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Y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Z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A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B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C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D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E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F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G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H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I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J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K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L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M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N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O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P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Q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R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S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T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U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V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W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X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Y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AZ108" s="116"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c r="BA108" s="117" t="n">
        <x:f>IF(OR(INDEX('1 Budget annuel'!$A$14:$A$43,COLUMN()-COLUMN($X$42)+1)&lt;&gt;"Oui",INDEX('1 Budget annuel'!$L$14:$L$43,COLUMN()-COLUMN($X$42)+1)="",AND(INDEX('1 Budget annuel'!$B$14:$B$43,COLUMN()-COLUMN($X$42)+1)="Sortie",INDEX('1 Budget annuel'!$M$14:$M$43,COLUMN()-COLUMN($X$42)+1)="Oui"),$L108&lt;INDEX('1 Budget annuel'!$L$14:$L$43,COLUMN()-COLUMN($X$42)+1),$L108&gt;$D$5+363),0,IF(OR(AND(INDEX('1 Budget annuel'!$E$14:$E$43,COLUMN()-COLUMN($X$42)+1)="Hebdomadaire",MOD($L108-INDEX('1 Budget annuel'!$L$14:$L$43,COLUMN()-COLUMN($X$42)+1),7)=0),AND(INDEX('1 Budget annuel'!$E$14:$E$43,COLUMN()-COLUMN($X$42)+1)="Toutes les 4 semaines",MOD($L108-INDEX('1 Budget annuel'!$L$14:$L$43,COLUMN()-COLUMN($X$42)+1),28)=0),AND(INDEX('1 Budget annuel'!$E$14:$E$43,COLUMN()-COLUMN($X$42)+1)="Mensuelle",DAY($L108)=MIN(DAY(INDEX('1 Budget annuel'!$L$14:$L$43,COLUMN()-COLUMN($X$42)+1)),DAY(EOMONTH($L108,0)))),AND(INDEX('1 Budget annuel'!$E$14:$E$43,COLUMN()-COLUMN($X$42)+1)="Trimestrielle",MOD((YEAR($L108)-YEAR(INDEX('1 Budget annuel'!$L$14:$L$43,COLUMN()-COLUMN($X$42)+1)))*12+MONTH($L108)-MONTH(INDEX('1 Budget annuel'!$L$14:$L$43,COLUMN()-COLUMN($X$42)+1)),3)=0,DAY($L108)=MIN(DAY(INDEX('1 Budget annuel'!$L$14:$L$43,COLUMN()-COLUMN($X$42)+1)),DAY(EOMONTH($L108,0)))),AND(INDEX('1 Budget annuel'!$E$14:$E$43,COLUMN()-COLUMN($X$42)+1)="Semestrielle",MOD((YEAR($L108)-YEAR(INDEX('1 Budget annuel'!$L$14:$L$43,COLUMN()-COLUMN($X$42)+1)))*12+MONTH($L108)-MONTH(INDEX('1 Budget annuel'!$L$14:$L$43,COLUMN()-COLUMN($X$42)+1)),6)=0,DAY($L108)=MIN(DAY(INDEX('1 Budget annuel'!$L$14:$L$43,COLUMN()-COLUMN($X$42)+1)),DAY(EOMONTH($L108,0)))),AND(INDEX('1 Budget annuel'!$E$14:$E$43,COLUMN()-COLUMN($X$42)+1)="Annuelle",MOD((YEAR($L108)-YEAR(INDEX('1 Budget annuel'!$L$14:$L$43,COLUMN()-COLUMN($X$42)+1)))*12+MONTH($L108)-MONTH(INDEX('1 Budget annuel'!$L$14:$L$43,COLUMN()-COLUMN($X$42)+1)),12)=0,DAY($L108)=MIN(DAY(INDEX('1 Budget annuel'!$L$14:$L$43,COLUMN()-COLUMN($X$42)+1)),DAY(EOMONTH($L108,0))))),IF(INDEX('1 Budget annuel'!$B$14:$B$43,COLUMN()-COLUMN($X$42)+1)="Entrée",INDEX('1 Budget annuel'!$I$14:$I$43,COLUMN()-COLUMN($X$42)+1),-INDEX('1 Budget annuel'!$I$14:$I$43,COLUMN()-COLUMN($X$42)+1)),0))</x:f>
        <x:v>0</x:v>
      </x:c>
    </x:row>
    <x:row r="109">
      <x:c r="L109" s="114" t="n">
        <x:f>L108+1</x:f>
        <x:v>46303</x:v>
      </x:c>
      <x:c r="M109" s="115" t="b">
        <x:f>AND(L109&gt;=$D$5,L109&lt;=$D$5+363,MOD(L109-$D$5,7)=0)</x:f>
        <x:v>0</x:v>
      </x:c>
      <x:c r="N109" s="116" t="n">
        <x:f>SUM(X109:BA109)</x:f>
        <x:v>0</x:v>
      </x:c>
      <x:c r="O109" s="116" t="n">
        <x:f>IF(M109,$D$10,0)</x:f>
        <x:v>0</x:v>
      </x:c>
      <x:c r="P109" s="116" t="n">
        <x:f>N109-O109</x:f>
        <x:v>0</x:v>
      </x:c>
      <x:c r="Q109" s="116" t="n">
        <x:f>IF(L109&lt;$D$5,0,IF(L109=$D$5,P109,Q108+P109))</x:f>
        <x:v>0</x:v>
      </x:c>
      <x:c r="R109" s="116" t="n">
        <x:f>IF(L109&lt;$D$5,"",$J$10+Q109)</x:f>
        <x:v>0</x:v>
      </x:c>
      <x:c r="S109" s="116" t="n">
        <x:f>IF($L109&lt;$D$5,"",IF($L109=$D$5,$J$10+$N109-IF($M109,IF(INT(($L109-$D$5)/7)&lt;$A$20,$B$20,$D$10),0),S108+$N109-IF($M109,IF(INT(($L109-$D$5)/7)&lt;$A$20,$B$20,$D$10),0)))</x:f>
        <x:v>0</x:v>
      </x:c>
      <x:c r="T109" s="116" t="n">
        <x:f>IF($L109&lt;$D$5,"",IF($L109=$D$5,$J$10+$N109-IF($M109,IF(INT(($L109-$D$5)/7)&lt;$A$21,$B$21,$D$10),0),T108+$N109-IF($M109,IF(INT(($L109-$D$5)/7)&lt;$A$21,$B$21,$D$10),0)))</x:f>
        <x:v>0</x:v>
      </x:c>
      <x:c r="U109" s="116" t="n">
        <x:f>IF($L109&lt;$D$5,"",IF($L109=$D$5,$J$10+$N109-IF($M109,IF(INT(($L109-$D$5)/7)&lt;$A$22,$B$22,$D$10),0),U108+$N109-IF($M109,IF(INT(($L109-$D$5)/7)&lt;$A$22,$B$22,$D$10),0)))</x:f>
        <x:v>0</x:v>
      </x:c>
      <x:c r="V109" s="116" t="n">
        <x:f>IF($L109&lt;$D$5,"",IF($L109=$D$5,$J$10+$N109-IF($M109,IF(INT(($L109-$D$5)/7)&lt;$A$23,$B$23,$D$10),0),V108+$N109-IF($M109,IF(INT(($L109-$D$5)/7)&lt;$A$23,$B$23,$D$10),0)))</x:f>
        <x:v>0</x:v>
      </x:c>
      <x:c r="W109" s="116" t="n">
        <x:f>IF($L109&lt;$D$5,"",IF($L109=$D$5,$J$10+$N109-IF($M109,IF(INT(($L109-$D$5)/7)&lt;$A$24,$B$24,$D$10),0),W108+$N109-IF($M109,IF(INT(($L109-$D$5)/7)&lt;$A$24,$B$24,$D$10),0)))</x:f>
        <x:v>0</x:v>
      </x:c>
      <x:c r="X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Y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Z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A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B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C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D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E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F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G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H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I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J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K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L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M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N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O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P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Q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R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S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T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U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V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W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X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Y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AZ109" s="116"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c r="BA109" s="117" t="n">
        <x:f>IF(OR(INDEX('1 Budget annuel'!$A$14:$A$43,COLUMN()-COLUMN($X$42)+1)&lt;&gt;"Oui",INDEX('1 Budget annuel'!$L$14:$L$43,COLUMN()-COLUMN($X$42)+1)="",AND(INDEX('1 Budget annuel'!$B$14:$B$43,COLUMN()-COLUMN($X$42)+1)="Sortie",INDEX('1 Budget annuel'!$M$14:$M$43,COLUMN()-COLUMN($X$42)+1)="Oui"),$L109&lt;INDEX('1 Budget annuel'!$L$14:$L$43,COLUMN()-COLUMN($X$42)+1),$L109&gt;$D$5+363),0,IF(OR(AND(INDEX('1 Budget annuel'!$E$14:$E$43,COLUMN()-COLUMN($X$42)+1)="Hebdomadaire",MOD($L109-INDEX('1 Budget annuel'!$L$14:$L$43,COLUMN()-COLUMN($X$42)+1),7)=0),AND(INDEX('1 Budget annuel'!$E$14:$E$43,COLUMN()-COLUMN($X$42)+1)="Toutes les 4 semaines",MOD($L109-INDEX('1 Budget annuel'!$L$14:$L$43,COLUMN()-COLUMN($X$42)+1),28)=0),AND(INDEX('1 Budget annuel'!$E$14:$E$43,COLUMN()-COLUMN($X$42)+1)="Mensuelle",DAY($L109)=MIN(DAY(INDEX('1 Budget annuel'!$L$14:$L$43,COLUMN()-COLUMN($X$42)+1)),DAY(EOMONTH($L109,0)))),AND(INDEX('1 Budget annuel'!$E$14:$E$43,COLUMN()-COLUMN($X$42)+1)="Trimestrielle",MOD((YEAR($L109)-YEAR(INDEX('1 Budget annuel'!$L$14:$L$43,COLUMN()-COLUMN($X$42)+1)))*12+MONTH($L109)-MONTH(INDEX('1 Budget annuel'!$L$14:$L$43,COLUMN()-COLUMN($X$42)+1)),3)=0,DAY($L109)=MIN(DAY(INDEX('1 Budget annuel'!$L$14:$L$43,COLUMN()-COLUMN($X$42)+1)),DAY(EOMONTH($L109,0)))),AND(INDEX('1 Budget annuel'!$E$14:$E$43,COLUMN()-COLUMN($X$42)+1)="Semestrielle",MOD((YEAR($L109)-YEAR(INDEX('1 Budget annuel'!$L$14:$L$43,COLUMN()-COLUMN($X$42)+1)))*12+MONTH($L109)-MONTH(INDEX('1 Budget annuel'!$L$14:$L$43,COLUMN()-COLUMN($X$42)+1)),6)=0,DAY($L109)=MIN(DAY(INDEX('1 Budget annuel'!$L$14:$L$43,COLUMN()-COLUMN($X$42)+1)),DAY(EOMONTH($L109,0)))),AND(INDEX('1 Budget annuel'!$E$14:$E$43,COLUMN()-COLUMN($X$42)+1)="Annuelle",MOD((YEAR($L109)-YEAR(INDEX('1 Budget annuel'!$L$14:$L$43,COLUMN()-COLUMN($X$42)+1)))*12+MONTH($L109)-MONTH(INDEX('1 Budget annuel'!$L$14:$L$43,COLUMN()-COLUMN($X$42)+1)),12)=0,DAY($L109)=MIN(DAY(INDEX('1 Budget annuel'!$L$14:$L$43,COLUMN()-COLUMN($X$42)+1)),DAY(EOMONTH($L109,0))))),IF(INDEX('1 Budget annuel'!$B$14:$B$43,COLUMN()-COLUMN($X$42)+1)="Entrée",INDEX('1 Budget annuel'!$I$14:$I$43,COLUMN()-COLUMN($X$42)+1),-INDEX('1 Budget annuel'!$I$14:$I$43,COLUMN()-COLUMN($X$42)+1)),0))</x:f>
        <x:v>0</x:v>
      </x:c>
    </x:row>
    <x:row r="110">
      <x:c r="L110" s="114" t="n">
        <x:f>L109+1</x:f>
        <x:v>46304</x:v>
      </x:c>
      <x:c r="M110" s="115" t="b">
        <x:f>AND(L110&gt;=$D$5,L110&lt;=$D$5+363,MOD(L110-$D$5,7)=0)</x:f>
        <x:v>0</x:v>
      </x:c>
      <x:c r="N110" s="116" t="n">
        <x:f>SUM(X110:BA110)</x:f>
        <x:v>0</x:v>
      </x:c>
      <x:c r="O110" s="116" t="n">
        <x:f>IF(M110,$D$10,0)</x:f>
        <x:v>0</x:v>
      </x:c>
      <x:c r="P110" s="116" t="n">
        <x:f>N110-O110</x:f>
        <x:v>0</x:v>
      </x:c>
      <x:c r="Q110" s="116" t="n">
        <x:f>IF(L110&lt;$D$5,0,IF(L110=$D$5,P110,Q109+P110))</x:f>
        <x:v>0</x:v>
      </x:c>
      <x:c r="R110" s="116" t="n">
        <x:f>IF(L110&lt;$D$5,"",$J$10+Q110)</x:f>
        <x:v>0</x:v>
      </x:c>
      <x:c r="S110" s="116" t="n">
        <x:f>IF($L110&lt;$D$5,"",IF($L110=$D$5,$J$10+$N110-IF($M110,IF(INT(($L110-$D$5)/7)&lt;$A$20,$B$20,$D$10),0),S109+$N110-IF($M110,IF(INT(($L110-$D$5)/7)&lt;$A$20,$B$20,$D$10),0)))</x:f>
        <x:v>0</x:v>
      </x:c>
      <x:c r="T110" s="116" t="n">
        <x:f>IF($L110&lt;$D$5,"",IF($L110=$D$5,$J$10+$N110-IF($M110,IF(INT(($L110-$D$5)/7)&lt;$A$21,$B$21,$D$10),0),T109+$N110-IF($M110,IF(INT(($L110-$D$5)/7)&lt;$A$21,$B$21,$D$10),0)))</x:f>
        <x:v>0</x:v>
      </x:c>
      <x:c r="U110" s="116" t="n">
        <x:f>IF($L110&lt;$D$5,"",IF($L110=$D$5,$J$10+$N110-IF($M110,IF(INT(($L110-$D$5)/7)&lt;$A$22,$B$22,$D$10),0),U109+$N110-IF($M110,IF(INT(($L110-$D$5)/7)&lt;$A$22,$B$22,$D$10),0)))</x:f>
        <x:v>0</x:v>
      </x:c>
      <x:c r="V110" s="116" t="n">
        <x:f>IF($L110&lt;$D$5,"",IF($L110=$D$5,$J$10+$N110-IF($M110,IF(INT(($L110-$D$5)/7)&lt;$A$23,$B$23,$D$10),0),V109+$N110-IF($M110,IF(INT(($L110-$D$5)/7)&lt;$A$23,$B$23,$D$10),0)))</x:f>
        <x:v>0</x:v>
      </x:c>
      <x:c r="W110" s="116" t="n">
        <x:f>IF($L110&lt;$D$5,"",IF($L110=$D$5,$J$10+$N110-IF($M110,IF(INT(($L110-$D$5)/7)&lt;$A$24,$B$24,$D$10),0),W109+$N110-IF($M110,IF(INT(($L110-$D$5)/7)&lt;$A$24,$B$24,$D$10),0)))</x:f>
        <x:v>0</x:v>
      </x:c>
      <x:c r="X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Y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Z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A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B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C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D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E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F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G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H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I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J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K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L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M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N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O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P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Q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R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S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T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U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V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W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X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Y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AZ110" s="116"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c r="BA110" s="117" t="n">
        <x:f>IF(OR(INDEX('1 Budget annuel'!$A$14:$A$43,COLUMN()-COLUMN($X$42)+1)&lt;&gt;"Oui",INDEX('1 Budget annuel'!$L$14:$L$43,COLUMN()-COLUMN($X$42)+1)="",AND(INDEX('1 Budget annuel'!$B$14:$B$43,COLUMN()-COLUMN($X$42)+1)="Sortie",INDEX('1 Budget annuel'!$M$14:$M$43,COLUMN()-COLUMN($X$42)+1)="Oui"),$L110&lt;INDEX('1 Budget annuel'!$L$14:$L$43,COLUMN()-COLUMN($X$42)+1),$L110&gt;$D$5+363),0,IF(OR(AND(INDEX('1 Budget annuel'!$E$14:$E$43,COLUMN()-COLUMN($X$42)+1)="Hebdomadaire",MOD($L110-INDEX('1 Budget annuel'!$L$14:$L$43,COLUMN()-COLUMN($X$42)+1),7)=0),AND(INDEX('1 Budget annuel'!$E$14:$E$43,COLUMN()-COLUMN($X$42)+1)="Toutes les 4 semaines",MOD($L110-INDEX('1 Budget annuel'!$L$14:$L$43,COLUMN()-COLUMN($X$42)+1),28)=0),AND(INDEX('1 Budget annuel'!$E$14:$E$43,COLUMN()-COLUMN($X$42)+1)="Mensuelle",DAY($L110)=MIN(DAY(INDEX('1 Budget annuel'!$L$14:$L$43,COLUMN()-COLUMN($X$42)+1)),DAY(EOMONTH($L110,0)))),AND(INDEX('1 Budget annuel'!$E$14:$E$43,COLUMN()-COLUMN($X$42)+1)="Trimestrielle",MOD((YEAR($L110)-YEAR(INDEX('1 Budget annuel'!$L$14:$L$43,COLUMN()-COLUMN($X$42)+1)))*12+MONTH($L110)-MONTH(INDEX('1 Budget annuel'!$L$14:$L$43,COLUMN()-COLUMN($X$42)+1)),3)=0,DAY($L110)=MIN(DAY(INDEX('1 Budget annuel'!$L$14:$L$43,COLUMN()-COLUMN($X$42)+1)),DAY(EOMONTH($L110,0)))),AND(INDEX('1 Budget annuel'!$E$14:$E$43,COLUMN()-COLUMN($X$42)+1)="Semestrielle",MOD((YEAR($L110)-YEAR(INDEX('1 Budget annuel'!$L$14:$L$43,COLUMN()-COLUMN($X$42)+1)))*12+MONTH($L110)-MONTH(INDEX('1 Budget annuel'!$L$14:$L$43,COLUMN()-COLUMN($X$42)+1)),6)=0,DAY($L110)=MIN(DAY(INDEX('1 Budget annuel'!$L$14:$L$43,COLUMN()-COLUMN($X$42)+1)),DAY(EOMONTH($L110,0)))),AND(INDEX('1 Budget annuel'!$E$14:$E$43,COLUMN()-COLUMN($X$42)+1)="Annuelle",MOD((YEAR($L110)-YEAR(INDEX('1 Budget annuel'!$L$14:$L$43,COLUMN()-COLUMN($X$42)+1)))*12+MONTH($L110)-MONTH(INDEX('1 Budget annuel'!$L$14:$L$43,COLUMN()-COLUMN($X$42)+1)),12)=0,DAY($L110)=MIN(DAY(INDEX('1 Budget annuel'!$L$14:$L$43,COLUMN()-COLUMN($X$42)+1)),DAY(EOMONTH($L110,0))))),IF(INDEX('1 Budget annuel'!$B$14:$B$43,COLUMN()-COLUMN($X$42)+1)="Entrée",INDEX('1 Budget annuel'!$I$14:$I$43,COLUMN()-COLUMN($X$42)+1),-INDEX('1 Budget annuel'!$I$14:$I$43,COLUMN()-COLUMN($X$42)+1)),0))</x:f>
        <x:v>0</x:v>
      </x:c>
    </x:row>
    <x:row r="111">
      <x:c r="L111" s="114" t="n">
        <x:f>L110+1</x:f>
        <x:v>46305</x:v>
      </x:c>
      <x:c r="M111" s="115" t="b">
        <x:f>AND(L111&gt;=$D$5,L111&lt;=$D$5+363,MOD(L111-$D$5,7)=0)</x:f>
        <x:v>1</x:v>
      </x:c>
      <x:c r="N111" s="116" t="n">
        <x:f>SUM(X111:BA111)</x:f>
        <x:v>0</x:v>
      </x:c>
      <x:c r="O111" s="116" t="n">
        <x:f>IF(M111,$D$10,0)</x:f>
        <x:v>0</x:v>
      </x:c>
      <x:c r="P111" s="116" t="n">
        <x:f>N111-O111</x:f>
        <x:v>0</x:v>
      </x:c>
      <x:c r="Q111" s="116" t="n">
        <x:f>IF(L111&lt;$D$5,0,IF(L111=$D$5,P111,Q110+P111))</x:f>
        <x:v>0</x:v>
      </x:c>
      <x:c r="R111" s="116" t="n">
        <x:f>IF(L111&lt;$D$5,"",$J$10+Q111)</x:f>
        <x:v>0</x:v>
      </x:c>
      <x:c r="S111" s="116" t="n">
        <x:f>IF($L111&lt;$D$5,"",IF($L111=$D$5,$J$10+$N111-IF($M111,IF(INT(($L111-$D$5)/7)&lt;$A$20,$B$20,$D$10),0),S110+$N111-IF($M111,IF(INT(($L111-$D$5)/7)&lt;$A$20,$B$20,$D$10),0)))</x:f>
        <x:v>0</x:v>
      </x:c>
      <x:c r="T111" s="116" t="n">
        <x:f>IF($L111&lt;$D$5,"",IF($L111=$D$5,$J$10+$N111-IF($M111,IF(INT(($L111-$D$5)/7)&lt;$A$21,$B$21,$D$10),0),T110+$N111-IF($M111,IF(INT(($L111-$D$5)/7)&lt;$A$21,$B$21,$D$10),0)))</x:f>
        <x:v>0</x:v>
      </x:c>
      <x:c r="U111" s="116" t="n">
        <x:f>IF($L111&lt;$D$5,"",IF($L111=$D$5,$J$10+$N111-IF($M111,IF(INT(($L111-$D$5)/7)&lt;$A$22,$B$22,$D$10),0),U110+$N111-IF($M111,IF(INT(($L111-$D$5)/7)&lt;$A$22,$B$22,$D$10),0)))</x:f>
        <x:v>0</x:v>
      </x:c>
      <x:c r="V111" s="116" t="n">
        <x:f>IF($L111&lt;$D$5,"",IF($L111=$D$5,$J$10+$N111-IF($M111,IF(INT(($L111-$D$5)/7)&lt;$A$23,$B$23,$D$10),0),V110+$N111-IF($M111,IF(INT(($L111-$D$5)/7)&lt;$A$23,$B$23,$D$10),0)))</x:f>
        <x:v>0</x:v>
      </x:c>
      <x:c r="W111" s="116" t="n">
        <x:f>IF($L111&lt;$D$5,"",IF($L111=$D$5,$J$10+$N111-IF($M111,IF(INT(($L111-$D$5)/7)&lt;$A$24,$B$24,$D$10),0),W110+$N111-IF($M111,IF(INT(($L111-$D$5)/7)&lt;$A$24,$B$24,$D$10),0)))</x:f>
        <x:v>0</x:v>
      </x:c>
      <x:c r="X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Y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Z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A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B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C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D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E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F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G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H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I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J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K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L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M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N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O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P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Q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R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S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T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U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V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W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X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Y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AZ111" s="116"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c r="BA111" s="117" t="n">
        <x:f>IF(OR(INDEX('1 Budget annuel'!$A$14:$A$43,COLUMN()-COLUMN($X$42)+1)&lt;&gt;"Oui",INDEX('1 Budget annuel'!$L$14:$L$43,COLUMN()-COLUMN($X$42)+1)="",AND(INDEX('1 Budget annuel'!$B$14:$B$43,COLUMN()-COLUMN($X$42)+1)="Sortie",INDEX('1 Budget annuel'!$M$14:$M$43,COLUMN()-COLUMN($X$42)+1)="Oui"),$L111&lt;INDEX('1 Budget annuel'!$L$14:$L$43,COLUMN()-COLUMN($X$42)+1),$L111&gt;$D$5+363),0,IF(OR(AND(INDEX('1 Budget annuel'!$E$14:$E$43,COLUMN()-COLUMN($X$42)+1)="Hebdomadaire",MOD($L111-INDEX('1 Budget annuel'!$L$14:$L$43,COLUMN()-COLUMN($X$42)+1),7)=0),AND(INDEX('1 Budget annuel'!$E$14:$E$43,COLUMN()-COLUMN($X$42)+1)="Toutes les 4 semaines",MOD($L111-INDEX('1 Budget annuel'!$L$14:$L$43,COLUMN()-COLUMN($X$42)+1),28)=0),AND(INDEX('1 Budget annuel'!$E$14:$E$43,COLUMN()-COLUMN($X$42)+1)="Mensuelle",DAY($L111)=MIN(DAY(INDEX('1 Budget annuel'!$L$14:$L$43,COLUMN()-COLUMN($X$42)+1)),DAY(EOMONTH($L111,0)))),AND(INDEX('1 Budget annuel'!$E$14:$E$43,COLUMN()-COLUMN($X$42)+1)="Trimestrielle",MOD((YEAR($L111)-YEAR(INDEX('1 Budget annuel'!$L$14:$L$43,COLUMN()-COLUMN($X$42)+1)))*12+MONTH($L111)-MONTH(INDEX('1 Budget annuel'!$L$14:$L$43,COLUMN()-COLUMN($X$42)+1)),3)=0,DAY($L111)=MIN(DAY(INDEX('1 Budget annuel'!$L$14:$L$43,COLUMN()-COLUMN($X$42)+1)),DAY(EOMONTH($L111,0)))),AND(INDEX('1 Budget annuel'!$E$14:$E$43,COLUMN()-COLUMN($X$42)+1)="Semestrielle",MOD((YEAR($L111)-YEAR(INDEX('1 Budget annuel'!$L$14:$L$43,COLUMN()-COLUMN($X$42)+1)))*12+MONTH($L111)-MONTH(INDEX('1 Budget annuel'!$L$14:$L$43,COLUMN()-COLUMN($X$42)+1)),6)=0,DAY($L111)=MIN(DAY(INDEX('1 Budget annuel'!$L$14:$L$43,COLUMN()-COLUMN($X$42)+1)),DAY(EOMONTH($L111,0)))),AND(INDEX('1 Budget annuel'!$E$14:$E$43,COLUMN()-COLUMN($X$42)+1)="Annuelle",MOD((YEAR($L111)-YEAR(INDEX('1 Budget annuel'!$L$14:$L$43,COLUMN()-COLUMN($X$42)+1)))*12+MONTH($L111)-MONTH(INDEX('1 Budget annuel'!$L$14:$L$43,COLUMN()-COLUMN($X$42)+1)),12)=0,DAY($L111)=MIN(DAY(INDEX('1 Budget annuel'!$L$14:$L$43,COLUMN()-COLUMN($X$42)+1)),DAY(EOMONTH($L111,0))))),IF(INDEX('1 Budget annuel'!$B$14:$B$43,COLUMN()-COLUMN($X$42)+1)="Entrée",INDEX('1 Budget annuel'!$I$14:$I$43,COLUMN()-COLUMN($X$42)+1),-INDEX('1 Budget annuel'!$I$14:$I$43,COLUMN()-COLUMN($X$42)+1)),0))</x:f>
        <x:v>0</x:v>
      </x:c>
    </x:row>
    <x:row r="112">
      <x:c r="L112" s="114" t="n">
        <x:f>L111+1</x:f>
        <x:v>46306</x:v>
      </x:c>
      <x:c r="M112" s="115" t="b">
        <x:f>AND(L112&gt;=$D$5,L112&lt;=$D$5+363,MOD(L112-$D$5,7)=0)</x:f>
        <x:v>0</x:v>
      </x:c>
      <x:c r="N112" s="116" t="n">
        <x:f>SUM(X112:BA112)</x:f>
        <x:v>0</x:v>
      </x:c>
      <x:c r="O112" s="116" t="n">
        <x:f>IF(M112,$D$10,0)</x:f>
        <x:v>0</x:v>
      </x:c>
      <x:c r="P112" s="116" t="n">
        <x:f>N112-O112</x:f>
        <x:v>0</x:v>
      </x:c>
      <x:c r="Q112" s="116" t="n">
        <x:f>IF(L112&lt;$D$5,0,IF(L112=$D$5,P112,Q111+P112))</x:f>
        <x:v>0</x:v>
      </x:c>
      <x:c r="R112" s="116" t="n">
        <x:f>IF(L112&lt;$D$5,"",$J$10+Q112)</x:f>
        <x:v>0</x:v>
      </x:c>
      <x:c r="S112" s="116" t="n">
        <x:f>IF($L112&lt;$D$5,"",IF($L112=$D$5,$J$10+$N112-IF($M112,IF(INT(($L112-$D$5)/7)&lt;$A$20,$B$20,$D$10),0),S111+$N112-IF($M112,IF(INT(($L112-$D$5)/7)&lt;$A$20,$B$20,$D$10),0)))</x:f>
        <x:v>0</x:v>
      </x:c>
      <x:c r="T112" s="116" t="n">
        <x:f>IF($L112&lt;$D$5,"",IF($L112=$D$5,$J$10+$N112-IF($M112,IF(INT(($L112-$D$5)/7)&lt;$A$21,$B$21,$D$10),0),T111+$N112-IF($M112,IF(INT(($L112-$D$5)/7)&lt;$A$21,$B$21,$D$10),0)))</x:f>
        <x:v>0</x:v>
      </x:c>
      <x:c r="U112" s="116" t="n">
        <x:f>IF($L112&lt;$D$5,"",IF($L112=$D$5,$J$10+$N112-IF($M112,IF(INT(($L112-$D$5)/7)&lt;$A$22,$B$22,$D$10),0),U111+$N112-IF($M112,IF(INT(($L112-$D$5)/7)&lt;$A$22,$B$22,$D$10),0)))</x:f>
        <x:v>0</x:v>
      </x:c>
      <x:c r="V112" s="116" t="n">
        <x:f>IF($L112&lt;$D$5,"",IF($L112=$D$5,$J$10+$N112-IF($M112,IF(INT(($L112-$D$5)/7)&lt;$A$23,$B$23,$D$10),0),V111+$N112-IF($M112,IF(INT(($L112-$D$5)/7)&lt;$A$23,$B$23,$D$10),0)))</x:f>
        <x:v>0</x:v>
      </x:c>
      <x:c r="W112" s="116" t="n">
        <x:f>IF($L112&lt;$D$5,"",IF($L112=$D$5,$J$10+$N112-IF($M112,IF(INT(($L112-$D$5)/7)&lt;$A$24,$B$24,$D$10),0),W111+$N112-IF($M112,IF(INT(($L112-$D$5)/7)&lt;$A$24,$B$24,$D$10),0)))</x:f>
        <x:v>0</x:v>
      </x:c>
      <x:c r="X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Y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Z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A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B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C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D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E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F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G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H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I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J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K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L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M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N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O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P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Q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R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S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T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U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V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W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X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Y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AZ112" s="116"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c r="BA112" s="117" t="n">
        <x:f>IF(OR(INDEX('1 Budget annuel'!$A$14:$A$43,COLUMN()-COLUMN($X$42)+1)&lt;&gt;"Oui",INDEX('1 Budget annuel'!$L$14:$L$43,COLUMN()-COLUMN($X$42)+1)="",AND(INDEX('1 Budget annuel'!$B$14:$B$43,COLUMN()-COLUMN($X$42)+1)="Sortie",INDEX('1 Budget annuel'!$M$14:$M$43,COLUMN()-COLUMN($X$42)+1)="Oui"),$L112&lt;INDEX('1 Budget annuel'!$L$14:$L$43,COLUMN()-COLUMN($X$42)+1),$L112&gt;$D$5+363),0,IF(OR(AND(INDEX('1 Budget annuel'!$E$14:$E$43,COLUMN()-COLUMN($X$42)+1)="Hebdomadaire",MOD($L112-INDEX('1 Budget annuel'!$L$14:$L$43,COLUMN()-COLUMN($X$42)+1),7)=0),AND(INDEX('1 Budget annuel'!$E$14:$E$43,COLUMN()-COLUMN($X$42)+1)="Toutes les 4 semaines",MOD($L112-INDEX('1 Budget annuel'!$L$14:$L$43,COLUMN()-COLUMN($X$42)+1),28)=0),AND(INDEX('1 Budget annuel'!$E$14:$E$43,COLUMN()-COLUMN($X$42)+1)="Mensuelle",DAY($L112)=MIN(DAY(INDEX('1 Budget annuel'!$L$14:$L$43,COLUMN()-COLUMN($X$42)+1)),DAY(EOMONTH($L112,0)))),AND(INDEX('1 Budget annuel'!$E$14:$E$43,COLUMN()-COLUMN($X$42)+1)="Trimestrielle",MOD((YEAR($L112)-YEAR(INDEX('1 Budget annuel'!$L$14:$L$43,COLUMN()-COLUMN($X$42)+1)))*12+MONTH($L112)-MONTH(INDEX('1 Budget annuel'!$L$14:$L$43,COLUMN()-COLUMN($X$42)+1)),3)=0,DAY($L112)=MIN(DAY(INDEX('1 Budget annuel'!$L$14:$L$43,COLUMN()-COLUMN($X$42)+1)),DAY(EOMONTH($L112,0)))),AND(INDEX('1 Budget annuel'!$E$14:$E$43,COLUMN()-COLUMN($X$42)+1)="Semestrielle",MOD((YEAR($L112)-YEAR(INDEX('1 Budget annuel'!$L$14:$L$43,COLUMN()-COLUMN($X$42)+1)))*12+MONTH($L112)-MONTH(INDEX('1 Budget annuel'!$L$14:$L$43,COLUMN()-COLUMN($X$42)+1)),6)=0,DAY($L112)=MIN(DAY(INDEX('1 Budget annuel'!$L$14:$L$43,COLUMN()-COLUMN($X$42)+1)),DAY(EOMONTH($L112,0)))),AND(INDEX('1 Budget annuel'!$E$14:$E$43,COLUMN()-COLUMN($X$42)+1)="Annuelle",MOD((YEAR($L112)-YEAR(INDEX('1 Budget annuel'!$L$14:$L$43,COLUMN()-COLUMN($X$42)+1)))*12+MONTH($L112)-MONTH(INDEX('1 Budget annuel'!$L$14:$L$43,COLUMN()-COLUMN($X$42)+1)),12)=0,DAY($L112)=MIN(DAY(INDEX('1 Budget annuel'!$L$14:$L$43,COLUMN()-COLUMN($X$42)+1)),DAY(EOMONTH($L112,0))))),IF(INDEX('1 Budget annuel'!$B$14:$B$43,COLUMN()-COLUMN($X$42)+1)="Entrée",INDEX('1 Budget annuel'!$I$14:$I$43,COLUMN()-COLUMN($X$42)+1),-INDEX('1 Budget annuel'!$I$14:$I$43,COLUMN()-COLUMN($X$42)+1)),0))</x:f>
        <x:v>0</x:v>
      </x:c>
    </x:row>
    <x:row r="113">
      <x:c r="L113" s="114" t="n">
        <x:f>L112+1</x:f>
        <x:v>46307</x:v>
      </x:c>
      <x:c r="M113" s="115" t="b">
        <x:f>AND(L113&gt;=$D$5,L113&lt;=$D$5+363,MOD(L113-$D$5,7)=0)</x:f>
        <x:v>0</x:v>
      </x:c>
      <x:c r="N113" s="116" t="n">
        <x:f>SUM(X113:BA113)</x:f>
        <x:v>0</x:v>
      </x:c>
      <x:c r="O113" s="116" t="n">
        <x:f>IF(M113,$D$10,0)</x:f>
        <x:v>0</x:v>
      </x:c>
      <x:c r="P113" s="116" t="n">
        <x:f>N113-O113</x:f>
        <x:v>0</x:v>
      </x:c>
      <x:c r="Q113" s="116" t="n">
        <x:f>IF(L113&lt;$D$5,0,IF(L113=$D$5,P113,Q112+P113))</x:f>
        <x:v>0</x:v>
      </x:c>
      <x:c r="R113" s="116" t="n">
        <x:f>IF(L113&lt;$D$5,"",$J$10+Q113)</x:f>
        <x:v>0</x:v>
      </x:c>
      <x:c r="S113" s="116" t="n">
        <x:f>IF($L113&lt;$D$5,"",IF($L113=$D$5,$J$10+$N113-IF($M113,IF(INT(($L113-$D$5)/7)&lt;$A$20,$B$20,$D$10),0),S112+$N113-IF($M113,IF(INT(($L113-$D$5)/7)&lt;$A$20,$B$20,$D$10),0)))</x:f>
        <x:v>0</x:v>
      </x:c>
      <x:c r="T113" s="116" t="n">
        <x:f>IF($L113&lt;$D$5,"",IF($L113=$D$5,$J$10+$N113-IF($M113,IF(INT(($L113-$D$5)/7)&lt;$A$21,$B$21,$D$10),0),T112+$N113-IF($M113,IF(INT(($L113-$D$5)/7)&lt;$A$21,$B$21,$D$10),0)))</x:f>
        <x:v>0</x:v>
      </x:c>
      <x:c r="U113" s="116" t="n">
        <x:f>IF($L113&lt;$D$5,"",IF($L113=$D$5,$J$10+$N113-IF($M113,IF(INT(($L113-$D$5)/7)&lt;$A$22,$B$22,$D$10),0),U112+$N113-IF($M113,IF(INT(($L113-$D$5)/7)&lt;$A$22,$B$22,$D$10),0)))</x:f>
        <x:v>0</x:v>
      </x:c>
      <x:c r="V113" s="116" t="n">
        <x:f>IF($L113&lt;$D$5,"",IF($L113=$D$5,$J$10+$N113-IF($M113,IF(INT(($L113-$D$5)/7)&lt;$A$23,$B$23,$D$10),0),V112+$N113-IF($M113,IF(INT(($L113-$D$5)/7)&lt;$A$23,$B$23,$D$10),0)))</x:f>
        <x:v>0</x:v>
      </x:c>
      <x:c r="W113" s="116" t="n">
        <x:f>IF($L113&lt;$D$5,"",IF($L113=$D$5,$J$10+$N113-IF($M113,IF(INT(($L113-$D$5)/7)&lt;$A$24,$B$24,$D$10),0),W112+$N113-IF($M113,IF(INT(($L113-$D$5)/7)&lt;$A$24,$B$24,$D$10),0)))</x:f>
        <x:v>0</x:v>
      </x:c>
      <x:c r="X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Y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Z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A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B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C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D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E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F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G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H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I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J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K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L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M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N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O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P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Q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R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S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T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U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V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W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X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Y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AZ113" s="116"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c r="BA113" s="117" t="n">
        <x:f>IF(OR(INDEX('1 Budget annuel'!$A$14:$A$43,COLUMN()-COLUMN($X$42)+1)&lt;&gt;"Oui",INDEX('1 Budget annuel'!$L$14:$L$43,COLUMN()-COLUMN($X$42)+1)="",AND(INDEX('1 Budget annuel'!$B$14:$B$43,COLUMN()-COLUMN($X$42)+1)="Sortie",INDEX('1 Budget annuel'!$M$14:$M$43,COLUMN()-COLUMN($X$42)+1)="Oui"),$L113&lt;INDEX('1 Budget annuel'!$L$14:$L$43,COLUMN()-COLUMN($X$42)+1),$L113&gt;$D$5+363),0,IF(OR(AND(INDEX('1 Budget annuel'!$E$14:$E$43,COLUMN()-COLUMN($X$42)+1)="Hebdomadaire",MOD($L113-INDEX('1 Budget annuel'!$L$14:$L$43,COLUMN()-COLUMN($X$42)+1),7)=0),AND(INDEX('1 Budget annuel'!$E$14:$E$43,COLUMN()-COLUMN($X$42)+1)="Toutes les 4 semaines",MOD($L113-INDEX('1 Budget annuel'!$L$14:$L$43,COLUMN()-COLUMN($X$42)+1),28)=0),AND(INDEX('1 Budget annuel'!$E$14:$E$43,COLUMN()-COLUMN($X$42)+1)="Mensuelle",DAY($L113)=MIN(DAY(INDEX('1 Budget annuel'!$L$14:$L$43,COLUMN()-COLUMN($X$42)+1)),DAY(EOMONTH($L113,0)))),AND(INDEX('1 Budget annuel'!$E$14:$E$43,COLUMN()-COLUMN($X$42)+1)="Trimestrielle",MOD((YEAR($L113)-YEAR(INDEX('1 Budget annuel'!$L$14:$L$43,COLUMN()-COLUMN($X$42)+1)))*12+MONTH($L113)-MONTH(INDEX('1 Budget annuel'!$L$14:$L$43,COLUMN()-COLUMN($X$42)+1)),3)=0,DAY($L113)=MIN(DAY(INDEX('1 Budget annuel'!$L$14:$L$43,COLUMN()-COLUMN($X$42)+1)),DAY(EOMONTH($L113,0)))),AND(INDEX('1 Budget annuel'!$E$14:$E$43,COLUMN()-COLUMN($X$42)+1)="Semestrielle",MOD((YEAR($L113)-YEAR(INDEX('1 Budget annuel'!$L$14:$L$43,COLUMN()-COLUMN($X$42)+1)))*12+MONTH($L113)-MONTH(INDEX('1 Budget annuel'!$L$14:$L$43,COLUMN()-COLUMN($X$42)+1)),6)=0,DAY($L113)=MIN(DAY(INDEX('1 Budget annuel'!$L$14:$L$43,COLUMN()-COLUMN($X$42)+1)),DAY(EOMONTH($L113,0)))),AND(INDEX('1 Budget annuel'!$E$14:$E$43,COLUMN()-COLUMN($X$42)+1)="Annuelle",MOD((YEAR($L113)-YEAR(INDEX('1 Budget annuel'!$L$14:$L$43,COLUMN()-COLUMN($X$42)+1)))*12+MONTH($L113)-MONTH(INDEX('1 Budget annuel'!$L$14:$L$43,COLUMN()-COLUMN($X$42)+1)),12)=0,DAY($L113)=MIN(DAY(INDEX('1 Budget annuel'!$L$14:$L$43,COLUMN()-COLUMN($X$42)+1)),DAY(EOMONTH($L113,0))))),IF(INDEX('1 Budget annuel'!$B$14:$B$43,COLUMN()-COLUMN($X$42)+1)="Entrée",INDEX('1 Budget annuel'!$I$14:$I$43,COLUMN()-COLUMN($X$42)+1),-INDEX('1 Budget annuel'!$I$14:$I$43,COLUMN()-COLUMN($X$42)+1)),0))</x:f>
        <x:v>0</x:v>
      </x:c>
    </x:row>
    <x:row r="114">
      <x:c r="L114" s="114" t="n">
        <x:f>L113+1</x:f>
        <x:v>46308</x:v>
      </x:c>
      <x:c r="M114" s="115" t="b">
        <x:f>AND(L114&gt;=$D$5,L114&lt;=$D$5+363,MOD(L114-$D$5,7)=0)</x:f>
        <x:v>0</x:v>
      </x:c>
      <x:c r="N114" s="116" t="n">
        <x:f>SUM(X114:BA114)</x:f>
        <x:v>0</x:v>
      </x:c>
      <x:c r="O114" s="116" t="n">
        <x:f>IF(M114,$D$10,0)</x:f>
        <x:v>0</x:v>
      </x:c>
      <x:c r="P114" s="116" t="n">
        <x:f>N114-O114</x:f>
        <x:v>0</x:v>
      </x:c>
      <x:c r="Q114" s="116" t="n">
        <x:f>IF(L114&lt;$D$5,0,IF(L114=$D$5,P114,Q113+P114))</x:f>
        <x:v>0</x:v>
      </x:c>
      <x:c r="R114" s="116" t="n">
        <x:f>IF(L114&lt;$D$5,"",$J$10+Q114)</x:f>
        <x:v>0</x:v>
      </x:c>
      <x:c r="S114" s="116" t="n">
        <x:f>IF($L114&lt;$D$5,"",IF($L114=$D$5,$J$10+$N114-IF($M114,IF(INT(($L114-$D$5)/7)&lt;$A$20,$B$20,$D$10),0),S113+$N114-IF($M114,IF(INT(($L114-$D$5)/7)&lt;$A$20,$B$20,$D$10),0)))</x:f>
        <x:v>0</x:v>
      </x:c>
      <x:c r="T114" s="116" t="n">
        <x:f>IF($L114&lt;$D$5,"",IF($L114=$D$5,$J$10+$N114-IF($M114,IF(INT(($L114-$D$5)/7)&lt;$A$21,$B$21,$D$10),0),T113+$N114-IF($M114,IF(INT(($L114-$D$5)/7)&lt;$A$21,$B$21,$D$10),0)))</x:f>
        <x:v>0</x:v>
      </x:c>
      <x:c r="U114" s="116" t="n">
        <x:f>IF($L114&lt;$D$5,"",IF($L114=$D$5,$J$10+$N114-IF($M114,IF(INT(($L114-$D$5)/7)&lt;$A$22,$B$22,$D$10),0),U113+$N114-IF($M114,IF(INT(($L114-$D$5)/7)&lt;$A$22,$B$22,$D$10),0)))</x:f>
        <x:v>0</x:v>
      </x:c>
      <x:c r="V114" s="116" t="n">
        <x:f>IF($L114&lt;$D$5,"",IF($L114=$D$5,$J$10+$N114-IF($M114,IF(INT(($L114-$D$5)/7)&lt;$A$23,$B$23,$D$10),0),V113+$N114-IF($M114,IF(INT(($L114-$D$5)/7)&lt;$A$23,$B$23,$D$10),0)))</x:f>
        <x:v>0</x:v>
      </x:c>
      <x:c r="W114" s="116" t="n">
        <x:f>IF($L114&lt;$D$5,"",IF($L114=$D$5,$J$10+$N114-IF($M114,IF(INT(($L114-$D$5)/7)&lt;$A$24,$B$24,$D$10),0),W113+$N114-IF($M114,IF(INT(($L114-$D$5)/7)&lt;$A$24,$B$24,$D$10),0)))</x:f>
        <x:v>0</x:v>
      </x:c>
      <x:c r="X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Y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Z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A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B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C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D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E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F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G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H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I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J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K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L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M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N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O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P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Q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R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S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T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U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V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W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X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Y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AZ114" s="116"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c r="BA114" s="117" t="n">
        <x:f>IF(OR(INDEX('1 Budget annuel'!$A$14:$A$43,COLUMN()-COLUMN($X$42)+1)&lt;&gt;"Oui",INDEX('1 Budget annuel'!$L$14:$L$43,COLUMN()-COLUMN($X$42)+1)="",AND(INDEX('1 Budget annuel'!$B$14:$B$43,COLUMN()-COLUMN($X$42)+1)="Sortie",INDEX('1 Budget annuel'!$M$14:$M$43,COLUMN()-COLUMN($X$42)+1)="Oui"),$L114&lt;INDEX('1 Budget annuel'!$L$14:$L$43,COLUMN()-COLUMN($X$42)+1),$L114&gt;$D$5+363),0,IF(OR(AND(INDEX('1 Budget annuel'!$E$14:$E$43,COLUMN()-COLUMN($X$42)+1)="Hebdomadaire",MOD($L114-INDEX('1 Budget annuel'!$L$14:$L$43,COLUMN()-COLUMN($X$42)+1),7)=0),AND(INDEX('1 Budget annuel'!$E$14:$E$43,COLUMN()-COLUMN($X$42)+1)="Toutes les 4 semaines",MOD($L114-INDEX('1 Budget annuel'!$L$14:$L$43,COLUMN()-COLUMN($X$42)+1),28)=0),AND(INDEX('1 Budget annuel'!$E$14:$E$43,COLUMN()-COLUMN($X$42)+1)="Mensuelle",DAY($L114)=MIN(DAY(INDEX('1 Budget annuel'!$L$14:$L$43,COLUMN()-COLUMN($X$42)+1)),DAY(EOMONTH($L114,0)))),AND(INDEX('1 Budget annuel'!$E$14:$E$43,COLUMN()-COLUMN($X$42)+1)="Trimestrielle",MOD((YEAR($L114)-YEAR(INDEX('1 Budget annuel'!$L$14:$L$43,COLUMN()-COLUMN($X$42)+1)))*12+MONTH($L114)-MONTH(INDEX('1 Budget annuel'!$L$14:$L$43,COLUMN()-COLUMN($X$42)+1)),3)=0,DAY($L114)=MIN(DAY(INDEX('1 Budget annuel'!$L$14:$L$43,COLUMN()-COLUMN($X$42)+1)),DAY(EOMONTH($L114,0)))),AND(INDEX('1 Budget annuel'!$E$14:$E$43,COLUMN()-COLUMN($X$42)+1)="Semestrielle",MOD((YEAR($L114)-YEAR(INDEX('1 Budget annuel'!$L$14:$L$43,COLUMN()-COLUMN($X$42)+1)))*12+MONTH($L114)-MONTH(INDEX('1 Budget annuel'!$L$14:$L$43,COLUMN()-COLUMN($X$42)+1)),6)=0,DAY($L114)=MIN(DAY(INDEX('1 Budget annuel'!$L$14:$L$43,COLUMN()-COLUMN($X$42)+1)),DAY(EOMONTH($L114,0)))),AND(INDEX('1 Budget annuel'!$E$14:$E$43,COLUMN()-COLUMN($X$42)+1)="Annuelle",MOD((YEAR($L114)-YEAR(INDEX('1 Budget annuel'!$L$14:$L$43,COLUMN()-COLUMN($X$42)+1)))*12+MONTH($L114)-MONTH(INDEX('1 Budget annuel'!$L$14:$L$43,COLUMN()-COLUMN($X$42)+1)),12)=0,DAY($L114)=MIN(DAY(INDEX('1 Budget annuel'!$L$14:$L$43,COLUMN()-COLUMN($X$42)+1)),DAY(EOMONTH($L114,0))))),IF(INDEX('1 Budget annuel'!$B$14:$B$43,COLUMN()-COLUMN($X$42)+1)="Entrée",INDEX('1 Budget annuel'!$I$14:$I$43,COLUMN()-COLUMN($X$42)+1),-INDEX('1 Budget annuel'!$I$14:$I$43,COLUMN()-COLUMN($X$42)+1)),0))</x:f>
        <x:v>0</x:v>
      </x:c>
    </x:row>
    <x:row r="115">
      <x:c r="L115" s="114" t="n">
        <x:f>L114+1</x:f>
        <x:v>46309</x:v>
      </x:c>
      <x:c r="M115" s="115" t="b">
        <x:f>AND(L115&gt;=$D$5,L115&lt;=$D$5+363,MOD(L115-$D$5,7)=0)</x:f>
        <x:v>0</x:v>
      </x:c>
      <x:c r="N115" s="116" t="n">
        <x:f>SUM(X115:BA115)</x:f>
        <x:v>0</x:v>
      </x:c>
      <x:c r="O115" s="116" t="n">
        <x:f>IF(M115,$D$10,0)</x:f>
        <x:v>0</x:v>
      </x:c>
      <x:c r="P115" s="116" t="n">
        <x:f>N115-O115</x:f>
        <x:v>0</x:v>
      </x:c>
      <x:c r="Q115" s="116" t="n">
        <x:f>IF(L115&lt;$D$5,0,IF(L115=$D$5,P115,Q114+P115))</x:f>
        <x:v>0</x:v>
      </x:c>
      <x:c r="R115" s="116" t="n">
        <x:f>IF(L115&lt;$D$5,"",$J$10+Q115)</x:f>
        <x:v>0</x:v>
      </x:c>
      <x:c r="S115" s="116" t="n">
        <x:f>IF($L115&lt;$D$5,"",IF($L115=$D$5,$J$10+$N115-IF($M115,IF(INT(($L115-$D$5)/7)&lt;$A$20,$B$20,$D$10),0),S114+$N115-IF($M115,IF(INT(($L115-$D$5)/7)&lt;$A$20,$B$20,$D$10),0)))</x:f>
        <x:v>0</x:v>
      </x:c>
      <x:c r="T115" s="116" t="n">
        <x:f>IF($L115&lt;$D$5,"",IF($L115=$D$5,$J$10+$N115-IF($M115,IF(INT(($L115-$D$5)/7)&lt;$A$21,$B$21,$D$10),0),T114+$N115-IF($M115,IF(INT(($L115-$D$5)/7)&lt;$A$21,$B$21,$D$10),0)))</x:f>
        <x:v>0</x:v>
      </x:c>
      <x:c r="U115" s="116" t="n">
        <x:f>IF($L115&lt;$D$5,"",IF($L115=$D$5,$J$10+$N115-IF($M115,IF(INT(($L115-$D$5)/7)&lt;$A$22,$B$22,$D$10),0),U114+$N115-IF($M115,IF(INT(($L115-$D$5)/7)&lt;$A$22,$B$22,$D$10),0)))</x:f>
        <x:v>0</x:v>
      </x:c>
      <x:c r="V115" s="116" t="n">
        <x:f>IF($L115&lt;$D$5,"",IF($L115=$D$5,$J$10+$N115-IF($M115,IF(INT(($L115-$D$5)/7)&lt;$A$23,$B$23,$D$10),0),V114+$N115-IF($M115,IF(INT(($L115-$D$5)/7)&lt;$A$23,$B$23,$D$10),0)))</x:f>
        <x:v>0</x:v>
      </x:c>
      <x:c r="W115" s="116" t="n">
        <x:f>IF($L115&lt;$D$5,"",IF($L115=$D$5,$J$10+$N115-IF($M115,IF(INT(($L115-$D$5)/7)&lt;$A$24,$B$24,$D$10),0),W114+$N115-IF($M115,IF(INT(($L115-$D$5)/7)&lt;$A$24,$B$24,$D$10),0)))</x:f>
        <x:v>0</x:v>
      </x:c>
      <x:c r="X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Y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Z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A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B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C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D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E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F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G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H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I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J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K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L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M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N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O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P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Q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R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S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T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U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V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W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X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Y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AZ115" s="116"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c r="BA115" s="117" t="n">
        <x:f>IF(OR(INDEX('1 Budget annuel'!$A$14:$A$43,COLUMN()-COLUMN($X$42)+1)&lt;&gt;"Oui",INDEX('1 Budget annuel'!$L$14:$L$43,COLUMN()-COLUMN($X$42)+1)="",AND(INDEX('1 Budget annuel'!$B$14:$B$43,COLUMN()-COLUMN($X$42)+1)="Sortie",INDEX('1 Budget annuel'!$M$14:$M$43,COLUMN()-COLUMN($X$42)+1)="Oui"),$L115&lt;INDEX('1 Budget annuel'!$L$14:$L$43,COLUMN()-COLUMN($X$42)+1),$L115&gt;$D$5+363),0,IF(OR(AND(INDEX('1 Budget annuel'!$E$14:$E$43,COLUMN()-COLUMN($X$42)+1)="Hebdomadaire",MOD($L115-INDEX('1 Budget annuel'!$L$14:$L$43,COLUMN()-COLUMN($X$42)+1),7)=0),AND(INDEX('1 Budget annuel'!$E$14:$E$43,COLUMN()-COLUMN($X$42)+1)="Toutes les 4 semaines",MOD($L115-INDEX('1 Budget annuel'!$L$14:$L$43,COLUMN()-COLUMN($X$42)+1),28)=0),AND(INDEX('1 Budget annuel'!$E$14:$E$43,COLUMN()-COLUMN($X$42)+1)="Mensuelle",DAY($L115)=MIN(DAY(INDEX('1 Budget annuel'!$L$14:$L$43,COLUMN()-COLUMN($X$42)+1)),DAY(EOMONTH($L115,0)))),AND(INDEX('1 Budget annuel'!$E$14:$E$43,COLUMN()-COLUMN($X$42)+1)="Trimestrielle",MOD((YEAR($L115)-YEAR(INDEX('1 Budget annuel'!$L$14:$L$43,COLUMN()-COLUMN($X$42)+1)))*12+MONTH($L115)-MONTH(INDEX('1 Budget annuel'!$L$14:$L$43,COLUMN()-COLUMN($X$42)+1)),3)=0,DAY($L115)=MIN(DAY(INDEX('1 Budget annuel'!$L$14:$L$43,COLUMN()-COLUMN($X$42)+1)),DAY(EOMONTH($L115,0)))),AND(INDEX('1 Budget annuel'!$E$14:$E$43,COLUMN()-COLUMN($X$42)+1)="Semestrielle",MOD((YEAR($L115)-YEAR(INDEX('1 Budget annuel'!$L$14:$L$43,COLUMN()-COLUMN($X$42)+1)))*12+MONTH($L115)-MONTH(INDEX('1 Budget annuel'!$L$14:$L$43,COLUMN()-COLUMN($X$42)+1)),6)=0,DAY($L115)=MIN(DAY(INDEX('1 Budget annuel'!$L$14:$L$43,COLUMN()-COLUMN($X$42)+1)),DAY(EOMONTH($L115,0)))),AND(INDEX('1 Budget annuel'!$E$14:$E$43,COLUMN()-COLUMN($X$42)+1)="Annuelle",MOD((YEAR($L115)-YEAR(INDEX('1 Budget annuel'!$L$14:$L$43,COLUMN()-COLUMN($X$42)+1)))*12+MONTH($L115)-MONTH(INDEX('1 Budget annuel'!$L$14:$L$43,COLUMN()-COLUMN($X$42)+1)),12)=0,DAY($L115)=MIN(DAY(INDEX('1 Budget annuel'!$L$14:$L$43,COLUMN()-COLUMN($X$42)+1)),DAY(EOMONTH($L115,0))))),IF(INDEX('1 Budget annuel'!$B$14:$B$43,COLUMN()-COLUMN($X$42)+1)="Entrée",INDEX('1 Budget annuel'!$I$14:$I$43,COLUMN()-COLUMN($X$42)+1),-INDEX('1 Budget annuel'!$I$14:$I$43,COLUMN()-COLUMN($X$42)+1)),0))</x:f>
        <x:v>0</x:v>
      </x:c>
    </x:row>
    <x:row r="116">
      <x:c r="L116" s="114" t="n">
        <x:f>L115+1</x:f>
        <x:v>46310</x:v>
      </x:c>
      <x:c r="M116" s="115" t="b">
        <x:f>AND(L116&gt;=$D$5,L116&lt;=$D$5+363,MOD(L116-$D$5,7)=0)</x:f>
        <x:v>0</x:v>
      </x:c>
      <x:c r="N116" s="116" t="n">
        <x:f>SUM(X116:BA116)</x:f>
        <x:v>0</x:v>
      </x:c>
      <x:c r="O116" s="116" t="n">
        <x:f>IF(M116,$D$10,0)</x:f>
        <x:v>0</x:v>
      </x:c>
      <x:c r="P116" s="116" t="n">
        <x:f>N116-O116</x:f>
        <x:v>0</x:v>
      </x:c>
      <x:c r="Q116" s="116" t="n">
        <x:f>IF(L116&lt;$D$5,0,IF(L116=$D$5,P116,Q115+P116))</x:f>
        <x:v>0</x:v>
      </x:c>
      <x:c r="R116" s="116" t="n">
        <x:f>IF(L116&lt;$D$5,"",$J$10+Q116)</x:f>
        <x:v>0</x:v>
      </x:c>
      <x:c r="S116" s="116" t="n">
        <x:f>IF($L116&lt;$D$5,"",IF($L116=$D$5,$J$10+$N116-IF($M116,IF(INT(($L116-$D$5)/7)&lt;$A$20,$B$20,$D$10),0),S115+$N116-IF($M116,IF(INT(($L116-$D$5)/7)&lt;$A$20,$B$20,$D$10),0)))</x:f>
        <x:v>0</x:v>
      </x:c>
      <x:c r="T116" s="116" t="n">
        <x:f>IF($L116&lt;$D$5,"",IF($L116=$D$5,$J$10+$N116-IF($M116,IF(INT(($L116-$D$5)/7)&lt;$A$21,$B$21,$D$10),0),T115+$N116-IF($M116,IF(INT(($L116-$D$5)/7)&lt;$A$21,$B$21,$D$10),0)))</x:f>
        <x:v>0</x:v>
      </x:c>
      <x:c r="U116" s="116" t="n">
        <x:f>IF($L116&lt;$D$5,"",IF($L116=$D$5,$J$10+$N116-IF($M116,IF(INT(($L116-$D$5)/7)&lt;$A$22,$B$22,$D$10),0),U115+$N116-IF($M116,IF(INT(($L116-$D$5)/7)&lt;$A$22,$B$22,$D$10),0)))</x:f>
        <x:v>0</x:v>
      </x:c>
      <x:c r="V116" s="116" t="n">
        <x:f>IF($L116&lt;$D$5,"",IF($L116=$D$5,$J$10+$N116-IF($M116,IF(INT(($L116-$D$5)/7)&lt;$A$23,$B$23,$D$10),0),V115+$N116-IF($M116,IF(INT(($L116-$D$5)/7)&lt;$A$23,$B$23,$D$10),0)))</x:f>
        <x:v>0</x:v>
      </x:c>
      <x:c r="W116" s="116" t="n">
        <x:f>IF($L116&lt;$D$5,"",IF($L116=$D$5,$J$10+$N116-IF($M116,IF(INT(($L116-$D$5)/7)&lt;$A$24,$B$24,$D$10),0),W115+$N116-IF($M116,IF(INT(($L116-$D$5)/7)&lt;$A$24,$B$24,$D$10),0)))</x:f>
        <x:v>0</x:v>
      </x:c>
      <x:c r="X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Y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Z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A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B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C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D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E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F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G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H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I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J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K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L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M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N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O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P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Q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R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S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T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U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V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W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X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Y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AZ116" s="116"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c r="BA116" s="117" t="n">
        <x:f>IF(OR(INDEX('1 Budget annuel'!$A$14:$A$43,COLUMN()-COLUMN($X$42)+1)&lt;&gt;"Oui",INDEX('1 Budget annuel'!$L$14:$L$43,COLUMN()-COLUMN($X$42)+1)="",AND(INDEX('1 Budget annuel'!$B$14:$B$43,COLUMN()-COLUMN($X$42)+1)="Sortie",INDEX('1 Budget annuel'!$M$14:$M$43,COLUMN()-COLUMN($X$42)+1)="Oui"),$L116&lt;INDEX('1 Budget annuel'!$L$14:$L$43,COLUMN()-COLUMN($X$42)+1),$L116&gt;$D$5+363),0,IF(OR(AND(INDEX('1 Budget annuel'!$E$14:$E$43,COLUMN()-COLUMN($X$42)+1)="Hebdomadaire",MOD($L116-INDEX('1 Budget annuel'!$L$14:$L$43,COLUMN()-COLUMN($X$42)+1),7)=0),AND(INDEX('1 Budget annuel'!$E$14:$E$43,COLUMN()-COLUMN($X$42)+1)="Toutes les 4 semaines",MOD($L116-INDEX('1 Budget annuel'!$L$14:$L$43,COLUMN()-COLUMN($X$42)+1),28)=0),AND(INDEX('1 Budget annuel'!$E$14:$E$43,COLUMN()-COLUMN($X$42)+1)="Mensuelle",DAY($L116)=MIN(DAY(INDEX('1 Budget annuel'!$L$14:$L$43,COLUMN()-COLUMN($X$42)+1)),DAY(EOMONTH($L116,0)))),AND(INDEX('1 Budget annuel'!$E$14:$E$43,COLUMN()-COLUMN($X$42)+1)="Trimestrielle",MOD((YEAR($L116)-YEAR(INDEX('1 Budget annuel'!$L$14:$L$43,COLUMN()-COLUMN($X$42)+1)))*12+MONTH($L116)-MONTH(INDEX('1 Budget annuel'!$L$14:$L$43,COLUMN()-COLUMN($X$42)+1)),3)=0,DAY($L116)=MIN(DAY(INDEX('1 Budget annuel'!$L$14:$L$43,COLUMN()-COLUMN($X$42)+1)),DAY(EOMONTH($L116,0)))),AND(INDEX('1 Budget annuel'!$E$14:$E$43,COLUMN()-COLUMN($X$42)+1)="Semestrielle",MOD((YEAR($L116)-YEAR(INDEX('1 Budget annuel'!$L$14:$L$43,COLUMN()-COLUMN($X$42)+1)))*12+MONTH($L116)-MONTH(INDEX('1 Budget annuel'!$L$14:$L$43,COLUMN()-COLUMN($X$42)+1)),6)=0,DAY($L116)=MIN(DAY(INDEX('1 Budget annuel'!$L$14:$L$43,COLUMN()-COLUMN($X$42)+1)),DAY(EOMONTH($L116,0)))),AND(INDEX('1 Budget annuel'!$E$14:$E$43,COLUMN()-COLUMN($X$42)+1)="Annuelle",MOD((YEAR($L116)-YEAR(INDEX('1 Budget annuel'!$L$14:$L$43,COLUMN()-COLUMN($X$42)+1)))*12+MONTH($L116)-MONTH(INDEX('1 Budget annuel'!$L$14:$L$43,COLUMN()-COLUMN($X$42)+1)),12)=0,DAY($L116)=MIN(DAY(INDEX('1 Budget annuel'!$L$14:$L$43,COLUMN()-COLUMN($X$42)+1)),DAY(EOMONTH($L116,0))))),IF(INDEX('1 Budget annuel'!$B$14:$B$43,COLUMN()-COLUMN($X$42)+1)="Entrée",INDEX('1 Budget annuel'!$I$14:$I$43,COLUMN()-COLUMN($X$42)+1),-INDEX('1 Budget annuel'!$I$14:$I$43,COLUMN()-COLUMN($X$42)+1)),0))</x:f>
        <x:v>0</x:v>
      </x:c>
    </x:row>
    <x:row r="117">
      <x:c r="L117" s="114" t="n">
        <x:f>L116+1</x:f>
        <x:v>46311</x:v>
      </x:c>
      <x:c r="M117" s="115" t="b">
        <x:f>AND(L117&gt;=$D$5,L117&lt;=$D$5+363,MOD(L117-$D$5,7)=0)</x:f>
        <x:v>0</x:v>
      </x:c>
      <x:c r="N117" s="116" t="n">
        <x:f>SUM(X117:BA117)</x:f>
        <x:v>0</x:v>
      </x:c>
      <x:c r="O117" s="116" t="n">
        <x:f>IF(M117,$D$10,0)</x:f>
        <x:v>0</x:v>
      </x:c>
      <x:c r="P117" s="116" t="n">
        <x:f>N117-O117</x:f>
        <x:v>0</x:v>
      </x:c>
      <x:c r="Q117" s="116" t="n">
        <x:f>IF(L117&lt;$D$5,0,IF(L117=$D$5,P117,Q116+P117))</x:f>
        <x:v>0</x:v>
      </x:c>
      <x:c r="R117" s="116" t="n">
        <x:f>IF(L117&lt;$D$5,"",$J$10+Q117)</x:f>
        <x:v>0</x:v>
      </x:c>
      <x:c r="S117" s="116" t="n">
        <x:f>IF($L117&lt;$D$5,"",IF($L117=$D$5,$J$10+$N117-IF($M117,IF(INT(($L117-$D$5)/7)&lt;$A$20,$B$20,$D$10),0),S116+$N117-IF($M117,IF(INT(($L117-$D$5)/7)&lt;$A$20,$B$20,$D$10),0)))</x:f>
        <x:v>0</x:v>
      </x:c>
      <x:c r="T117" s="116" t="n">
        <x:f>IF($L117&lt;$D$5,"",IF($L117=$D$5,$J$10+$N117-IF($M117,IF(INT(($L117-$D$5)/7)&lt;$A$21,$B$21,$D$10),0),T116+$N117-IF($M117,IF(INT(($L117-$D$5)/7)&lt;$A$21,$B$21,$D$10),0)))</x:f>
        <x:v>0</x:v>
      </x:c>
      <x:c r="U117" s="116" t="n">
        <x:f>IF($L117&lt;$D$5,"",IF($L117=$D$5,$J$10+$N117-IF($M117,IF(INT(($L117-$D$5)/7)&lt;$A$22,$B$22,$D$10),0),U116+$N117-IF($M117,IF(INT(($L117-$D$5)/7)&lt;$A$22,$B$22,$D$10),0)))</x:f>
        <x:v>0</x:v>
      </x:c>
      <x:c r="V117" s="116" t="n">
        <x:f>IF($L117&lt;$D$5,"",IF($L117=$D$5,$J$10+$N117-IF($M117,IF(INT(($L117-$D$5)/7)&lt;$A$23,$B$23,$D$10),0),V116+$N117-IF($M117,IF(INT(($L117-$D$5)/7)&lt;$A$23,$B$23,$D$10),0)))</x:f>
        <x:v>0</x:v>
      </x:c>
      <x:c r="W117" s="116" t="n">
        <x:f>IF($L117&lt;$D$5,"",IF($L117=$D$5,$J$10+$N117-IF($M117,IF(INT(($L117-$D$5)/7)&lt;$A$24,$B$24,$D$10),0),W116+$N117-IF($M117,IF(INT(($L117-$D$5)/7)&lt;$A$24,$B$24,$D$10),0)))</x:f>
        <x:v>0</x:v>
      </x:c>
      <x:c r="X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Y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Z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A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B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C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D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E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F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G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H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I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J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K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L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M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N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O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P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Q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R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S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T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U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V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W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X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Y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AZ117" s="116"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c r="BA117" s="117" t="n">
        <x:f>IF(OR(INDEX('1 Budget annuel'!$A$14:$A$43,COLUMN()-COLUMN($X$42)+1)&lt;&gt;"Oui",INDEX('1 Budget annuel'!$L$14:$L$43,COLUMN()-COLUMN($X$42)+1)="",AND(INDEX('1 Budget annuel'!$B$14:$B$43,COLUMN()-COLUMN($X$42)+1)="Sortie",INDEX('1 Budget annuel'!$M$14:$M$43,COLUMN()-COLUMN($X$42)+1)="Oui"),$L117&lt;INDEX('1 Budget annuel'!$L$14:$L$43,COLUMN()-COLUMN($X$42)+1),$L117&gt;$D$5+363),0,IF(OR(AND(INDEX('1 Budget annuel'!$E$14:$E$43,COLUMN()-COLUMN($X$42)+1)="Hebdomadaire",MOD($L117-INDEX('1 Budget annuel'!$L$14:$L$43,COLUMN()-COLUMN($X$42)+1),7)=0),AND(INDEX('1 Budget annuel'!$E$14:$E$43,COLUMN()-COLUMN($X$42)+1)="Toutes les 4 semaines",MOD($L117-INDEX('1 Budget annuel'!$L$14:$L$43,COLUMN()-COLUMN($X$42)+1),28)=0),AND(INDEX('1 Budget annuel'!$E$14:$E$43,COLUMN()-COLUMN($X$42)+1)="Mensuelle",DAY($L117)=MIN(DAY(INDEX('1 Budget annuel'!$L$14:$L$43,COLUMN()-COLUMN($X$42)+1)),DAY(EOMONTH($L117,0)))),AND(INDEX('1 Budget annuel'!$E$14:$E$43,COLUMN()-COLUMN($X$42)+1)="Trimestrielle",MOD((YEAR($L117)-YEAR(INDEX('1 Budget annuel'!$L$14:$L$43,COLUMN()-COLUMN($X$42)+1)))*12+MONTH($L117)-MONTH(INDEX('1 Budget annuel'!$L$14:$L$43,COLUMN()-COLUMN($X$42)+1)),3)=0,DAY($L117)=MIN(DAY(INDEX('1 Budget annuel'!$L$14:$L$43,COLUMN()-COLUMN($X$42)+1)),DAY(EOMONTH($L117,0)))),AND(INDEX('1 Budget annuel'!$E$14:$E$43,COLUMN()-COLUMN($X$42)+1)="Semestrielle",MOD((YEAR($L117)-YEAR(INDEX('1 Budget annuel'!$L$14:$L$43,COLUMN()-COLUMN($X$42)+1)))*12+MONTH($L117)-MONTH(INDEX('1 Budget annuel'!$L$14:$L$43,COLUMN()-COLUMN($X$42)+1)),6)=0,DAY($L117)=MIN(DAY(INDEX('1 Budget annuel'!$L$14:$L$43,COLUMN()-COLUMN($X$42)+1)),DAY(EOMONTH($L117,0)))),AND(INDEX('1 Budget annuel'!$E$14:$E$43,COLUMN()-COLUMN($X$42)+1)="Annuelle",MOD((YEAR($L117)-YEAR(INDEX('1 Budget annuel'!$L$14:$L$43,COLUMN()-COLUMN($X$42)+1)))*12+MONTH($L117)-MONTH(INDEX('1 Budget annuel'!$L$14:$L$43,COLUMN()-COLUMN($X$42)+1)),12)=0,DAY($L117)=MIN(DAY(INDEX('1 Budget annuel'!$L$14:$L$43,COLUMN()-COLUMN($X$42)+1)),DAY(EOMONTH($L117,0))))),IF(INDEX('1 Budget annuel'!$B$14:$B$43,COLUMN()-COLUMN($X$42)+1)="Entrée",INDEX('1 Budget annuel'!$I$14:$I$43,COLUMN()-COLUMN($X$42)+1),-INDEX('1 Budget annuel'!$I$14:$I$43,COLUMN()-COLUMN($X$42)+1)),0))</x:f>
        <x:v>0</x:v>
      </x:c>
    </x:row>
    <x:row r="118">
      <x:c r="L118" s="114" t="n">
        <x:f>L117+1</x:f>
        <x:v>46312</x:v>
      </x:c>
      <x:c r="M118" s="115" t="b">
        <x:f>AND(L118&gt;=$D$5,L118&lt;=$D$5+363,MOD(L118-$D$5,7)=0)</x:f>
        <x:v>1</x:v>
      </x:c>
      <x:c r="N118" s="116" t="n">
        <x:f>SUM(X118:BA118)</x:f>
        <x:v>0</x:v>
      </x:c>
      <x:c r="O118" s="116" t="n">
        <x:f>IF(M118,$D$10,0)</x:f>
        <x:v>0</x:v>
      </x:c>
      <x:c r="P118" s="116" t="n">
        <x:f>N118-O118</x:f>
        <x:v>0</x:v>
      </x:c>
      <x:c r="Q118" s="116" t="n">
        <x:f>IF(L118&lt;$D$5,0,IF(L118=$D$5,P118,Q117+P118))</x:f>
        <x:v>0</x:v>
      </x:c>
      <x:c r="R118" s="116" t="n">
        <x:f>IF(L118&lt;$D$5,"",$J$10+Q118)</x:f>
        <x:v>0</x:v>
      </x:c>
      <x:c r="S118" s="116" t="n">
        <x:f>IF($L118&lt;$D$5,"",IF($L118=$D$5,$J$10+$N118-IF($M118,IF(INT(($L118-$D$5)/7)&lt;$A$20,$B$20,$D$10),0),S117+$N118-IF($M118,IF(INT(($L118-$D$5)/7)&lt;$A$20,$B$20,$D$10),0)))</x:f>
        <x:v>0</x:v>
      </x:c>
      <x:c r="T118" s="116" t="n">
        <x:f>IF($L118&lt;$D$5,"",IF($L118=$D$5,$J$10+$N118-IF($M118,IF(INT(($L118-$D$5)/7)&lt;$A$21,$B$21,$D$10),0),T117+$N118-IF($M118,IF(INT(($L118-$D$5)/7)&lt;$A$21,$B$21,$D$10),0)))</x:f>
        <x:v>0</x:v>
      </x:c>
      <x:c r="U118" s="116" t="n">
        <x:f>IF($L118&lt;$D$5,"",IF($L118=$D$5,$J$10+$N118-IF($M118,IF(INT(($L118-$D$5)/7)&lt;$A$22,$B$22,$D$10),0),U117+$N118-IF($M118,IF(INT(($L118-$D$5)/7)&lt;$A$22,$B$22,$D$10),0)))</x:f>
        <x:v>0</x:v>
      </x:c>
      <x:c r="V118" s="116" t="n">
        <x:f>IF($L118&lt;$D$5,"",IF($L118=$D$5,$J$10+$N118-IF($M118,IF(INT(($L118-$D$5)/7)&lt;$A$23,$B$23,$D$10),0),V117+$N118-IF($M118,IF(INT(($L118-$D$5)/7)&lt;$A$23,$B$23,$D$10),0)))</x:f>
        <x:v>0</x:v>
      </x:c>
      <x:c r="W118" s="116" t="n">
        <x:f>IF($L118&lt;$D$5,"",IF($L118=$D$5,$J$10+$N118-IF($M118,IF(INT(($L118-$D$5)/7)&lt;$A$24,$B$24,$D$10),0),W117+$N118-IF($M118,IF(INT(($L118-$D$5)/7)&lt;$A$24,$B$24,$D$10),0)))</x:f>
        <x:v>0</x:v>
      </x:c>
      <x:c r="X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Y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Z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A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B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C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D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E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F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G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H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I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J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K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L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M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N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O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P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Q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R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S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T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U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V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W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X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Y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AZ118" s="116"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c r="BA118" s="117" t="n">
        <x:f>IF(OR(INDEX('1 Budget annuel'!$A$14:$A$43,COLUMN()-COLUMN($X$42)+1)&lt;&gt;"Oui",INDEX('1 Budget annuel'!$L$14:$L$43,COLUMN()-COLUMN($X$42)+1)="",AND(INDEX('1 Budget annuel'!$B$14:$B$43,COLUMN()-COLUMN($X$42)+1)="Sortie",INDEX('1 Budget annuel'!$M$14:$M$43,COLUMN()-COLUMN($X$42)+1)="Oui"),$L118&lt;INDEX('1 Budget annuel'!$L$14:$L$43,COLUMN()-COLUMN($X$42)+1),$L118&gt;$D$5+363),0,IF(OR(AND(INDEX('1 Budget annuel'!$E$14:$E$43,COLUMN()-COLUMN($X$42)+1)="Hebdomadaire",MOD($L118-INDEX('1 Budget annuel'!$L$14:$L$43,COLUMN()-COLUMN($X$42)+1),7)=0),AND(INDEX('1 Budget annuel'!$E$14:$E$43,COLUMN()-COLUMN($X$42)+1)="Toutes les 4 semaines",MOD($L118-INDEX('1 Budget annuel'!$L$14:$L$43,COLUMN()-COLUMN($X$42)+1),28)=0),AND(INDEX('1 Budget annuel'!$E$14:$E$43,COLUMN()-COLUMN($X$42)+1)="Mensuelle",DAY($L118)=MIN(DAY(INDEX('1 Budget annuel'!$L$14:$L$43,COLUMN()-COLUMN($X$42)+1)),DAY(EOMONTH($L118,0)))),AND(INDEX('1 Budget annuel'!$E$14:$E$43,COLUMN()-COLUMN($X$42)+1)="Trimestrielle",MOD((YEAR($L118)-YEAR(INDEX('1 Budget annuel'!$L$14:$L$43,COLUMN()-COLUMN($X$42)+1)))*12+MONTH($L118)-MONTH(INDEX('1 Budget annuel'!$L$14:$L$43,COLUMN()-COLUMN($X$42)+1)),3)=0,DAY($L118)=MIN(DAY(INDEX('1 Budget annuel'!$L$14:$L$43,COLUMN()-COLUMN($X$42)+1)),DAY(EOMONTH($L118,0)))),AND(INDEX('1 Budget annuel'!$E$14:$E$43,COLUMN()-COLUMN($X$42)+1)="Semestrielle",MOD((YEAR($L118)-YEAR(INDEX('1 Budget annuel'!$L$14:$L$43,COLUMN()-COLUMN($X$42)+1)))*12+MONTH($L118)-MONTH(INDEX('1 Budget annuel'!$L$14:$L$43,COLUMN()-COLUMN($X$42)+1)),6)=0,DAY($L118)=MIN(DAY(INDEX('1 Budget annuel'!$L$14:$L$43,COLUMN()-COLUMN($X$42)+1)),DAY(EOMONTH($L118,0)))),AND(INDEX('1 Budget annuel'!$E$14:$E$43,COLUMN()-COLUMN($X$42)+1)="Annuelle",MOD((YEAR($L118)-YEAR(INDEX('1 Budget annuel'!$L$14:$L$43,COLUMN()-COLUMN($X$42)+1)))*12+MONTH($L118)-MONTH(INDEX('1 Budget annuel'!$L$14:$L$43,COLUMN()-COLUMN($X$42)+1)),12)=0,DAY($L118)=MIN(DAY(INDEX('1 Budget annuel'!$L$14:$L$43,COLUMN()-COLUMN($X$42)+1)),DAY(EOMONTH($L118,0))))),IF(INDEX('1 Budget annuel'!$B$14:$B$43,COLUMN()-COLUMN($X$42)+1)="Entrée",INDEX('1 Budget annuel'!$I$14:$I$43,COLUMN()-COLUMN($X$42)+1),-INDEX('1 Budget annuel'!$I$14:$I$43,COLUMN()-COLUMN($X$42)+1)),0))</x:f>
        <x:v>0</x:v>
      </x:c>
    </x:row>
    <x:row r="119">
      <x:c r="L119" s="114" t="n">
        <x:f>L118+1</x:f>
        <x:v>46313</x:v>
      </x:c>
      <x:c r="M119" s="115" t="b">
        <x:f>AND(L119&gt;=$D$5,L119&lt;=$D$5+363,MOD(L119-$D$5,7)=0)</x:f>
        <x:v>0</x:v>
      </x:c>
      <x:c r="N119" s="116" t="n">
        <x:f>SUM(X119:BA119)</x:f>
        <x:v>0</x:v>
      </x:c>
      <x:c r="O119" s="116" t="n">
        <x:f>IF(M119,$D$10,0)</x:f>
        <x:v>0</x:v>
      </x:c>
      <x:c r="P119" s="116" t="n">
        <x:f>N119-O119</x:f>
        <x:v>0</x:v>
      </x:c>
      <x:c r="Q119" s="116" t="n">
        <x:f>IF(L119&lt;$D$5,0,IF(L119=$D$5,P119,Q118+P119))</x:f>
        <x:v>0</x:v>
      </x:c>
      <x:c r="R119" s="116" t="n">
        <x:f>IF(L119&lt;$D$5,"",$J$10+Q119)</x:f>
        <x:v>0</x:v>
      </x:c>
      <x:c r="S119" s="116" t="n">
        <x:f>IF($L119&lt;$D$5,"",IF($L119=$D$5,$J$10+$N119-IF($M119,IF(INT(($L119-$D$5)/7)&lt;$A$20,$B$20,$D$10),0),S118+$N119-IF($M119,IF(INT(($L119-$D$5)/7)&lt;$A$20,$B$20,$D$10),0)))</x:f>
        <x:v>0</x:v>
      </x:c>
      <x:c r="T119" s="116" t="n">
        <x:f>IF($L119&lt;$D$5,"",IF($L119=$D$5,$J$10+$N119-IF($M119,IF(INT(($L119-$D$5)/7)&lt;$A$21,$B$21,$D$10),0),T118+$N119-IF($M119,IF(INT(($L119-$D$5)/7)&lt;$A$21,$B$21,$D$10),0)))</x:f>
        <x:v>0</x:v>
      </x:c>
      <x:c r="U119" s="116" t="n">
        <x:f>IF($L119&lt;$D$5,"",IF($L119=$D$5,$J$10+$N119-IF($M119,IF(INT(($L119-$D$5)/7)&lt;$A$22,$B$22,$D$10),0),U118+$N119-IF($M119,IF(INT(($L119-$D$5)/7)&lt;$A$22,$B$22,$D$10),0)))</x:f>
        <x:v>0</x:v>
      </x:c>
      <x:c r="V119" s="116" t="n">
        <x:f>IF($L119&lt;$D$5,"",IF($L119=$D$5,$J$10+$N119-IF($M119,IF(INT(($L119-$D$5)/7)&lt;$A$23,$B$23,$D$10),0),V118+$N119-IF($M119,IF(INT(($L119-$D$5)/7)&lt;$A$23,$B$23,$D$10),0)))</x:f>
        <x:v>0</x:v>
      </x:c>
      <x:c r="W119" s="116" t="n">
        <x:f>IF($L119&lt;$D$5,"",IF($L119=$D$5,$J$10+$N119-IF($M119,IF(INT(($L119-$D$5)/7)&lt;$A$24,$B$24,$D$10),0),W118+$N119-IF($M119,IF(INT(($L119-$D$5)/7)&lt;$A$24,$B$24,$D$10),0)))</x:f>
        <x:v>0</x:v>
      </x:c>
      <x:c r="X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Y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Z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A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B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C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D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E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F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G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H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I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J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K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L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M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N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O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P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Q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R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S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T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U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V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W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X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Y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AZ119" s="116"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c r="BA119" s="117" t="n">
        <x:f>IF(OR(INDEX('1 Budget annuel'!$A$14:$A$43,COLUMN()-COLUMN($X$42)+1)&lt;&gt;"Oui",INDEX('1 Budget annuel'!$L$14:$L$43,COLUMN()-COLUMN($X$42)+1)="",AND(INDEX('1 Budget annuel'!$B$14:$B$43,COLUMN()-COLUMN($X$42)+1)="Sortie",INDEX('1 Budget annuel'!$M$14:$M$43,COLUMN()-COLUMN($X$42)+1)="Oui"),$L119&lt;INDEX('1 Budget annuel'!$L$14:$L$43,COLUMN()-COLUMN($X$42)+1),$L119&gt;$D$5+363),0,IF(OR(AND(INDEX('1 Budget annuel'!$E$14:$E$43,COLUMN()-COLUMN($X$42)+1)="Hebdomadaire",MOD($L119-INDEX('1 Budget annuel'!$L$14:$L$43,COLUMN()-COLUMN($X$42)+1),7)=0),AND(INDEX('1 Budget annuel'!$E$14:$E$43,COLUMN()-COLUMN($X$42)+1)="Toutes les 4 semaines",MOD($L119-INDEX('1 Budget annuel'!$L$14:$L$43,COLUMN()-COLUMN($X$42)+1),28)=0),AND(INDEX('1 Budget annuel'!$E$14:$E$43,COLUMN()-COLUMN($X$42)+1)="Mensuelle",DAY($L119)=MIN(DAY(INDEX('1 Budget annuel'!$L$14:$L$43,COLUMN()-COLUMN($X$42)+1)),DAY(EOMONTH($L119,0)))),AND(INDEX('1 Budget annuel'!$E$14:$E$43,COLUMN()-COLUMN($X$42)+1)="Trimestrielle",MOD((YEAR($L119)-YEAR(INDEX('1 Budget annuel'!$L$14:$L$43,COLUMN()-COLUMN($X$42)+1)))*12+MONTH($L119)-MONTH(INDEX('1 Budget annuel'!$L$14:$L$43,COLUMN()-COLUMN($X$42)+1)),3)=0,DAY($L119)=MIN(DAY(INDEX('1 Budget annuel'!$L$14:$L$43,COLUMN()-COLUMN($X$42)+1)),DAY(EOMONTH($L119,0)))),AND(INDEX('1 Budget annuel'!$E$14:$E$43,COLUMN()-COLUMN($X$42)+1)="Semestrielle",MOD((YEAR($L119)-YEAR(INDEX('1 Budget annuel'!$L$14:$L$43,COLUMN()-COLUMN($X$42)+1)))*12+MONTH($L119)-MONTH(INDEX('1 Budget annuel'!$L$14:$L$43,COLUMN()-COLUMN($X$42)+1)),6)=0,DAY($L119)=MIN(DAY(INDEX('1 Budget annuel'!$L$14:$L$43,COLUMN()-COLUMN($X$42)+1)),DAY(EOMONTH($L119,0)))),AND(INDEX('1 Budget annuel'!$E$14:$E$43,COLUMN()-COLUMN($X$42)+1)="Annuelle",MOD((YEAR($L119)-YEAR(INDEX('1 Budget annuel'!$L$14:$L$43,COLUMN()-COLUMN($X$42)+1)))*12+MONTH($L119)-MONTH(INDEX('1 Budget annuel'!$L$14:$L$43,COLUMN()-COLUMN($X$42)+1)),12)=0,DAY($L119)=MIN(DAY(INDEX('1 Budget annuel'!$L$14:$L$43,COLUMN()-COLUMN($X$42)+1)),DAY(EOMONTH($L119,0))))),IF(INDEX('1 Budget annuel'!$B$14:$B$43,COLUMN()-COLUMN($X$42)+1)="Entrée",INDEX('1 Budget annuel'!$I$14:$I$43,COLUMN()-COLUMN($X$42)+1),-INDEX('1 Budget annuel'!$I$14:$I$43,COLUMN()-COLUMN($X$42)+1)),0))</x:f>
        <x:v>0</x:v>
      </x:c>
    </x:row>
    <x:row r="120">
      <x:c r="L120" s="114" t="n">
        <x:f>L119+1</x:f>
        <x:v>46314</x:v>
      </x:c>
      <x:c r="M120" s="115" t="b">
        <x:f>AND(L120&gt;=$D$5,L120&lt;=$D$5+363,MOD(L120-$D$5,7)=0)</x:f>
        <x:v>0</x:v>
      </x:c>
      <x:c r="N120" s="116" t="n">
        <x:f>SUM(X120:BA120)</x:f>
        <x:v>0</x:v>
      </x:c>
      <x:c r="O120" s="116" t="n">
        <x:f>IF(M120,$D$10,0)</x:f>
        <x:v>0</x:v>
      </x:c>
      <x:c r="P120" s="116" t="n">
        <x:f>N120-O120</x:f>
        <x:v>0</x:v>
      </x:c>
      <x:c r="Q120" s="116" t="n">
        <x:f>IF(L120&lt;$D$5,0,IF(L120=$D$5,P120,Q119+P120))</x:f>
        <x:v>0</x:v>
      </x:c>
      <x:c r="R120" s="116" t="n">
        <x:f>IF(L120&lt;$D$5,"",$J$10+Q120)</x:f>
        <x:v>0</x:v>
      </x:c>
      <x:c r="S120" s="116" t="n">
        <x:f>IF($L120&lt;$D$5,"",IF($L120=$D$5,$J$10+$N120-IF($M120,IF(INT(($L120-$D$5)/7)&lt;$A$20,$B$20,$D$10),0),S119+$N120-IF($M120,IF(INT(($L120-$D$5)/7)&lt;$A$20,$B$20,$D$10),0)))</x:f>
        <x:v>0</x:v>
      </x:c>
      <x:c r="T120" s="116" t="n">
        <x:f>IF($L120&lt;$D$5,"",IF($L120=$D$5,$J$10+$N120-IF($M120,IF(INT(($L120-$D$5)/7)&lt;$A$21,$B$21,$D$10),0),T119+$N120-IF($M120,IF(INT(($L120-$D$5)/7)&lt;$A$21,$B$21,$D$10),0)))</x:f>
        <x:v>0</x:v>
      </x:c>
      <x:c r="U120" s="116" t="n">
        <x:f>IF($L120&lt;$D$5,"",IF($L120=$D$5,$J$10+$N120-IF($M120,IF(INT(($L120-$D$5)/7)&lt;$A$22,$B$22,$D$10),0),U119+$N120-IF($M120,IF(INT(($L120-$D$5)/7)&lt;$A$22,$B$22,$D$10),0)))</x:f>
        <x:v>0</x:v>
      </x:c>
      <x:c r="V120" s="116" t="n">
        <x:f>IF($L120&lt;$D$5,"",IF($L120=$D$5,$J$10+$N120-IF($M120,IF(INT(($L120-$D$5)/7)&lt;$A$23,$B$23,$D$10),0),V119+$N120-IF($M120,IF(INT(($L120-$D$5)/7)&lt;$A$23,$B$23,$D$10),0)))</x:f>
        <x:v>0</x:v>
      </x:c>
      <x:c r="W120" s="116" t="n">
        <x:f>IF($L120&lt;$D$5,"",IF($L120=$D$5,$J$10+$N120-IF($M120,IF(INT(($L120-$D$5)/7)&lt;$A$24,$B$24,$D$10),0),W119+$N120-IF($M120,IF(INT(($L120-$D$5)/7)&lt;$A$24,$B$24,$D$10),0)))</x:f>
        <x:v>0</x:v>
      </x:c>
      <x:c r="X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Y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Z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A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B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C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D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E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F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G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H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I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J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K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L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M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N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O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P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Q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R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S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T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U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V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W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X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Y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AZ120" s="116"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c r="BA120" s="117" t="n">
        <x:f>IF(OR(INDEX('1 Budget annuel'!$A$14:$A$43,COLUMN()-COLUMN($X$42)+1)&lt;&gt;"Oui",INDEX('1 Budget annuel'!$L$14:$L$43,COLUMN()-COLUMN($X$42)+1)="",AND(INDEX('1 Budget annuel'!$B$14:$B$43,COLUMN()-COLUMN($X$42)+1)="Sortie",INDEX('1 Budget annuel'!$M$14:$M$43,COLUMN()-COLUMN($X$42)+1)="Oui"),$L120&lt;INDEX('1 Budget annuel'!$L$14:$L$43,COLUMN()-COLUMN($X$42)+1),$L120&gt;$D$5+363),0,IF(OR(AND(INDEX('1 Budget annuel'!$E$14:$E$43,COLUMN()-COLUMN($X$42)+1)="Hebdomadaire",MOD($L120-INDEX('1 Budget annuel'!$L$14:$L$43,COLUMN()-COLUMN($X$42)+1),7)=0),AND(INDEX('1 Budget annuel'!$E$14:$E$43,COLUMN()-COLUMN($X$42)+1)="Toutes les 4 semaines",MOD($L120-INDEX('1 Budget annuel'!$L$14:$L$43,COLUMN()-COLUMN($X$42)+1),28)=0),AND(INDEX('1 Budget annuel'!$E$14:$E$43,COLUMN()-COLUMN($X$42)+1)="Mensuelle",DAY($L120)=MIN(DAY(INDEX('1 Budget annuel'!$L$14:$L$43,COLUMN()-COLUMN($X$42)+1)),DAY(EOMONTH($L120,0)))),AND(INDEX('1 Budget annuel'!$E$14:$E$43,COLUMN()-COLUMN($X$42)+1)="Trimestrielle",MOD((YEAR($L120)-YEAR(INDEX('1 Budget annuel'!$L$14:$L$43,COLUMN()-COLUMN($X$42)+1)))*12+MONTH($L120)-MONTH(INDEX('1 Budget annuel'!$L$14:$L$43,COLUMN()-COLUMN($X$42)+1)),3)=0,DAY($L120)=MIN(DAY(INDEX('1 Budget annuel'!$L$14:$L$43,COLUMN()-COLUMN($X$42)+1)),DAY(EOMONTH($L120,0)))),AND(INDEX('1 Budget annuel'!$E$14:$E$43,COLUMN()-COLUMN($X$42)+1)="Semestrielle",MOD((YEAR($L120)-YEAR(INDEX('1 Budget annuel'!$L$14:$L$43,COLUMN()-COLUMN($X$42)+1)))*12+MONTH($L120)-MONTH(INDEX('1 Budget annuel'!$L$14:$L$43,COLUMN()-COLUMN($X$42)+1)),6)=0,DAY($L120)=MIN(DAY(INDEX('1 Budget annuel'!$L$14:$L$43,COLUMN()-COLUMN($X$42)+1)),DAY(EOMONTH($L120,0)))),AND(INDEX('1 Budget annuel'!$E$14:$E$43,COLUMN()-COLUMN($X$42)+1)="Annuelle",MOD((YEAR($L120)-YEAR(INDEX('1 Budget annuel'!$L$14:$L$43,COLUMN()-COLUMN($X$42)+1)))*12+MONTH($L120)-MONTH(INDEX('1 Budget annuel'!$L$14:$L$43,COLUMN()-COLUMN($X$42)+1)),12)=0,DAY($L120)=MIN(DAY(INDEX('1 Budget annuel'!$L$14:$L$43,COLUMN()-COLUMN($X$42)+1)),DAY(EOMONTH($L120,0))))),IF(INDEX('1 Budget annuel'!$B$14:$B$43,COLUMN()-COLUMN($X$42)+1)="Entrée",INDEX('1 Budget annuel'!$I$14:$I$43,COLUMN()-COLUMN($X$42)+1),-INDEX('1 Budget annuel'!$I$14:$I$43,COLUMN()-COLUMN($X$42)+1)),0))</x:f>
        <x:v>0</x:v>
      </x:c>
    </x:row>
    <x:row r="121">
      <x:c r="L121" s="114" t="n">
        <x:f>L120+1</x:f>
        <x:v>46315</x:v>
      </x:c>
      <x:c r="M121" s="115" t="b">
        <x:f>AND(L121&gt;=$D$5,L121&lt;=$D$5+363,MOD(L121-$D$5,7)=0)</x:f>
        <x:v>0</x:v>
      </x:c>
      <x:c r="N121" s="116" t="n">
        <x:f>SUM(X121:BA121)</x:f>
        <x:v>0</x:v>
      </x:c>
      <x:c r="O121" s="116" t="n">
        <x:f>IF(M121,$D$10,0)</x:f>
        <x:v>0</x:v>
      </x:c>
      <x:c r="P121" s="116" t="n">
        <x:f>N121-O121</x:f>
        <x:v>0</x:v>
      </x:c>
      <x:c r="Q121" s="116" t="n">
        <x:f>IF(L121&lt;$D$5,0,IF(L121=$D$5,P121,Q120+P121))</x:f>
        <x:v>0</x:v>
      </x:c>
      <x:c r="R121" s="116" t="n">
        <x:f>IF(L121&lt;$D$5,"",$J$10+Q121)</x:f>
        <x:v>0</x:v>
      </x:c>
      <x:c r="S121" s="116" t="n">
        <x:f>IF($L121&lt;$D$5,"",IF($L121=$D$5,$J$10+$N121-IF($M121,IF(INT(($L121-$D$5)/7)&lt;$A$20,$B$20,$D$10),0),S120+$N121-IF($M121,IF(INT(($L121-$D$5)/7)&lt;$A$20,$B$20,$D$10),0)))</x:f>
        <x:v>0</x:v>
      </x:c>
      <x:c r="T121" s="116" t="n">
        <x:f>IF($L121&lt;$D$5,"",IF($L121=$D$5,$J$10+$N121-IF($M121,IF(INT(($L121-$D$5)/7)&lt;$A$21,$B$21,$D$10),0),T120+$N121-IF($M121,IF(INT(($L121-$D$5)/7)&lt;$A$21,$B$21,$D$10),0)))</x:f>
        <x:v>0</x:v>
      </x:c>
      <x:c r="U121" s="116" t="n">
        <x:f>IF($L121&lt;$D$5,"",IF($L121=$D$5,$J$10+$N121-IF($M121,IF(INT(($L121-$D$5)/7)&lt;$A$22,$B$22,$D$10),0),U120+$N121-IF($M121,IF(INT(($L121-$D$5)/7)&lt;$A$22,$B$22,$D$10),0)))</x:f>
        <x:v>0</x:v>
      </x:c>
      <x:c r="V121" s="116" t="n">
        <x:f>IF($L121&lt;$D$5,"",IF($L121=$D$5,$J$10+$N121-IF($M121,IF(INT(($L121-$D$5)/7)&lt;$A$23,$B$23,$D$10),0),V120+$N121-IF($M121,IF(INT(($L121-$D$5)/7)&lt;$A$23,$B$23,$D$10),0)))</x:f>
        <x:v>0</x:v>
      </x:c>
      <x:c r="W121" s="116" t="n">
        <x:f>IF($L121&lt;$D$5,"",IF($L121=$D$5,$J$10+$N121-IF($M121,IF(INT(($L121-$D$5)/7)&lt;$A$24,$B$24,$D$10),0),W120+$N121-IF($M121,IF(INT(($L121-$D$5)/7)&lt;$A$24,$B$24,$D$10),0)))</x:f>
        <x:v>0</x:v>
      </x:c>
      <x:c r="X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Y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Z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A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B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C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D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E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F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G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H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I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J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K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L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M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N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O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P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Q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R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S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T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U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V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W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X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Y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AZ121" s="116"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c r="BA121" s="117" t="n">
        <x:f>IF(OR(INDEX('1 Budget annuel'!$A$14:$A$43,COLUMN()-COLUMN($X$42)+1)&lt;&gt;"Oui",INDEX('1 Budget annuel'!$L$14:$L$43,COLUMN()-COLUMN($X$42)+1)="",AND(INDEX('1 Budget annuel'!$B$14:$B$43,COLUMN()-COLUMN($X$42)+1)="Sortie",INDEX('1 Budget annuel'!$M$14:$M$43,COLUMN()-COLUMN($X$42)+1)="Oui"),$L121&lt;INDEX('1 Budget annuel'!$L$14:$L$43,COLUMN()-COLUMN($X$42)+1),$L121&gt;$D$5+363),0,IF(OR(AND(INDEX('1 Budget annuel'!$E$14:$E$43,COLUMN()-COLUMN($X$42)+1)="Hebdomadaire",MOD($L121-INDEX('1 Budget annuel'!$L$14:$L$43,COLUMN()-COLUMN($X$42)+1),7)=0),AND(INDEX('1 Budget annuel'!$E$14:$E$43,COLUMN()-COLUMN($X$42)+1)="Toutes les 4 semaines",MOD($L121-INDEX('1 Budget annuel'!$L$14:$L$43,COLUMN()-COLUMN($X$42)+1),28)=0),AND(INDEX('1 Budget annuel'!$E$14:$E$43,COLUMN()-COLUMN($X$42)+1)="Mensuelle",DAY($L121)=MIN(DAY(INDEX('1 Budget annuel'!$L$14:$L$43,COLUMN()-COLUMN($X$42)+1)),DAY(EOMONTH($L121,0)))),AND(INDEX('1 Budget annuel'!$E$14:$E$43,COLUMN()-COLUMN($X$42)+1)="Trimestrielle",MOD((YEAR($L121)-YEAR(INDEX('1 Budget annuel'!$L$14:$L$43,COLUMN()-COLUMN($X$42)+1)))*12+MONTH($L121)-MONTH(INDEX('1 Budget annuel'!$L$14:$L$43,COLUMN()-COLUMN($X$42)+1)),3)=0,DAY($L121)=MIN(DAY(INDEX('1 Budget annuel'!$L$14:$L$43,COLUMN()-COLUMN($X$42)+1)),DAY(EOMONTH($L121,0)))),AND(INDEX('1 Budget annuel'!$E$14:$E$43,COLUMN()-COLUMN($X$42)+1)="Semestrielle",MOD((YEAR($L121)-YEAR(INDEX('1 Budget annuel'!$L$14:$L$43,COLUMN()-COLUMN($X$42)+1)))*12+MONTH($L121)-MONTH(INDEX('1 Budget annuel'!$L$14:$L$43,COLUMN()-COLUMN($X$42)+1)),6)=0,DAY($L121)=MIN(DAY(INDEX('1 Budget annuel'!$L$14:$L$43,COLUMN()-COLUMN($X$42)+1)),DAY(EOMONTH($L121,0)))),AND(INDEX('1 Budget annuel'!$E$14:$E$43,COLUMN()-COLUMN($X$42)+1)="Annuelle",MOD((YEAR($L121)-YEAR(INDEX('1 Budget annuel'!$L$14:$L$43,COLUMN()-COLUMN($X$42)+1)))*12+MONTH($L121)-MONTH(INDEX('1 Budget annuel'!$L$14:$L$43,COLUMN()-COLUMN($X$42)+1)),12)=0,DAY($L121)=MIN(DAY(INDEX('1 Budget annuel'!$L$14:$L$43,COLUMN()-COLUMN($X$42)+1)),DAY(EOMONTH($L121,0))))),IF(INDEX('1 Budget annuel'!$B$14:$B$43,COLUMN()-COLUMN($X$42)+1)="Entrée",INDEX('1 Budget annuel'!$I$14:$I$43,COLUMN()-COLUMN($X$42)+1),-INDEX('1 Budget annuel'!$I$14:$I$43,COLUMN()-COLUMN($X$42)+1)),0))</x:f>
        <x:v>0</x:v>
      </x:c>
    </x:row>
    <x:row r="122">
      <x:c r="L122" s="114" t="n">
        <x:f>L121+1</x:f>
        <x:v>46316</x:v>
      </x:c>
      <x:c r="M122" s="115" t="b">
        <x:f>AND(L122&gt;=$D$5,L122&lt;=$D$5+363,MOD(L122-$D$5,7)=0)</x:f>
        <x:v>0</x:v>
      </x:c>
      <x:c r="N122" s="116" t="n">
        <x:f>SUM(X122:BA122)</x:f>
        <x:v>0</x:v>
      </x:c>
      <x:c r="O122" s="116" t="n">
        <x:f>IF(M122,$D$10,0)</x:f>
        <x:v>0</x:v>
      </x:c>
      <x:c r="P122" s="116" t="n">
        <x:f>N122-O122</x:f>
        <x:v>0</x:v>
      </x:c>
      <x:c r="Q122" s="116" t="n">
        <x:f>IF(L122&lt;$D$5,0,IF(L122=$D$5,P122,Q121+P122))</x:f>
        <x:v>0</x:v>
      </x:c>
      <x:c r="R122" s="116" t="n">
        <x:f>IF(L122&lt;$D$5,"",$J$10+Q122)</x:f>
        <x:v>0</x:v>
      </x:c>
      <x:c r="S122" s="116" t="n">
        <x:f>IF($L122&lt;$D$5,"",IF($L122=$D$5,$J$10+$N122-IF($M122,IF(INT(($L122-$D$5)/7)&lt;$A$20,$B$20,$D$10),0),S121+$N122-IF($M122,IF(INT(($L122-$D$5)/7)&lt;$A$20,$B$20,$D$10),0)))</x:f>
        <x:v>0</x:v>
      </x:c>
      <x:c r="T122" s="116" t="n">
        <x:f>IF($L122&lt;$D$5,"",IF($L122=$D$5,$J$10+$N122-IF($M122,IF(INT(($L122-$D$5)/7)&lt;$A$21,$B$21,$D$10),0),T121+$N122-IF($M122,IF(INT(($L122-$D$5)/7)&lt;$A$21,$B$21,$D$10),0)))</x:f>
        <x:v>0</x:v>
      </x:c>
      <x:c r="U122" s="116" t="n">
        <x:f>IF($L122&lt;$D$5,"",IF($L122=$D$5,$J$10+$N122-IF($M122,IF(INT(($L122-$D$5)/7)&lt;$A$22,$B$22,$D$10),0),U121+$N122-IF($M122,IF(INT(($L122-$D$5)/7)&lt;$A$22,$B$22,$D$10),0)))</x:f>
        <x:v>0</x:v>
      </x:c>
      <x:c r="V122" s="116" t="n">
        <x:f>IF($L122&lt;$D$5,"",IF($L122=$D$5,$J$10+$N122-IF($M122,IF(INT(($L122-$D$5)/7)&lt;$A$23,$B$23,$D$10),0),V121+$N122-IF($M122,IF(INT(($L122-$D$5)/7)&lt;$A$23,$B$23,$D$10),0)))</x:f>
        <x:v>0</x:v>
      </x:c>
      <x:c r="W122" s="116" t="n">
        <x:f>IF($L122&lt;$D$5,"",IF($L122=$D$5,$J$10+$N122-IF($M122,IF(INT(($L122-$D$5)/7)&lt;$A$24,$B$24,$D$10),0),W121+$N122-IF($M122,IF(INT(($L122-$D$5)/7)&lt;$A$24,$B$24,$D$10),0)))</x:f>
        <x:v>0</x:v>
      </x:c>
      <x:c r="X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Y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Z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A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B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C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D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E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F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G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H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I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J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K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L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M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N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O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P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Q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R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S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T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U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V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W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X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Y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AZ122" s="116"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c r="BA122" s="117" t="n">
        <x:f>IF(OR(INDEX('1 Budget annuel'!$A$14:$A$43,COLUMN()-COLUMN($X$42)+1)&lt;&gt;"Oui",INDEX('1 Budget annuel'!$L$14:$L$43,COLUMN()-COLUMN($X$42)+1)="",AND(INDEX('1 Budget annuel'!$B$14:$B$43,COLUMN()-COLUMN($X$42)+1)="Sortie",INDEX('1 Budget annuel'!$M$14:$M$43,COLUMN()-COLUMN($X$42)+1)="Oui"),$L122&lt;INDEX('1 Budget annuel'!$L$14:$L$43,COLUMN()-COLUMN($X$42)+1),$L122&gt;$D$5+363),0,IF(OR(AND(INDEX('1 Budget annuel'!$E$14:$E$43,COLUMN()-COLUMN($X$42)+1)="Hebdomadaire",MOD($L122-INDEX('1 Budget annuel'!$L$14:$L$43,COLUMN()-COLUMN($X$42)+1),7)=0),AND(INDEX('1 Budget annuel'!$E$14:$E$43,COLUMN()-COLUMN($X$42)+1)="Toutes les 4 semaines",MOD($L122-INDEX('1 Budget annuel'!$L$14:$L$43,COLUMN()-COLUMN($X$42)+1),28)=0),AND(INDEX('1 Budget annuel'!$E$14:$E$43,COLUMN()-COLUMN($X$42)+1)="Mensuelle",DAY($L122)=MIN(DAY(INDEX('1 Budget annuel'!$L$14:$L$43,COLUMN()-COLUMN($X$42)+1)),DAY(EOMONTH($L122,0)))),AND(INDEX('1 Budget annuel'!$E$14:$E$43,COLUMN()-COLUMN($X$42)+1)="Trimestrielle",MOD((YEAR($L122)-YEAR(INDEX('1 Budget annuel'!$L$14:$L$43,COLUMN()-COLUMN($X$42)+1)))*12+MONTH($L122)-MONTH(INDEX('1 Budget annuel'!$L$14:$L$43,COLUMN()-COLUMN($X$42)+1)),3)=0,DAY($L122)=MIN(DAY(INDEX('1 Budget annuel'!$L$14:$L$43,COLUMN()-COLUMN($X$42)+1)),DAY(EOMONTH($L122,0)))),AND(INDEX('1 Budget annuel'!$E$14:$E$43,COLUMN()-COLUMN($X$42)+1)="Semestrielle",MOD((YEAR($L122)-YEAR(INDEX('1 Budget annuel'!$L$14:$L$43,COLUMN()-COLUMN($X$42)+1)))*12+MONTH($L122)-MONTH(INDEX('1 Budget annuel'!$L$14:$L$43,COLUMN()-COLUMN($X$42)+1)),6)=0,DAY($L122)=MIN(DAY(INDEX('1 Budget annuel'!$L$14:$L$43,COLUMN()-COLUMN($X$42)+1)),DAY(EOMONTH($L122,0)))),AND(INDEX('1 Budget annuel'!$E$14:$E$43,COLUMN()-COLUMN($X$42)+1)="Annuelle",MOD((YEAR($L122)-YEAR(INDEX('1 Budget annuel'!$L$14:$L$43,COLUMN()-COLUMN($X$42)+1)))*12+MONTH($L122)-MONTH(INDEX('1 Budget annuel'!$L$14:$L$43,COLUMN()-COLUMN($X$42)+1)),12)=0,DAY($L122)=MIN(DAY(INDEX('1 Budget annuel'!$L$14:$L$43,COLUMN()-COLUMN($X$42)+1)),DAY(EOMONTH($L122,0))))),IF(INDEX('1 Budget annuel'!$B$14:$B$43,COLUMN()-COLUMN($X$42)+1)="Entrée",INDEX('1 Budget annuel'!$I$14:$I$43,COLUMN()-COLUMN($X$42)+1),-INDEX('1 Budget annuel'!$I$14:$I$43,COLUMN()-COLUMN($X$42)+1)),0))</x:f>
        <x:v>0</x:v>
      </x:c>
    </x:row>
    <x:row r="123">
      <x:c r="L123" s="114" t="n">
        <x:f>L122+1</x:f>
        <x:v>46317</x:v>
      </x:c>
      <x:c r="M123" s="115" t="b">
        <x:f>AND(L123&gt;=$D$5,L123&lt;=$D$5+363,MOD(L123-$D$5,7)=0)</x:f>
        <x:v>0</x:v>
      </x:c>
      <x:c r="N123" s="116" t="n">
        <x:f>SUM(X123:BA123)</x:f>
        <x:v>0</x:v>
      </x:c>
      <x:c r="O123" s="116" t="n">
        <x:f>IF(M123,$D$10,0)</x:f>
        <x:v>0</x:v>
      </x:c>
      <x:c r="P123" s="116" t="n">
        <x:f>N123-O123</x:f>
        <x:v>0</x:v>
      </x:c>
      <x:c r="Q123" s="116" t="n">
        <x:f>IF(L123&lt;$D$5,0,IF(L123=$D$5,P123,Q122+P123))</x:f>
        <x:v>0</x:v>
      </x:c>
      <x:c r="R123" s="116" t="n">
        <x:f>IF(L123&lt;$D$5,"",$J$10+Q123)</x:f>
        <x:v>0</x:v>
      </x:c>
      <x:c r="S123" s="116" t="n">
        <x:f>IF($L123&lt;$D$5,"",IF($L123=$D$5,$J$10+$N123-IF($M123,IF(INT(($L123-$D$5)/7)&lt;$A$20,$B$20,$D$10),0),S122+$N123-IF($M123,IF(INT(($L123-$D$5)/7)&lt;$A$20,$B$20,$D$10),0)))</x:f>
        <x:v>0</x:v>
      </x:c>
      <x:c r="T123" s="116" t="n">
        <x:f>IF($L123&lt;$D$5,"",IF($L123=$D$5,$J$10+$N123-IF($M123,IF(INT(($L123-$D$5)/7)&lt;$A$21,$B$21,$D$10),0),T122+$N123-IF($M123,IF(INT(($L123-$D$5)/7)&lt;$A$21,$B$21,$D$10),0)))</x:f>
        <x:v>0</x:v>
      </x:c>
      <x:c r="U123" s="116" t="n">
        <x:f>IF($L123&lt;$D$5,"",IF($L123=$D$5,$J$10+$N123-IF($M123,IF(INT(($L123-$D$5)/7)&lt;$A$22,$B$22,$D$10),0),U122+$N123-IF($M123,IF(INT(($L123-$D$5)/7)&lt;$A$22,$B$22,$D$10),0)))</x:f>
        <x:v>0</x:v>
      </x:c>
      <x:c r="V123" s="116" t="n">
        <x:f>IF($L123&lt;$D$5,"",IF($L123=$D$5,$J$10+$N123-IF($M123,IF(INT(($L123-$D$5)/7)&lt;$A$23,$B$23,$D$10),0),V122+$N123-IF($M123,IF(INT(($L123-$D$5)/7)&lt;$A$23,$B$23,$D$10),0)))</x:f>
        <x:v>0</x:v>
      </x:c>
      <x:c r="W123" s="116" t="n">
        <x:f>IF($L123&lt;$D$5,"",IF($L123=$D$5,$J$10+$N123-IF($M123,IF(INT(($L123-$D$5)/7)&lt;$A$24,$B$24,$D$10),0),W122+$N123-IF($M123,IF(INT(($L123-$D$5)/7)&lt;$A$24,$B$24,$D$10),0)))</x:f>
        <x:v>0</x:v>
      </x:c>
      <x:c r="X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Y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Z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A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B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C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D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E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F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G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H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I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J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K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L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M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N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O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P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Q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R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S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T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U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V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W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X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Y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AZ123" s="116"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c r="BA123" s="117" t="n">
        <x:f>IF(OR(INDEX('1 Budget annuel'!$A$14:$A$43,COLUMN()-COLUMN($X$42)+1)&lt;&gt;"Oui",INDEX('1 Budget annuel'!$L$14:$L$43,COLUMN()-COLUMN($X$42)+1)="",AND(INDEX('1 Budget annuel'!$B$14:$B$43,COLUMN()-COLUMN($X$42)+1)="Sortie",INDEX('1 Budget annuel'!$M$14:$M$43,COLUMN()-COLUMN($X$42)+1)="Oui"),$L123&lt;INDEX('1 Budget annuel'!$L$14:$L$43,COLUMN()-COLUMN($X$42)+1),$L123&gt;$D$5+363),0,IF(OR(AND(INDEX('1 Budget annuel'!$E$14:$E$43,COLUMN()-COLUMN($X$42)+1)="Hebdomadaire",MOD($L123-INDEX('1 Budget annuel'!$L$14:$L$43,COLUMN()-COLUMN($X$42)+1),7)=0),AND(INDEX('1 Budget annuel'!$E$14:$E$43,COLUMN()-COLUMN($X$42)+1)="Toutes les 4 semaines",MOD($L123-INDEX('1 Budget annuel'!$L$14:$L$43,COLUMN()-COLUMN($X$42)+1),28)=0),AND(INDEX('1 Budget annuel'!$E$14:$E$43,COLUMN()-COLUMN($X$42)+1)="Mensuelle",DAY($L123)=MIN(DAY(INDEX('1 Budget annuel'!$L$14:$L$43,COLUMN()-COLUMN($X$42)+1)),DAY(EOMONTH($L123,0)))),AND(INDEX('1 Budget annuel'!$E$14:$E$43,COLUMN()-COLUMN($X$42)+1)="Trimestrielle",MOD((YEAR($L123)-YEAR(INDEX('1 Budget annuel'!$L$14:$L$43,COLUMN()-COLUMN($X$42)+1)))*12+MONTH($L123)-MONTH(INDEX('1 Budget annuel'!$L$14:$L$43,COLUMN()-COLUMN($X$42)+1)),3)=0,DAY($L123)=MIN(DAY(INDEX('1 Budget annuel'!$L$14:$L$43,COLUMN()-COLUMN($X$42)+1)),DAY(EOMONTH($L123,0)))),AND(INDEX('1 Budget annuel'!$E$14:$E$43,COLUMN()-COLUMN($X$42)+1)="Semestrielle",MOD((YEAR($L123)-YEAR(INDEX('1 Budget annuel'!$L$14:$L$43,COLUMN()-COLUMN($X$42)+1)))*12+MONTH($L123)-MONTH(INDEX('1 Budget annuel'!$L$14:$L$43,COLUMN()-COLUMN($X$42)+1)),6)=0,DAY($L123)=MIN(DAY(INDEX('1 Budget annuel'!$L$14:$L$43,COLUMN()-COLUMN($X$42)+1)),DAY(EOMONTH($L123,0)))),AND(INDEX('1 Budget annuel'!$E$14:$E$43,COLUMN()-COLUMN($X$42)+1)="Annuelle",MOD((YEAR($L123)-YEAR(INDEX('1 Budget annuel'!$L$14:$L$43,COLUMN()-COLUMN($X$42)+1)))*12+MONTH($L123)-MONTH(INDEX('1 Budget annuel'!$L$14:$L$43,COLUMN()-COLUMN($X$42)+1)),12)=0,DAY($L123)=MIN(DAY(INDEX('1 Budget annuel'!$L$14:$L$43,COLUMN()-COLUMN($X$42)+1)),DAY(EOMONTH($L123,0))))),IF(INDEX('1 Budget annuel'!$B$14:$B$43,COLUMN()-COLUMN($X$42)+1)="Entrée",INDEX('1 Budget annuel'!$I$14:$I$43,COLUMN()-COLUMN($X$42)+1),-INDEX('1 Budget annuel'!$I$14:$I$43,COLUMN()-COLUMN($X$42)+1)),0))</x:f>
        <x:v>0</x:v>
      </x:c>
    </x:row>
    <x:row r="124">
      <x:c r="L124" s="114" t="n">
        <x:f>L123+1</x:f>
        <x:v>46318</x:v>
      </x:c>
      <x:c r="M124" s="115" t="b">
        <x:f>AND(L124&gt;=$D$5,L124&lt;=$D$5+363,MOD(L124-$D$5,7)=0)</x:f>
        <x:v>0</x:v>
      </x:c>
      <x:c r="N124" s="116" t="n">
        <x:f>SUM(X124:BA124)</x:f>
        <x:v>0</x:v>
      </x:c>
      <x:c r="O124" s="116" t="n">
        <x:f>IF(M124,$D$10,0)</x:f>
        <x:v>0</x:v>
      </x:c>
      <x:c r="P124" s="116" t="n">
        <x:f>N124-O124</x:f>
        <x:v>0</x:v>
      </x:c>
      <x:c r="Q124" s="116" t="n">
        <x:f>IF(L124&lt;$D$5,0,IF(L124=$D$5,P124,Q123+P124))</x:f>
        <x:v>0</x:v>
      </x:c>
      <x:c r="R124" s="116" t="n">
        <x:f>IF(L124&lt;$D$5,"",$J$10+Q124)</x:f>
        <x:v>0</x:v>
      </x:c>
      <x:c r="S124" s="116" t="n">
        <x:f>IF($L124&lt;$D$5,"",IF($L124=$D$5,$J$10+$N124-IF($M124,IF(INT(($L124-$D$5)/7)&lt;$A$20,$B$20,$D$10),0),S123+$N124-IF($M124,IF(INT(($L124-$D$5)/7)&lt;$A$20,$B$20,$D$10),0)))</x:f>
        <x:v>0</x:v>
      </x:c>
      <x:c r="T124" s="116" t="n">
        <x:f>IF($L124&lt;$D$5,"",IF($L124=$D$5,$J$10+$N124-IF($M124,IF(INT(($L124-$D$5)/7)&lt;$A$21,$B$21,$D$10),0),T123+$N124-IF($M124,IF(INT(($L124-$D$5)/7)&lt;$A$21,$B$21,$D$10),0)))</x:f>
        <x:v>0</x:v>
      </x:c>
      <x:c r="U124" s="116" t="n">
        <x:f>IF($L124&lt;$D$5,"",IF($L124=$D$5,$J$10+$N124-IF($M124,IF(INT(($L124-$D$5)/7)&lt;$A$22,$B$22,$D$10),0),U123+$N124-IF($M124,IF(INT(($L124-$D$5)/7)&lt;$A$22,$B$22,$D$10),0)))</x:f>
        <x:v>0</x:v>
      </x:c>
      <x:c r="V124" s="116" t="n">
        <x:f>IF($L124&lt;$D$5,"",IF($L124=$D$5,$J$10+$N124-IF($M124,IF(INT(($L124-$D$5)/7)&lt;$A$23,$B$23,$D$10),0),V123+$N124-IF($M124,IF(INT(($L124-$D$5)/7)&lt;$A$23,$B$23,$D$10),0)))</x:f>
        <x:v>0</x:v>
      </x:c>
      <x:c r="W124" s="116" t="n">
        <x:f>IF($L124&lt;$D$5,"",IF($L124=$D$5,$J$10+$N124-IF($M124,IF(INT(($L124-$D$5)/7)&lt;$A$24,$B$24,$D$10),0),W123+$N124-IF($M124,IF(INT(($L124-$D$5)/7)&lt;$A$24,$B$24,$D$10),0)))</x:f>
        <x:v>0</x:v>
      </x:c>
      <x:c r="X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Y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Z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A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B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C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D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E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F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G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H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I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J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K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L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M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N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O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P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Q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R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S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T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U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V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W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X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Y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AZ124" s="116"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c r="BA124" s="117" t="n">
        <x:f>IF(OR(INDEX('1 Budget annuel'!$A$14:$A$43,COLUMN()-COLUMN($X$42)+1)&lt;&gt;"Oui",INDEX('1 Budget annuel'!$L$14:$L$43,COLUMN()-COLUMN($X$42)+1)="",AND(INDEX('1 Budget annuel'!$B$14:$B$43,COLUMN()-COLUMN($X$42)+1)="Sortie",INDEX('1 Budget annuel'!$M$14:$M$43,COLUMN()-COLUMN($X$42)+1)="Oui"),$L124&lt;INDEX('1 Budget annuel'!$L$14:$L$43,COLUMN()-COLUMN($X$42)+1),$L124&gt;$D$5+363),0,IF(OR(AND(INDEX('1 Budget annuel'!$E$14:$E$43,COLUMN()-COLUMN($X$42)+1)="Hebdomadaire",MOD($L124-INDEX('1 Budget annuel'!$L$14:$L$43,COLUMN()-COLUMN($X$42)+1),7)=0),AND(INDEX('1 Budget annuel'!$E$14:$E$43,COLUMN()-COLUMN($X$42)+1)="Toutes les 4 semaines",MOD($L124-INDEX('1 Budget annuel'!$L$14:$L$43,COLUMN()-COLUMN($X$42)+1),28)=0),AND(INDEX('1 Budget annuel'!$E$14:$E$43,COLUMN()-COLUMN($X$42)+1)="Mensuelle",DAY($L124)=MIN(DAY(INDEX('1 Budget annuel'!$L$14:$L$43,COLUMN()-COLUMN($X$42)+1)),DAY(EOMONTH($L124,0)))),AND(INDEX('1 Budget annuel'!$E$14:$E$43,COLUMN()-COLUMN($X$42)+1)="Trimestrielle",MOD((YEAR($L124)-YEAR(INDEX('1 Budget annuel'!$L$14:$L$43,COLUMN()-COLUMN($X$42)+1)))*12+MONTH($L124)-MONTH(INDEX('1 Budget annuel'!$L$14:$L$43,COLUMN()-COLUMN($X$42)+1)),3)=0,DAY($L124)=MIN(DAY(INDEX('1 Budget annuel'!$L$14:$L$43,COLUMN()-COLUMN($X$42)+1)),DAY(EOMONTH($L124,0)))),AND(INDEX('1 Budget annuel'!$E$14:$E$43,COLUMN()-COLUMN($X$42)+1)="Semestrielle",MOD((YEAR($L124)-YEAR(INDEX('1 Budget annuel'!$L$14:$L$43,COLUMN()-COLUMN($X$42)+1)))*12+MONTH($L124)-MONTH(INDEX('1 Budget annuel'!$L$14:$L$43,COLUMN()-COLUMN($X$42)+1)),6)=0,DAY($L124)=MIN(DAY(INDEX('1 Budget annuel'!$L$14:$L$43,COLUMN()-COLUMN($X$42)+1)),DAY(EOMONTH($L124,0)))),AND(INDEX('1 Budget annuel'!$E$14:$E$43,COLUMN()-COLUMN($X$42)+1)="Annuelle",MOD((YEAR($L124)-YEAR(INDEX('1 Budget annuel'!$L$14:$L$43,COLUMN()-COLUMN($X$42)+1)))*12+MONTH($L124)-MONTH(INDEX('1 Budget annuel'!$L$14:$L$43,COLUMN()-COLUMN($X$42)+1)),12)=0,DAY($L124)=MIN(DAY(INDEX('1 Budget annuel'!$L$14:$L$43,COLUMN()-COLUMN($X$42)+1)),DAY(EOMONTH($L124,0))))),IF(INDEX('1 Budget annuel'!$B$14:$B$43,COLUMN()-COLUMN($X$42)+1)="Entrée",INDEX('1 Budget annuel'!$I$14:$I$43,COLUMN()-COLUMN($X$42)+1),-INDEX('1 Budget annuel'!$I$14:$I$43,COLUMN()-COLUMN($X$42)+1)),0))</x:f>
        <x:v>0</x:v>
      </x:c>
    </x:row>
    <x:row r="125">
      <x:c r="L125" s="114" t="n">
        <x:f>L124+1</x:f>
        <x:v>46319</x:v>
      </x:c>
      <x:c r="M125" s="115" t="b">
        <x:f>AND(L125&gt;=$D$5,L125&lt;=$D$5+363,MOD(L125-$D$5,7)=0)</x:f>
        <x:v>1</x:v>
      </x:c>
      <x:c r="N125" s="116" t="n">
        <x:f>SUM(X125:BA125)</x:f>
        <x:v>0</x:v>
      </x:c>
      <x:c r="O125" s="116" t="n">
        <x:f>IF(M125,$D$10,0)</x:f>
        <x:v>0</x:v>
      </x:c>
      <x:c r="P125" s="116" t="n">
        <x:f>N125-O125</x:f>
        <x:v>0</x:v>
      </x:c>
      <x:c r="Q125" s="116" t="n">
        <x:f>IF(L125&lt;$D$5,0,IF(L125=$D$5,P125,Q124+P125))</x:f>
        <x:v>0</x:v>
      </x:c>
      <x:c r="R125" s="116" t="n">
        <x:f>IF(L125&lt;$D$5,"",$J$10+Q125)</x:f>
        <x:v>0</x:v>
      </x:c>
      <x:c r="S125" s="116" t="n">
        <x:f>IF($L125&lt;$D$5,"",IF($L125=$D$5,$J$10+$N125-IF($M125,IF(INT(($L125-$D$5)/7)&lt;$A$20,$B$20,$D$10),0),S124+$N125-IF($M125,IF(INT(($L125-$D$5)/7)&lt;$A$20,$B$20,$D$10),0)))</x:f>
        <x:v>0</x:v>
      </x:c>
      <x:c r="T125" s="116" t="n">
        <x:f>IF($L125&lt;$D$5,"",IF($L125=$D$5,$J$10+$N125-IF($M125,IF(INT(($L125-$D$5)/7)&lt;$A$21,$B$21,$D$10),0),T124+$N125-IF($M125,IF(INT(($L125-$D$5)/7)&lt;$A$21,$B$21,$D$10),0)))</x:f>
        <x:v>0</x:v>
      </x:c>
      <x:c r="U125" s="116" t="n">
        <x:f>IF($L125&lt;$D$5,"",IF($L125=$D$5,$J$10+$N125-IF($M125,IF(INT(($L125-$D$5)/7)&lt;$A$22,$B$22,$D$10),0),U124+$N125-IF($M125,IF(INT(($L125-$D$5)/7)&lt;$A$22,$B$22,$D$10),0)))</x:f>
        <x:v>0</x:v>
      </x:c>
      <x:c r="V125" s="116" t="n">
        <x:f>IF($L125&lt;$D$5,"",IF($L125=$D$5,$J$10+$N125-IF($M125,IF(INT(($L125-$D$5)/7)&lt;$A$23,$B$23,$D$10),0),V124+$N125-IF($M125,IF(INT(($L125-$D$5)/7)&lt;$A$23,$B$23,$D$10),0)))</x:f>
        <x:v>0</x:v>
      </x:c>
      <x:c r="W125" s="116" t="n">
        <x:f>IF($L125&lt;$D$5,"",IF($L125=$D$5,$J$10+$N125-IF($M125,IF(INT(($L125-$D$5)/7)&lt;$A$24,$B$24,$D$10),0),W124+$N125-IF($M125,IF(INT(($L125-$D$5)/7)&lt;$A$24,$B$24,$D$10),0)))</x:f>
        <x:v>0</x:v>
      </x:c>
      <x:c r="X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Y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Z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A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B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C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D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E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F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G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H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I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J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K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L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M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N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O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P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Q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R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S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T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U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V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W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X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Y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AZ125" s="116"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c r="BA125" s="117" t="n">
        <x:f>IF(OR(INDEX('1 Budget annuel'!$A$14:$A$43,COLUMN()-COLUMN($X$42)+1)&lt;&gt;"Oui",INDEX('1 Budget annuel'!$L$14:$L$43,COLUMN()-COLUMN($X$42)+1)="",AND(INDEX('1 Budget annuel'!$B$14:$B$43,COLUMN()-COLUMN($X$42)+1)="Sortie",INDEX('1 Budget annuel'!$M$14:$M$43,COLUMN()-COLUMN($X$42)+1)="Oui"),$L125&lt;INDEX('1 Budget annuel'!$L$14:$L$43,COLUMN()-COLUMN($X$42)+1),$L125&gt;$D$5+363),0,IF(OR(AND(INDEX('1 Budget annuel'!$E$14:$E$43,COLUMN()-COLUMN($X$42)+1)="Hebdomadaire",MOD($L125-INDEX('1 Budget annuel'!$L$14:$L$43,COLUMN()-COLUMN($X$42)+1),7)=0),AND(INDEX('1 Budget annuel'!$E$14:$E$43,COLUMN()-COLUMN($X$42)+1)="Toutes les 4 semaines",MOD($L125-INDEX('1 Budget annuel'!$L$14:$L$43,COLUMN()-COLUMN($X$42)+1),28)=0),AND(INDEX('1 Budget annuel'!$E$14:$E$43,COLUMN()-COLUMN($X$42)+1)="Mensuelle",DAY($L125)=MIN(DAY(INDEX('1 Budget annuel'!$L$14:$L$43,COLUMN()-COLUMN($X$42)+1)),DAY(EOMONTH($L125,0)))),AND(INDEX('1 Budget annuel'!$E$14:$E$43,COLUMN()-COLUMN($X$42)+1)="Trimestrielle",MOD((YEAR($L125)-YEAR(INDEX('1 Budget annuel'!$L$14:$L$43,COLUMN()-COLUMN($X$42)+1)))*12+MONTH($L125)-MONTH(INDEX('1 Budget annuel'!$L$14:$L$43,COLUMN()-COLUMN($X$42)+1)),3)=0,DAY($L125)=MIN(DAY(INDEX('1 Budget annuel'!$L$14:$L$43,COLUMN()-COLUMN($X$42)+1)),DAY(EOMONTH($L125,0)))),AND(INDEX('1 Budget annuel'!$E$14:$E$43,COLUMN()-COLUMN($X$42)+1)="Semestrielle",MOD((YEAR($L125)-YEAR(INDEX('1 Budget annuel'!$L$14:$L$43,COLUMN()-COLUMN($X$42)+1)))*12+MONTH($L125)-MONTH(INDEX('1 Budget annuel'!$L$14:$L$43,COLUMN()-COLUMN($X$42)+1)),6)=0,DAY($L125)=MIN(DAY(INDEX('1 Budget annuel'!$L$14:$L$43,COLUMN()-COLUMN($X$42)+1)),DAY(EOMONTH($L125,0)))),AND(INDEX('1 Budget annuel'!$E$14:$E$43,COLUMN()-COLUMN($X$42)+1)="Annuelle",MOD((YEAR($L125)-YEAR(INDEX('1 Budget annuel'!$L$14:$L$43,COLUMN()-COLUMN($X$42)+1)))*12+MONTH($L125)-MONTH(INDEX('1 Budget annuel'!$L$14:$L$43,COLUMN()-COLUMN($X$42)+1)),12)=0,DAY($L125)=MIN(DAY(INDEX('1 Budget annuel'!$L$14:$L$43,COLUMN()-COLUMN($X$42)+1)),DAY(EOMONTH($L125,0))))),IF(INDEX('1 Budget annuel'!$B$14:$B$43,COLUMN()-COLUMN($X$42)+1)="Entrée",INDEX('1 Budget annuel'!$I$14:$I$43,COLUMN()-COLUMN($X$42)+1),-INDEX('1 Budget annuel'!$I$14:$I$43,COLUMN()-COLUMN($X$42)+1)),0))</x:f>
        <x:v>0</x:v>
      </x:c>
    </x:row>
    <x:row r="126">
      <x:c r="L126" s="114" t="n">
        <x:f>L125+1</x:f>
        <x:v>46320</x:v>
      </x:c>
      <x:c r="M126" s="115" t="b">
        <x:f>AND(L126&gt;=$D$5,L126&lt;=$D$5+363,MOD(L126-$D$5,7)=0)</x:f>
        <x:v>0</x:v>
      </x:c>
      <x:c r="N126" s="116" t="n">
        <x:f>SUM(X126:BA126)</x:f>
        <x:v>0</x:v>
      </x:c>
      <x:c r="O126" s="116" t="n">
        <x:f>IF(M126,$D$10,0)</x:f>
        <x:v>0</x:v>
      </x:c>
      <x:c r="P126" s="116" t="n">
        <x:f>N126-O126</x:f>
        <x:v>0</x:v>
      </x:c>
      <x:c r="Q126" s="116" t="n">
        <x:f>IF(L126&lt;$D$5,0,IF(L126=$D$5,P126,Q125+P126))</x:f>
        <x:v>0</x:v>
      </x:c>
      <x:c r="R126" s="116" t="n">
        <x:f>IF(L126&lt;$D$5,"",$J$10+Q126)</x:f>
        <x:v>0</x:v>
      </x:c>
      <x:c r="S126" s="116" t="n">
        <x:f>IF($L126&lt;$D$5,"",IF($L126=$D$5,$J$10+$N126-IF($M126,IF(INT(($L126-$D$5)/7)&lt;$A$20,$B$20,$D$10),0),S125+$N126-IF($M126,IF(INT(($L126-$D$5)/7)&lt;$A$20,$B$20,$D$10),0)))</x:f>
        <x:v>0</x:v>
      </x:c>
      <x:c r="T126" s="116" t="n">
        <x:f>IF($L126&lt;$D$5,"",IF($L126=$D$5,$J$10+$N126-IF($M126,IF(INT(($L126-$D$5)/7)&lt;$A$21,$B$21,$D$10),0),T125+$N126-IF($M126,IF(INT(($L126-$D$5)/7)&lt;$A$21,$B$21,$D$10),0)))</x:f>
        <x:v>0</x:v>
      </x:c>
      <x:c r="U126" s="116" t="n">
        <x:f>IF($L126&lt;$D$5,"",IF($L126=$D$5,$J$10+$N126-IF($M126,IF(INT(($L126-$D$5)/7)&lt;$A$22,$B$22,$D$10),0),U125+$N126-IF($M126,IF(INT(($L126-$D$5)/7)&lt;$A$22,$B$22,$D$10),0)))</x:f>
        <x:v>0</x:v>
      </x:c>
      <x:c r="V126" s="116" t="n">
        <x:f>IF($L126&lt;$D$5,"",IF($L126=$D$5,$J$10+$N126-IF($M126,IF(INT(($L126-$D$5)/7)&lt;$A$23,$B$23,$D$10),0),V125+$N126-IF($M126,IF(INT(($L126-$D$5)/7)&lt;$A$23,$B$23,$D$10),0)))</x:f>
        <x:v>0</x:v>
      </x:c>
      <x:c r="W126" s="116" t="n">
        <x:f>IF($L126&lt;$D$5,"",IF($L126=$D$5,$J$10+$N126-IF($M126,IF(INT(($L126-$D$5)/7)&lt;$A$24,$B$24,$D$10),0),W125+$N126-IF($M126,IF(INT(($L126-$D$5)/7)&lt;$A$24,$B$24,$D$10),0)))</x:f>
        <x:v>0</x:v>
      </x:c>
      <x:c r="X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Y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Z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A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B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C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D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E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F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G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H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I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J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K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L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M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N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O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P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Q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R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S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T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U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V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W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X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Y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AZ126" s="116"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c r="BA126" s="117" t="n">
        <x:f>IF(OR(INDEX('1 Budget annuel'!$A$14:$A$43,COLUMN()-COLUMN($X$42)+1)&lt;&gt;"Oui",INDEX('1 Budget annuel'!$L$14:$L$43,COLUMN()-COLUMN($X$42)+1)="",AND(INDEX('1 Budget annuel'!$B$14:$B$43,COLUMN()-COLUMN($X$42)+1)="Sortie",INDEX('1 Budget annuel'!$M$14:$M$43,COLUMN()-COLUMN($X$42)+1)="Oui"),$L126&lt;INDEX('1 Budget annuel'!$L$14:$L$43,COLUMN()-COLUMN($X$42)+1),$L126&gt;$D$5+363),0,IF(OR(AND(INDEX('1 Budget annuel'!$E$14:$E$43,COLUMN()-COLUMN($X$42)+1)="Hebdomadaire",MOD($L126-INDEX('1 Budget annuel'!$L$14:$L$43,COLUMN()-COLUMN($X$42)+1),7)=0),AND(INDEX('1 Budget annuel'!$E$14:$E$43,COLUMN()-COLUMN($X$42)+1)="Toutes les 4 semaines",MOD($L126-INDEX('1 Budget annuel'!$L$14:$L$43,COLUMN()-COLUMN($X$42)+1),28)=0),AND(INDEX('1 Budget annuel'!$E$14:$E$43,COLUMN()-COLUMN($X$42)+1)="Mensuelle",DAY($L126)=MIN(DAY(INDEX('1 Budget annuel'!$L$14:$L$43,COLUMN()-COLUMN($X$42)+1)),DAY(EOMONTH($L126,0)))),AND(INDEX('1 Budget annuel'!$E$14:$E$43,COLUMN()-COLUMN($X$42)+1)="Trimestrielle",MOD((YEAR($L126)-YEAR(INDEX('1 Budget annuel'!$L$14:$L$43,COLUMN()-COLUMN($X$42)+1)))*12+MONTH($L126)-MONTH(INDEX('1 Budget annuel'!$L$14:$L$43,COLUMN()-COLUMN($X$42)+1)),3)=0,DAY($L126)=MIN(DAY(INDEX('1 Budget annuel'!$L$14:$L$43,COLUMN()-COLUMN($X$42)+1)),DAY(EOMONTH($L126,0)))),AND(INDEX('1 Budget annuel'!$E$14:$E$43,COLUMN()-COLUMN($X$42)+1)="Semestrielle",MOD((YEAR($L126)-YEAR(INDEX('1 Budget annuel'!$L$14:$L$43,COLUMN()-COLUMN($X$42)+1)))*12+MONTH($L126)-MONTH(INDEX('1 Budget annuel'!$L$14:$L$43,COLUMN()-COLUMN($X$42)+1)),6)=0,DAY($L126)=MIN(DAY(INDEX('1 Budget annuel'!$L$14:$L$43,COLUMN()-COLUMN($X$42)+1)),DAY(EOMONTH($L126,0)))),AND(INDEX('1 Budget annuel'!$E$14:$E$43,COLUMN()-COLUMN($X$42)+1)="Annuelle",MOD((YEAR($L126)-YEAR(INDEX('1 Budget annuel'!$L$14:$L$43,COLUMN()-COLUMN($X$42)+1)))*12+MONTH($L126)-MONTH(INDEX('1 Budget annuel'!$L$14:$L$43,COLUMN()-COLUMN($X$42)+1)),12)=0,DAY($L126)=MIN(DAY(INDEX('1 Budget annuel'!$L$14:$L$43,COLUMN()-COLUMN($X$42)+1)),DAY(EOMONTH($L126,0))))),IF(INDEX('1 Budget annuel'!$B$14:$B$43,COLUMN()-COLUMN($X$42)+1)="Entrée",INDEX('1 Budget annuel'!$I$14:$I$43,COLUMN()-COLUMN($X$42)+1),-INDEX('1 Budget annuel'!$I$14:$I$43,COLUMN()-COLUMN($X$42)+1)),0))</x:f>
        <x:v>0</x:v>
      </x:c>
    </x:row>
    <x:row r="127">
      <x:c r="L127" s="114" t="n">
        <x:f>L126+1</x:f>
        <x:v>46321</x:v>
      </x:c>
      <x:c r="M127" s="115" t="b">
        <x:f>AND(L127&gt;=$D$5,L127&lt;=$D$5+363,MOD(L127-$D$5,7)=0)</x:f>
        <x:v>0</x:v>
      </x:c>
      <x:c r="N127" s="116" t="n">
        <x:f>SUM(X127:BA127)</x:f>
        <x:v>0</x:v>
      </x:c>
      <x:c r="O127" s="116" t="n">
        <x:f>IF(M127,$D$10,0)</x:f>
        <x:v>0</x:v>
      </x:c>
      <x:c r="P127" s="116" t="n">
        <x:f>N127-O127</x:f>
        <x:v>0</x:v>
      </x:c>
      <x:c r="Q127" s="116" t="n">
        <x:f>IF(L127&lt;$D$5,0,IF(L127=$D$5,P127,Q126+P127))</x:f>
        <x:v>0</x:v>
      </x:c>
      <x:c r="R127" s="116" t="n">
        <x:f>IF(L127&lt;$D$5,"",$J$10+Q127)</x:f>
        <x:v>0</x:v>
      </x:c>
      <x:c r="S127" s="116" t="n">
        <x:f>IF($L127&lt;$D$5,"",IF($L127=$D$5,$J$10+$N127-IF($M127,IF(INT(($L127-$D$5)/7)&lt;$A$20,$B$20,$D$10),0),S126+$N127-IF($M127,IF(INT(($L127-$D$5)/7)&lt;$A$20,$B$20,$D$10),0)))</x:f>
        <x:v>0</x:v>
      </x:c>
      <x:c r="T127" s="116" t="n">
        <x:f>IF($L127&lt;$D$5,"",IF($L127=$D$5,$J$10+$N127-IF($M127,IF(INT(($L127-$D$5)/7)&lt;$A$21,$B$21,$D$10),0),T126+$N127-IF($M127,IF(INT(($L127-$D$5)/7)&lt;$A$21,$B$21,$D$10),0)))</x:f>
        <x:v>0</x:v>
      </x:c>
      <x:c r="U127" s="116" t="n">
        <x:f>IF($L127&lt;$D$5,"",IF($L127=$D$5,$J$10+$N127-IF($M127,IF(INT(($L127-$D$5)/7)&lt;$A$22,$B$22,$D$10),0),U126+$N127-IF($M127,IF(INT(($L127-$D$5)/7)&lt;$A$22,$B$22,$D$10),0)))</x:f>
        <x:v>0</x:v>
      </x:c>
      <x:c r="V127" s="116" t="n">
        <x:f>IF($L127&lt;$D$5,"",IF($L127=$D$5,$J$10+$N127-IF($M127,IF(INT(($L127-$D$5)/7)&lt;$A$23,$B$23,$D$10),0),V126+$N127-IF($M127,IF(INT(($L127-$D$5)/7)&lt;$A$23,$B$23,$D$10),0)))</x:f>
        <x:v>0</x:v>
      </x:c>
      <x:c r="W127" s="116" t="n">
        <x:f>IF($L127&lt;$D$5,"",IF($L127=$D$5,$J$10+$N127-IF($M127,IF(INT(($L127-$D$5)/7)&lt;$A$24,$B$24,$D$10),0),W126+$N127-IF($M127,IF(INT(($L127-$D$5)/7)&lt;$A$24,$B$24,$D$10),0)))</x:f>
        <x:v>0</x:v>
      </x:c>
      <x:c r="X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Y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Z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A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B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C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D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E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F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G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H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I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J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K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L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M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N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O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P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Q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R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S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T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U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V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W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X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Y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AZ127" s="116"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c r="BA127" s="117" t="n">
        <x:f>IF(OR(INDEX('1 Budget annuel'!$A$14:$A$43,COLUMN()-COLUMN($X$42)+1)&lt;&gt;"Oui",INDEX('1 Budget annuel'!$L$14:$L$43,COLUMN()-COLUMN($X$42)+1)="",AND(INDEX('1 Budget annuel'!$B$14:$B$43,COLUMN()-COLUMN($X$42)+1)="Sortie",INDEX('1 Budget annuel'!$M$14:$M$43,COLUMN()-COLUMN($X$42)+1)="Oui"),$L127&lt;INDEX('1 Budget annuel'!$L$14:$L$43,COLUMN()-COLUMN($X$42)+1),$L127&gt;$D$5+363),0,IF(OR(AND(INDEX('1 Budget annuel'!$E$14:$E$43,COLUMN()-COLUMN($X$42)+1)="Hebdomadaire",MOD($L127-INDEX('1 Budget annuel'!$L$14:$L$43,COLUMN()-COLUMN($X$42)+1),7)=0),AND(INDEX('1 Budget annuel'!$E$14:$E$43,COLUMN()-COLUMN($X$42)+1)="Toutes les 4 semaines",MOD($L127-INDEX('1 Budget annuel'!$L$14:$L$43,COLUMN()-COLUMN($X$42)+1),28)=0),AND(INDEX('1 Budget annuel'!$E$14:$E$43,COLUMN()-COLUMN($X$42)+1)="Mensuelle",DAY($L127)=MIN(DAY(INDEX('1 Budget annuel'!$L$14:$L$43,COLUMN()-COLUMN($X$42)+1)),DAY(EOMONTH($L127,0)))),AND(INDEX('1 Budget annuel'!$E$14:$E$43,COLUMN()-COLUMN($X$42)+1)="Trimestrielle",MOD((YEAR($L127)-YEAR(INDEX('1 Budget annuel'!$L$14:$L$43,COLUMN()-COLUMN($X$42)+1)))*12+MONTH($L127)-MONTH(INDEX('1 Budget annuel'!$L$14:$L$43,COLUMN()-COLUMN($X$42)+1)),3)=0,DAY($L127)=MIN(DAY(INDEX('1 Budget annuel'!$L$14:$L$43,COLUMN()-COLUMN($X$42)+1)),DAY(EOMONTH($L127,0)))),AND(INDEX('1 Budget annuel'!$E$14:$E$43,COLUMN()-COLUMN($X$42)+1)="Semestrielle",MOD((YEAR($L127)-YEAR(INDEX('1 Budget annuel'!$L$14:$L$43,COLUMN()-COLUMN($X$42)+1)))*12+MONTH($L127)-MONTH(INDEX('1 Budget annuel'!$L$14:$L$43,COLUMN()-COLUMN($X$42)+1)),6)=0,DAY($L127)=MIN(DAY(INDEX('1 Budget annuel'!$L$14:$L$43,COLUMN()-COLUMN($X$42)+1)),DAY(EOMONTH($L127,0)))),AND(INDEX('1 Budget annuel'!$E$14:$E$43,COLUMN()-COLUMN($X$42)+1)="Annuelle",MOD((YEAR($L127)-YEAR(INDEX('1 Budget annuel'!$L$14:$L$43,COLUMN()-COLUMN($X$42)+1)))*12+MONTH($L127)-MONTH(INDEX('1 Budget annuel'!$L$14:$L$43,COLUMN()-COLUMN($X$42)+1)),12)=0,DAY($L127)=MIN(DAY(INDEX('1 Budget annuel'!$L$14:$L$43,COLUMN()-COLUMN($X$42)+1)),DAY(EOMONTH($L127,0))))),IF(INDEX('1 Budget annuel'!$B$14:$B$43,COLUMN()-COLUMN($X$42)+1)="Entrée",INDEX('1 Budget annuel'!$I$14:$I$43,COLUMN()-COLUMN($X$42)+1),-INDEX('1 Budget annuel'!$I$14:$I$43,COLUMN()-COLUMN($X$42)+1)),0))</x:f>
        <x:v>0</x:v>
      </x:c>
    </x:row>
    <x:row r="128">
      <x:c r="L128" s="114" t="n">
        <x:f>L127+1</x:f>
        <x:v>46322</x:v>
      </x:c>
      <x:c r="M128" s="115" t="b">
        <x:f>AND(L128&gt;=$D$5,L128&lt;=$D$5+363,MOD(L128-$D$5,7)=0)</x:f>
        <x:v>0</x:v>
      </x:c>
      <x:c r="N128" s="116" t="n">
        <x:f>SUM(X128:BA128)</x:f>
        <x:v>0</x:v>
      </x:c>
      <x:c r="O128" s="116" t="n">
        <x:f>IF(M128,$D$10,0)</x:f>
        <x:v>0</x:v>
      </x:c>
      <x:c r="P128" s="116" t="n">
        <x:f>N128-O128</x:f>
        <x:v>0</x:v>
      </x:c>
      <x:c r="Q128" s="116" t="n">
        <x:f>IF(L128&lt;$D$5,0,IF(L128=$D$5,P128,Q127+P128))</x:f>
        <x:v>0</x:v>
      </x:c>
      <x:c r="R128" s="116" t="n">
        <x:f>IF(L128&lt;$D$5,"",$J$10+Q128)</x:f>
        <x:v>0</x:v>
      </x:c>
      <x:c r="S128" s="116" t="n">
        <x:f>IF($L128&lt;$D$5,"",IF($L128=$D$5,$J$10+$N128-IF($M128,IF(INT(($L128-$D$5)/7)&lt;$A$20,$B$20,$D$10),0),S127+$N128-IF($M128,IF(INT(($L128-$D$5)/7)&lt;$A$20,$B$20,$D$10),0)))</x:f>
        <x:v>0</x:v>
      </x:c>
      <x:c r="T128" s="116" t="n">
        <x:f>IF($L128&lt;$D$5,"",IF($L128=$D$5,$J$10+$N128-IF($M128,IF(INT(($L128-$D$5)/7)&lt;$A$21,$B$21,$D$10),0),T127+$N128-IF($M128,IF(INT(($L128-$D$5)/7)&lt;$A$21,$B$21,$D$10),0)))</x:f>
        <x:v>0</x:v>
      </x:c>
      <x:c r="U128" s="116" t="n">
        <x:f>IF($L128&lt;$D$5,"",IF($L128=$D$5,$J$10+$N128-IF($M128,IF(INT(($L128-$D$5)/7)&lt;$A$22,$B$22,$D$10),0),U127+$N128-IF($M128,IF(INT(($L128-$D$5)/7)&lt;$A$22,$B$22,$D$10),0)))</x:f>
        <x:v>0</x:v>
      </x:c>
      <x:c r="V128" s="116" t="n">
        <x:f>IF($L128&lt;$D$5,"",IF($L128=$D$5,$J$10+$N128-IF($M128,IF(INT(($L128-$D$5)/7)&lt;$A$23,$B$23,$D$10),0),V127+$N128-IF($M128,IF(INT(($L128-$D$5)/7)&lt;$A$23,$B$23,$D$10),0)))</x:f>
        <x:v>0</x:v>
      </x:c>
      <x:c r="W128" s="116" t="n">
        <x:f>IF($L128&lt;$D$5,"",IF($L128=$D$5,$J$10+$N128-IF($M128,IF(INT(($L128-$D$5)/7)&lt;$A$24,$B$24,$D$10),0),W127+$N128-IF($M128,IF(INT(($L128-$D$5)/7)&lt;$A$24,$B$24,$D$10),0)))</x:f>
        <x:v>0</x:v>
      </x:c>
      <x:c r="X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Y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Z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A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B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C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D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E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F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G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H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I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J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K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L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M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N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O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P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Q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R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S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T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U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V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W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X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Y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AZ128" s="116"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c r="BA128" s="117" t="n">
        <x:f>IF(OR(INDEX('1 Budget annuel'!$A$14:$A$43,COLUMN()-COLUMN($X$42)+1)&lt;&gt;"Oui",INDEX('1 Budget annuel'!$L$14:$L$43,COLUMN()-COLUMN($X$42)+1)="",AND(INDEX('1 Budget annuel'!$B$14:$B$43,COLUMN()-COLUMN($X$42)+1)="Sortie",INDEX('1 Budget annuel'!$M$14:$M$43,COLUMN()-COLUMN($X$42)+1)="Oui"),$L128&lt;INDEX('1 Budget annuel'!$L$14:$L$43,COLUMN()-COLUMN($X$42)+1),$L128&gt;$D$5+363),0,IF(OR(AND(INDEX('1 Budget annuel'!$E$14:$E$43,COLUMN()-COLUMN($X$42)+1)="Hebdomadaire",MOD($L128-INDEX('1 Budget annuel'!$L$14:$L$43,COLUMN()-COLUMN($X$42)+1),7)=0),AND(INDEX('1 Budget annuel'!$E$14:$E$43,COLUMN()-COLUMN($X$42)+1)="Toutes les 4 semaines",MOD($L128-INDEX('1 Budget annuel'!$L$14:$L$43,COLUMN()-COLUMN($X$42)+1),28)=0),AND(INDEX('1 Budget annuel'!$E$14:$E$43,COLUMN()-COLUMN($X$42)+1)="Mensuelle",DAY($L128)=MIN(DAY(INDEX('1 Budget annuel'!$L$14:$L$43,COLUMN()-COLUMN($X$42)+1)),DAY(EOMONTH($L128,0)))),AND(INDEX('1 Budget annuel'!$E$14:$E$43,COLUMN()-COLUMN($X$42)+1)="Trimestrielle",MOD((YEAR($L128)-YEAR(INDEX('1 Budget annuel'!$L$14:$L$43,COLUMN()-COLUMN($X$42)+1)))*12+MONTH($L128)-MONTH(INDEX('1 Budget annuel'!$L$14:$L$43,COLUMN()-COLUMN($X$42)+1)),3)=0,DAY($L128)=MIN(DAY(INDEX('1 Budget annuel'!$L$14:$L$43,COLUMN()-COLUMN($X$42)+1)),DAY(EOMONTH($L128,0)))),AND(INDEX('1 Budget annuel'!$E$14:$E$43,COLUMN()-COLUMN($X$42)+1)="Semestrielle",MOD((YEAR($L128)-YEAR(INDEX('1 Budget annuel'!$L$14:$L$43,COLUMN()-COLUMN($X$42)+1)))*12+MONTH($L128)-MONTH(INDEX('1 Budget annuel'!$L$14:$L$43,COLUMN()-COLUMN($X$42)+1)),6)=0,DAY($L128)=MIN(DAY(INDEX('1 Budget annuel'!$L$14:$L$43,COLUMN()-COLUMN($X$42)+1)),DAY(EOMONTH($L128,0)))),AND(INDEX('1 Budget annuel'!$E$14:$E$43,COLUMN()-COLUMN($X$42)+1)="Annuelle",MOD((YEAR($L128)-YEAR(INDEX('1 Budget annuel'!$L$14:$L$43,COLUMN()-COLUMN($X$42)+1)))*12+MONTH($L128)-MONTH(INDEX('1 Budget annuel'!$L$14:$L$43,COLUMN()-COLUMN($X$42)+1)),12)=0,DAY($L128)=MIN(DAY(INDEX('1 Budget annuel'!$L$14:$L$43,COLUMN()-COLUMN($X$42)+1)),DAY(EOMONTH($L128,0))))),IF(INDEX('1 Budget annuel'!$B$14:$B$43,COLUMN()-COLUMN($X$42)+1)="Entrée",INDEX('1 Budget annuel'!$I$14:$I$43,COLUMN()-COLUMN($X$42)+1),-INDEX('1 Budget annuel'!$I$14:$I$43,COLUMN()-COLUMN($X$42)+1)),0))</x:f>
        <x:v>0</x:v>
      </x:c>
    </x:row>
    <x:row r="129">
      <x:c r="L129" s="114" t="n">
        <x:f>L128+1</x:f>
        <x:v>46323</x:v>
      </x:c>
      <x:c r="M129" s="115" t="b">
        <x:f>AND(L129&gt;=$D$5,L129&lt;=$D$5+363,MOD(L129-$D$5,7)=0)</x:f>
        <x:v>0</x:v>
      </x:c>
      <x:c r="N129" s="116" t="n">
        <x:f>SUM(X129:BA129)</x:f>
        <x:v>0</x:v>
      </x:c>
      <x:c r="O129" s="116" t="n">
        <x:f>IF(M129,$D$10,0)</x:f>
        <x:v>0</x:v>
      </x:c>
      <x:c r="P129" s="116" t="n">
        <x:f>N129-O129</x:f>
        <x:v>0</x:v>
      </x:c>
      <x:c r="Q129" s="116" t="n">
        <x:f>IF(L129&lt;$D$5,0,IF(L129=$D$5,P129,Q128+P129))</x:f>
        <x:v>0</x:v>
      </x:c>
      <x:c r="R129" s="116" t="n">
        <x:f>IF(L129&lt;$D$5,"",$J$10+Q129)</x:f>
        <x:v>0</x:v>
      </x:c>
      <x:c r="S129" s="116" t="n">
        <x:f>IF($L129&lt;$D$5,"",IF($L129=$D$5,$J$10+$N129-IF($M129,IF(INT(($L129-$D$5)/7)&lt;$A$20,$B$20,$D$10),0),S128+$N129-IF($M129,IF(INT(($L129-$D$5)/7)&lt;$A$20,$B$20,$D$10),0)))</x:f>
        <x:v>0</x:v>
      </x:c>
      <x:c r="T129" s="116" t="n">
        <x:f>IF($L129&lt;$D$5,"",IF($L129=$D$5,$J$10+$N129-IF($M129,IF(INT(($L129-$D$5)/7)&lt;$A$21,$B$21,$D$10),0),T128+$N129-IF($M129,IF(INT(($L129-$D$5)/7)&lt;$A$21,$B$21,$D$10),0)))</x:f>
        <x:v>0</x:v>
      </x:c>
      <x:c r="U129" s="116" t="n">
        <x:f>IF($L129&lt;$D$5,"",IF($L129=$D$5,$J$10+$N129-IF($M129,IF(INT(($L129-$D$5)/7)&lt;$A$22,$B$22,$D$10),0),U128+$N129-IF($M129,IF(INT(($L129-$D$5)/7)&lt;$A$22,$B$22,$D$10),0)))</x:f>
        <x:v>0</x:v>
      </x:c>
      <x:c r="V129" s="116" t="n">
        <x:f>IF($L129&lt;$D$5,"",IF($L129=$D$5,$J$10+$N129-IF($M129,IF(INT(($L129-$D$5)/7)&lt;$A$23,$B$23,$D$10),0),V128+$N129-IF($M129,IF(INT(($L129-$D$5)/7)&lt;$A$23,$B$23,$D$10),0)))</x:f>
        <x:v>0</x:v>
      </x:c>
      <x:c r="W129" s="116" t="n">
        <x:f>IF($L129&lt;$D$5,"",IF($L129=$D$5,$J$10+$N129-IF($M129,IF(INT(($L129-$D$5)/7)&lt;$A$24,$B$24,$D$10),0),W128+$N129-IF($M129,IF(INT(($L129-$D$5)/7)&lt;$A$24,$B$24,$D$10),0)))</x:f>
        <x:v>0</x:v>
      </x:c>
      <x:c r="X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Y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Z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A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B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C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D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E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F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G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H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I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J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K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L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M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N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O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P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Q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R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S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T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U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V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W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X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Y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AZ129" s="116"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c r="BA129" s="117" t="n">
        <x:f>IF(OR(INDEX('1 Budget annuel'!$A$14:$A$43,COLUMN()-COLUMN($X$42)+1)&lt;&gt;"Oui",INDEX('1 Budget annuel'!$L$14:$L$43,COLUMN()-COLUMN($X$42)+1)="",AND(INDEX('1 Budget annuel'!$B$14:$B$43,COLUMN()-COLUMN($X$42)+1)="Sortie",INDEX('1 Budget annuel'!$M$14:$M$43,COLUMN()-COLUMN($X$42)+1)="Oui"),$L129&lt;INDEX('1 Budget annuel'!$L$14:$L$43,COLUMN()-COLUMN($X$42)+1),$L129&gt;$D$5+363),0,IF(OR(AND(INDEX('1 Budget annuel'!$E$14:$E$43,COLUMN()-COLUMN($X$42)+1)="Hebdomadaire",MOD($L129-INDEX('1 Budget annuel'!$L$14:$L$43,COLUMN()-COLUMN($X$42)+1),7)=0),AND(INDEX('1 Budget annuel'!$E$14:$E$43,COLUMN()-COLUMN($X$42)+1)="Toutes les 4 semaines",MOD($L129-INDEX('1 Budget annuel'!$L$14:$L$43,COLUMN()-COLUMN($X$42)+1),28)=0),AND(INDEX('1 Budget annuel'!$E$14:$E$43,COLUMN()-COLUMN($X$42)+1)="Mensuelle",DAY($L129)=MIN(DAY(INDEX('1 Budget annuel'!$L$14:$L$43,COLUMN()-COLUMN($X$42)+1)),DAY(EOMONTH($L129,0)))),AND(INDEX('1 Budget annuel'!$E$14:$E$43,COLUMN()-COLUMN($X$42)+1)="Trimestrielle",MOD((YEAR($L129)-YEAR(INDEX('1 Budget annuel'!$L$14:$L$43,COLUMN()-COLUMN($X$42)+1)))*12+MONTH($L129)-MONTH(INDEX('1 Budget annuel'!$L$14:$L$43,COLUMN()-COLUMN($X$42)+1)),3)=0,DAY($L129)=MIN(DAY(INDEX('1 Budget annuel'!$L$14:$L$43,COLUMN()-COLUMN($X$42)+1)),DAY(EOMONTH($L129,0)))),AND(INDEX('1 Budget annuel'!$E$14:$E$43,COLUMN()-COLUMN($X$42)+1)="Semestrielle",MOD((YEAR($L129)-YEAR(INDEX('1 Budget annuel'!$L$14:$L$43,COLUMN()-COLUMN($X$42)+1)))*12+MONTH($L129)-MONTH(INDEX('1 Budget annuel'!$L$14:$L$43,COLUMN()-COLUMN($X$42)+1)),6)=0,DAY($L129)=MIN(DAY(INDEX('1 Budget annuel'!$L$14:$L$43,COLUMN()-COLUMN($X$42)+1)),DAY(EOMONTH($L129,0)))),AND(INDEX('1 Budget annuel'!$E$14:$E$43,COLUMN()-COLUMN($X$42)+1)="Annuelle",MOD((YEAR($L129)-YEAR(INDEX('1 Budget annuel'!$L$14:$L$43,COLUMN()-COLUMN($X$42)+1)))*12+MONTH($L129)-MONTH(INDEX('1 Budget annuel'!$L$14:$L$43,COLUMN()-COLUMN($X$42)+1)),12)=0,DAY($L129)=MIN(DAY(INDEX('1 Budget annuel'!$L$14:$L$43,COLUMN()-COLUMN($X$42)+1)),DAY(EOMONTH($L129,0))))),IF(INDEX('1 Budget annuel'!$B$14:$B$43,COLUMN()-COLUMN($X$42)+1)="Entrée",INDEX('1 Budget annuel'!$I$14:$I$43,COLUMN()-COLUMN($X$42)+1),-INDEX('1 Budget annuel'!$I$14:$I$43,COLUMN()-COLUMN($X$42)+1)),0))</x:f>
        <x:v>0</x:v>
      </x:c>
    </x:row>
    <x:row r="130">
      <x:c r="L130" s="114" t="n">
        <x:f>L129+1</x:f>
        <x:v>46324</x:v>
      </x:c>
      <x:c r="M130" s="115" t="b">
        <x:f>AND(L130&gt;=$D$5,L130&lt;=$D$5+363,MOD(L130-$D$5,7)=0)</x:f>
        <x:v>0</x:v>
      </x:c>
      <x:c r="N130" s="116" t="n">
        <x:f>SUM(X130:BA130)</x:f>
        <x:v>0</x:v>
      </x:c>
      <x:c r="O130" s="116" t="n">
        <x:f>IF(M130,$D$10,0)</x:f>
        <x:v>0</x:v>
      </x:c>
      <x:c r="P130" s="116" t="n">
        <x:f>N130-O130</x:f>
        <x:v>0</x:v>
      </x:c>
      <x:c r="Q130" s="116" t="n">
        <x:f>IF(L130&lt;$D$5,0,IF(L130=$D$5,P130,Q129+P130))</x:f>
        <x:v>0</x:v>
      </x:c>
      <x:c r="R130" s="116" t="n">
        <x:f>IF(L130&lt;$D$5,"",$J$10+Q130)</x:f>
        <x:v>0</x:v>
      </x:c>
      <x:c r="S130" s="116" t="n">
        <x:f>IF($L130&lt;$D$5,"",IF($L130=$D$5,$J$10+$N130-IF($M130,IF(INT(($L130-$D$5)/7)&lt;$A$20,$B$20,$D$10),0),S129+$N130-IF($M130,IF(INT(($L130-$D$5)/7)&lt;$A$20,$B$20,$D$10),0)))</x:f>
        <x:v>0</x:v>
      </x:c>
      <x:c r="T130" s="116" t="n">
        <x:f>IF($L130&lt;$D$5,"",IF($L130=$D$5,$J$10+$N130-IF($M130,IF(INT(($L130-$D$5)/7)&lt;$A$21,$B$21,$D$10),0),T129+$N130-IF($M130,IF(INT(($L130-$D$5)/7)&lt;$A$21,$B$21,$D$10),0)))</x:f>
        <x:v>0</x:v>
      </x:c>
      <x:c r="U130" s="116" t="n">
        <x:f>IF($L130&lt;$D$5,"",IF($L130=$D$5,$J$10+$N130-IF($M130,IF(INT(($L130-$D$5)/7)&lt;$A$22,$B$22,$D$10),0),U129+$N130-IF($M130,IF(INT(($L130-$D$5)/7)&lt;$A$22,$B$22,$D$10),0)))</x:f>
        <x:v>0</x:v>
      </x:c>
      <x:c r="V130" s="116" t="n">
        <x:f>IF($L130&lt;$D$5,"",IF($L130=$D$5,$J$10+$N130-IF($M130,IF(INT(($L130-$D$5)/7)&lt;$A$23,$B$23,$D$10),0),V129+$N130-IF($M130,IF(INT(($L130-$D$5)/7)&lt;$A$23,$B$23,$D$10),0)))</x:f>
        <x:v>0</x:v>
      </x:c>
      <x:c r="W130" s="116" t="n">
        <x:f>IF($L130&lt;$D$5,"",IF($L130=$D$5,$J$10+$N130-IF($M130,IF(INT(($L130-$D$5)/7)&lt;$A$24,$B$24,$D$10),0),W129+$N130-IF($M130,IF(INT(($L130-$D$5)/7)&lt;$A$24,$B$24,$D$10),0)))</x:f>
        <x:v>0</x:v>
      </x:c>
      <x:c r="X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Y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Z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A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B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C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D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E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F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G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H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I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J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K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L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M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N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O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P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Q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R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S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T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U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V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W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X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Y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AZ130" s="116"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c r="BA130" s="117" t="n">
        <x:f>IF(OR(INDEX('1 Budget annuel'!$A$14:$A$43,COLUMN()-COLUMN($X$42)+1)&lt;&gt;"Oui",INDEX('1 Budget annuel'!$L$14:$L$43,COLUMN()-COLUMN($X$42)+1)="",AND(INDEX('1 Budget annuel'!$B$14:$B$43,COLUMN()-COLUMN($X$42)+1)="Sortie",INDEX('1 Budget annuel'!$M$14:$M$43,COLUMN()-COLUMN($X$42)+1)="Oui"),$L130&lt;INDEX('1 Budget annuel'!$L$14:$L$43,COLUMN()-COLUMN($X$42)+1),$L130&gt;$D$5+363),0,IF(OR(AND(INDEX('1 Budget annuel'!$E$14:$E$43,COLUMN()-COLUMN($X$42)+1)="Hebdomadaire",MOD($L130-INDEX('1 Budget annuel'!$L$14:$L$43,COLUMN()-COLUMN($X$42)+1),7)=0),AND(INDEX('1 Budget annuel'!$E$14:$E$43,COLUMN()-COLUMN($X$42)+1)="Toutes les 4 semaines",MOD($L130-INDEX('1 Budget annuel'!$L$14:$L$43,COLUMN()-COLUMN($X$42)+1),28)=0),AND(INDEX('1 Budget annuel'!$E$14:$E$43,COLUMN()-COLUMN($X$42)+1)="Mensuelle",DAY($L130)=MIN(DAY(INDEX('1 Budget annuel'!$L$14:$L$43,COLUMN()-COLUMN($X$42)+1)),DAY(EOMONTH($L130,0)))),AND(INDEX('1 Budget annuel'!$E$14:$E$43,COLUMN()-COLUMN($X$42)+1)="Trimestrielle",MOD((YEAR($L130)-YEAR(INDEX('1 Budget annuel'!$L$14:$L$43,COLUMN()-COLUMN($X$42)+1)))*12+MONTH($L130)-MONTH(INDEX('1 Budget annuel'!$L$14:$L$43,COLUMN()-COLUMN($X$42)+1)),3)=0,DAY($L130)=MIN(DAY(INDEX('1 Budget annuel'!$L$14:$L$43,COLUMN()-COLUMN($X$42)+1)),DAY(EOMONTH($L130,0)))),AND(INDEX('1 Budget annuel'!$E$14:$E$43,COLUMN()-COLUMN($X$42)+1)="Semestrielle",MOD((YEAR($L130)-YEAR(INDEX('1 Budget annuel'!$L$14:$L$43,COLUMN()-COLUMN($X$42)+1)))*12+MONTH($L130)-MONTH(INDEX('1 Budget annuel'!$L$14:$L$43,COLUMN()-COLUMN($X$42)+1)),6)=0,DAY($L130)=MIN(DAY(INDEX('1 Budget annuel'!$L$14:$L$43,COLUMN()-COLUMN($X$42)+1)),DAY(EOMONTH($L130,0)))),AND(INDEX('1 Budget annuel'!$E$14:$E$43,COLUMN()-COLUMN($X$42)+1)="Annuelle",MOD((YEAR($L130)-YEAR(INDEX('1 Budget annuel'!$L$14:$L$43,COLUMN()-COLUMN($X$42)+1)))*12+MONTH($L130)-MONTH(INDEX('1 Budget annuel'!$L$14:$L$43,COLUMN()-COLUMN($X$42)+1)),12)=0,DAY($L130)=MIN(DAY(INDEX('1 Budget annuel'!$L$14:$L$43,COLUMN()-COLUMN($X$42)+1)),DAY(EOMONTH($L130,0))))),IF(INDEX('1 Budget annuel'!$B$14:$B$43,COLUMN()-COLUMN($X$42)+1)="Entrée",INDEX('1 Budget annuel'!$I$14:$I$43,COLUMN()-COLUMN($X$42)+1),-INDEX('1 Budget annuel'!$I$14:$I$43,COLUMN()-COLUMN($X$42)+1)),0))</x:f>
        <x:v>0</x:v>
      </x:c>
    </x:row>
    <x:row r="131">
      <x:c r="L131" s="114" t="n">
        <x:f>L130+1</x:f>
        <x:v>46325</x:v>
      </x:c>
      <x:c r="M131" s="115" t="b">
        <x:f>AND(L131&gt;=$D$5,L131&lt;=$D$5+363,MOD(L131-$D$5,7)=0)</x:f>
        <x:v>0</x:v>
      </x:c>
      <x:c r="N131" s="116" t="n">
        <x:f>SUM(X131:BA131)</x:f>
        <x:v>0</x:v>
      </x:c>
      <x:c r="O131" s="116" t="n">
        <x:f>IF(M131,$D$10,0)</x:f>
        <x:v>0</x:v>
      </x:c>
      <x:c r="P131" s="116" t="n">
        <x:f>N131-O131</x:f>
        <x:v>0</x:v>
      </x:c>
      <x:c r="Q131" s="116" t="n">
        <x:f>IF(L131&lt;$D$5,0,IF(L131=$D$5,P131,Q130+P131))</x:f>
        <x:v>0</x:v>
      </x:c>
      <x:c r="R131" s="116" t="n">
        <x:f>IF(L131&lt;$D$5,"",$J$10+Q131)</x:f>
        <x:v>0</x:v>
      </x:c>
      <x:c r="S131" s="116" t="n">
        <x:f>IF($L131&lt;$D$5,"",IF($L131=$D$5,$J$10+$N131-IF($M131,IF(INT(($L131-$D$5)/7)&lt;$A$20,$B$20,$D$10),0),S130+$N131-IF($M131,IF(INT(($L131-$D$5)/7)&lt;$A$20,$B$20,$D$10),0)))</x:f>
        <x:v>0</x:v>
      </x:c>
      <x:c r="T131" s="116" t="n">
        <x:f>IF($L131&lt;$D$5,"",IF($L131=$D$5,$J$10+$N131-IF($M131,IF(INT(($L131-$D$5)/7)&lt;$A$21,$B$21,$D$10),0),T130+$N131-IF($M131,IF(INT(($L131-$D$5)/7)&lt;$A$21,$B$21,$D$10),0)))</x:f>
        <x:v>0</x:v>
      </x:c>
      <x:c r="U131" s="116" t="n">
        <x:f>IF($L131&lt;$D$5,"",IF($L131=$D$5,$J$10+$N131-IF($M131,IF(INT(($L131-$D$5)/7)&lt;$A$22,$B$22,$D$10),0),U130+$N131-IF($M131,IF(INT(($L131-$D$5)/7)&lt;$A$22,$B$22,$D$10),0)))</x:f>
        <x:v>0</x:v>
      </x:c>
      <x:c r="V131" s="116" t="n">
        <x:f>IF($L131&lt;$D$5,"",IF($L131=$D$5,$J$10+$N131-IF($M131,IF(INT(($L131-$D$5)/7)&lt;$A$23,$B$23,$D$10),0),V130+$N131-IF($M131,IF(INT(($L131-$D$5)/7)&lt;$A$23,$B$23,$D$10),0)))</x:f>
        <x:v>0</x:v>
      </x:c>
      <x:c r="W131" s="116" t="n">
        <x:f>IF($L131&lt;$D$5,"",IF($L131=$D$5,$J$10+$N131-IF($M131,IF(INT(($L131-$D$5)/7)&lt;$A$24,$B$24,$D$10),0),W130+$N131-IF($M131,IF(INT(($L131-$D$5)/7)&lt;$A$24,$B$24,$D$10),0)))</x:f>
        <x:v>0</x:v>
      </x:c>
      <x:c r="X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Y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Z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A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B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C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D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E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F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G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H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I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J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K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L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M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N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O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P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Q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R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S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T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U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V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W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X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Y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AZ131" s="116"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c r="BA131" s="117" t="n">
        <x:f>IF(OR(INDEX('1 Budget annuel'!$A$14:$A$43,COLUMN()-COLUMN($X$42)+1)&lt;&gt;"Oui",INDEX('1 Budget annuel'!$L$14:$L$43,COLUMN()-COLUMN($X$42)+1)="",AND(INDEX('1 Budget annuel'!$B$14:$B$43,COLUMN()-COLUMN($X$42)+1)="Sortie",INDEX('1 Budget annuel'!$M$14:$M$43,COLUMN()-COLUMN($X$42)+1)="Oui"),$L131&lt;INDEX('1 Budget annuel'!$L$14:$L$43,COLUMN()-COLUMN($X$42)+1),$L131&gt;$D$5+363),0,IF(OR(AND(INDEX('1 Budget annuel'!$E$14:$E$43,COLUMN()-COLUMN($X$42)+1)="Hebdomadaire",MOD($L131-INDEX('1 Budget annuel'!$L$14:$L$43,COLUMN()-COLUMN($X$42)+1),7)=0),AND(INDEX('1 Budget annuel'!$E$14:$E$43,COLUMN()-COLUMN($X$42)+1)="Toutes les 4 semaines",MOD($L131-INDEX('1 Budget annuel'!$L$14:$L$43,COLUMN()-COLUMN($X$42)+1),28)=0),AND(INDEX('1 Budget annuel'!$E$14:$E$43,COLUMN()-COLUMN($X$42)+1)="Mensuelle",DAY($L131)=MIN(DAY(INDEX('1 Budget annuel'!$L$14:$L$43,COLUMN()-COLUMN($X$42)+1)),DAY(EOMONTH($L131,0)))),AND(INDEX('1 Budget annuel'!$E$14:$E$43,COLUMN()-COLUMN($X$42)+1)="Trimestrielle",MOD((YEAR($L131)-YEAR(INDEX('1 Budget annuel'!$L$14:$L$43,COLUMN()-COLUMN($X$42)+1)))*12+MONTH($L131)-MONTH(INDEX('1 Budget annuel'!$L$14:$L$43,COLUMN()-COLUMN($X$42)+1)),3)=0,DAY($L131)=MIN(DAY(INDEX('1 Budget annuel'!$L$14:$L$43,COLUMN()-COLUMN($X$42)+1)),DAY(EOMONTH($L131,0)))),AND(INDEX('1 Budget annuel'!$E$14:$E$43,COLUMN()-COLUMN($X$42)+1)="Semestrielle",MOD((YEAR($L131)-YEAR(INDEX('1 Budget annuel'!$L$14:$L$43,COLUMN()-COLUMN($X$42)+1)))*12+MONTH($L131)-MONTH(INDEX('1 Budget annuel'!$L$14:$L$43,COLUMN()-COLUMN($X$42)+1)),6)=0,DAY($L131)=MIN(DAY(INDEX('1 Budget annuel'!$L$14:$L$43,COLUMN()-COLUMN($X$42)+1)),DAY(EOMONTH($L131,0)))),AND(INDEX('1 Budget annuel'!$E$14:$E$43,COLUMN()-COLUMN($X$42)+1)="Annuelle",MOD((YEAR($L131)-YEAR(INDEX('1 Budget annuel'!$L$14:$L$43,COLUMN()-COLUMN($X$42)+1)))*12+MONTH($L131)-MONTH(INDEX('1 Budget annuel'!$L$14:$L$43,COLUMN()-COLUMN($X$42)+1)),12)=0,DAY($L131)=MIN(DAY(INDEX('1 Budget annuel'!$L$14:$L$43,COLUMN()-COLUMN($X$42)+1)),DAY(EOMONTH($L131,0))))),IF(INDEX('1 Budget annuel'!$B$14:$B$43,COLUMN()-COLUMN($X$42)+1)="Entrée",INDEX('1 Budget annuel'!$I$14:$I$43,COLUMN()-COLUMN($X$42)+1),-INDEX('1 Budget annuel'!$I$14:$I$43,COLUMN()-COLUMN($X$42)+1)),0))</x:f>
        <x:v>0</x:v>
      </x:c>
    </x:row>
    <x:row r="132">
      <x:c r="L132" s="114" t="n">
        <x:f>L131+1</x:f>
        <x:v>46326</x:v>
      </x:c>
      <x:c r="M132" s="115" t="b">
        <x:f>AND(L132&gt;=$D$5,L132&lt;=$D$5+363,MOD(L132-$D$5,7)=0)</x:f>
        <x:v>1</x:v>
      </x:c>
      <x:c r="N132" s="116" t="n">
        <x:f>SUM(X132:BA132)</x:f>
        <x:v>0</x:v>
      </x:c>
      <x:c r="O132" s="116" t="n">
        <x:f>IF(M132,$D$10,0)</x:f>
        <x:v>0</x:v>
      </x:c>
      <x:c r="P132" s="116" t="n">
        <x:f>N132-O132</x:f>
        <x:v>0</x:v>
      </x:c>
      <x:c r="Q132" s="116" t="n">
        <x:f>IF(L132&lt;$D$5,0,IF(L132=$D$5,P132,Q131+P132))</x:f>
        <x:v>0</x:v>
      </x:c>
      <x:c r="R132" s="116" t="n">
        <x:f>IF(L132&lt;$D$5,"",$J$10+Q132)</x:f>
        <x:v>0</x:v>
      </x:c>
      <x:c r="S132" s="116" t="n">
        <x:f>IF($L132&lt;$D$5,"",IF($L132=$D$5,$J$10+$N132-IF($M132,IF(INT(($L132-$D$5)/7)&lt;$A$20,$B$20,$D$10),0),S131+$N132-IF($M132,IF(INT(($L132-$D$5)/7)&lt;$A$20,$B$20,$D$10),0)))</x:f>
        <x:v>0</x:v>
      </x:c>
      <x:c r="T132" s="116" t="n">
        <x:f>IF($L132&lt;$D$5,"",IF($L132=$D$5,$J$10+$N132-IF($M132,IF(INT(($L132-$D$5)/7)&lt;$A$21,$B$21,$D$10),0),T131+$N132-IF($M132,IF(INT(($L132-$D$5)/7)&lt;$A$21,$B$21,$D$10),0)))</x:f>
        <x:v>0</x:v>
      </x:c>
      <x:c r="U132" s="116" t="n">
        <x:f>IF($L132&lt;$D$5,"",IF($L132=$D$5,$J$10+$N132-IF($M132,IF(INT(($L132-$D$5)/7)&lt;$A$22,$B$22,$D$10),0),U131+$N132-IF($M132,IF(INT(($L132-$D$5)/7)&lt;$A$22,$B$22,$D$10),0)))</x:f>
        <x:v>0</x:v>
      </x:c>
      <x:c r="V132" s="116" t="n">
        <x:f>IF($L132&lt;$D$5,"",IF($L132=$D$5,$J$10+$N132-IF($M132,IF(INT(($L132-$D$5)/7)&lt;$A$23,$B$23,$D$10),0),V131+$N132-IF($M132,IF(INT(($L132-$D$5)/7)&lt;$A$23,$B$23,$D$10),0)))</x:f>
        <x:v>0</x:v>
      </x:c>
      <x:c r="W132" s="116" t="n">
        <x:f>IF($L132&lt;$D$5,"",IF($L132=$D$5,$J$10+$N132-IF($M132,IF(INT(($L132-$D$5)/7)&lt;$A$24,$B$24,$D$10),0),W131+$N132-IF($M132,IF(INT(($L132-$D$5)/7)&lt;$A$24,$B$24,$D$10),0)))</x:f>
        <x:v>0</x:v>
      </x:c>
      <x:c r="X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Y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Z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A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B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C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D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E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F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G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H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I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J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K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L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M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N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O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P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Q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R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S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T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U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V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W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X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Y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AZ132" s="116"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c r="BA132" s="117" t="n">
        <x:f>IF(OR(INDEX('1 Budget annuel'!$A$14:$A$43,COLUMN()-COLUMN($X$42)+1)&lt;&gt;"Oui",INDEX('1 Budget annuel'!$L$14:$L$43,COLUMN()-COLUMN($X$42)+1)="",AND(INDEX('1 Budget annuel'!$B$14:$B$43,COLUMN()-COLUMN($X$42)+1)="Sortie",INDEX('1 Budget annuel'!$M$14:$M$43,COLUMN()-COLUMN($X$42)+1)="Oui"),$L132&lt;INDEX('1 Budget annuel'!$L$14:$L$43,COLUMN()-COLUMN($X$42)+1),$L132&gt;$D$5+363),0,IF(OR(AND(INDEX('1 Budget annuel'!$E$14:$E$43,COLUMN()-COLUMN($X$42)+1)="Hebdomadaire",MOD($L132-INDEX('1 Budget annuel'!$L$14:$L$43,COLUMN()-COLUMN($X$42)+1),7)=0),AND(INDEX('1 Budget annuel'!$E$14:$E$43,COLUMN()-COLUMN($X$42)+1)="Toutes les 4 semaines",MOD($L132-INDEX('1 Budget annuel'!$L$14:$L$43,COLUMN()-COLUMN($X$42)+1),28)=0),AND(INDEX('1 Budget annuel'!$E$14:$E$43,COLUMN()-COLUMN($X$42)+1)="Mensuelle",DAY($L132)=MIN(DAY(INDEX('1 Budget annuel'!$L$14:$L$43,COLUMN()-COLUMN($X$42)+1)),DAY(EOMONTH($L132,0)))),AND(INDEX('1 Budget annuel'!$E$14:$E$43,COLUMN()-COLUMN($X$42)+1)="Trimestrielle",MOD((YEAR($L132)-YEAR(INDEX('1 Budget annuel'!$L$14:$L$43,COLUMN()-COLUMN($X$42)+1)))*12+MONTH($L132)-MONTH(INDEX('1 Budget annuel'!$L$14:$L$43,COLUMN()-COLUMN($X$42)+1)),3)=0,DAY($L132)=MIN(DAY(INDEX('1 Budget annuel'!$L$14:$L$43,COLUMN()-COLUMN($X$42)+1)),DAY(EOMONTH($L132,0)))),AND(INDEX('1 Budget annuel'!$E$14:$E$43,COLUMN()-COLUMN($X$42)+1)="Semestrielle",MOD((YEAR($L132)-YEAR(INDEX('1 Budget annuel'!$L$14:$L$43,COLUMN()-COLUMN($X$42)+1)))*12+MONTH($L132)-MONTH(INDEX('1 Budget annuel'!$L$14:$L$43,COLUMN()-COLUMN($X$42)+1)),6)=0,DAY($L132)=MIN(DAY(INDEX('1 Budget annuel'!$L$14:$L$43,COLUMN()-COLUMN($X$42)+1)),DAY(EOMONTH($L132,0)))),AND(INDEX('1 Budget annuel'!$E$14:$E$43,COLUMN()-COLUMN($X$42)+1)="Annuelle",MOD((YEAR($L132)-YEAR(INDEX('1 Budget annuel'!$L$14:$L$43,COLUMN()-COLUMN($X$42)+1)))*12+MONTH($L132)-MONTH(INDEX('1 Budget annuel'!$L$14:$L$43,COLUMN()-COLUMN($X$42)+1)),12)=0,DAY($L132)=MIN(DAY(INDEX('1 Budget annuel'!$L$14:$L$43,COLUMN()-COLUMN($X$42)+1)),DAY(EOMONTH($L132,0))))),IF(INDEX('1 Budget annuel'!$B$14:$B$43,COLUMN()-COLUMN($X$42)+1)="Entrée",INDEX('1 Budget annuel'!$I$14:$I$43,COLUMN()-COLUMN($X$42)+1),-INDEX('1 Budget annuel'!$I$14:$I$43,COLUMN()-COLUMN($X$42)+1)),0))</x:f>
        <x:v>0</x:v>
      </x:c>
    </x:row>
    <x:row r="133">
      <x:c r="L133" s="114" t="n">
        <x:f>L132+1</x:f>
        <x:v>46327</x:v>
      </x:c>
      <x:c r="M133" s="115" t="b">
        <x:f>AND(L133&gt;=$D$5,L133&lt;=$D$5+363,MOD(L133-$D$5,7)=0)</x:f>
        <x:v>0</x:v>
      </x:c>
      <x:c r="N133" s="116" t="n">
        <x:f>SUM(X133:BA133)</x:f>
        <x:v>0</x:v>
      </x:c>
      <x:c r="O133" s="116" t="n">
        <x:f>IF(M133,$D$10,0)</x:f>
        <x:v>0</x:v>
      </x:c>
      <x:c r="P133" s="116" t="n">
        <x:f>N133-O133</x:f>
        <x:v>0</x:v>
      </x:c>
      <x:c r="Q133" s="116" t="n">
        <x:f>IF(L133&lt;$D$5,0,IF(L133=$D$5,P133,Q132+P133))</x:f>
        <x:v>0</x:v>
      </x:c>
      <x:c r="R133" s="116" t="n">
        <x:f>IF(L133&lt;$D$5,"",$J$10+Q133)</x:f>
        <x:v>0</x:v>
      </x:c>
      <x:c r="S133" s="116" t="n">
        <x:f>IF($L133&lt;$D$5,"",IF($L133=$D$5,$J$10+$N133-IF($M133,IF(INT(($L133-$D$5)/7)&lt;$A$20,$B$20,$D$10),0),S132+$N133-IF($M133,IF(INT(($L133-$D$5)/7)&lt;$A$20,$B$20,$D$10),0)))</x:f>
        <x:v>0</x:v>
      </x:c>
      <x:c r="T133" s="116" t="n">
        <x:f>IF($L133&lt;$D$5,"",IF($L133=$D$5,$J$10+$N133-IF($M133,IF(INT(($L133-$D$5)/7)&lt;$A$21,$B$21,$D$10),0),T132+$N133-IF($M133,IF(INT(($L133-$D$5)/7)&lt;$A$21,$B$21,$D$10),0)))</x:f>
        <x:v>0</x:v>
      </x:c>
      <x:c r="U133" s="116" t="n">
        <x:f>IF($L133&lt;$D$5,"",IF($L133=$D$5,$J$10+$N133-IF($M133,IF(INT(($L133-$D$5)/7)&lt;$A$22,$B$22,$D$10),0),U132+$N133-IF($M133,IF(INT(($L133-$D$5)/7)&lt;$A$22,$B$22,$D$10),0)))</x:f>
        <x:v>0</x:v>
      </x:c>
      <x:c r="V133" s="116" t="n">
        <x:f>IF($L133&lt;$D$5,"",IF($L133=$D$5,$J$10+$N133-IF($M133,IF(INT(($L133-$D$5)/7)&lt;$A$23,$B$23,$D$10),0),V132+$N133-IF($M133,IF(INT(($L133-$D$5)/7)&lt;$A$23,$B$23,$D$10),0)))</x:f>
        <x:v>0</x:v>
      </x:c>
      <x:c r="W133" s="116" t="n">
        <x:f>IF($L133&lt;$D$5,"",IF($L133=$D$5,$J$10+$N133-IF($M133,IF(INT(($L133-$D$5)/7)&lt;$A$24,$B$24,$D$10),0),W132+$N133-IF($M133,IF(INT(($L133-$D$5)/7)&lt;$A$24,$B$24,$D$10),0)))</x:f>
        <x:v>0</x:v>
      </x:c>
      <x:c r="X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Y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Z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A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B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C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D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E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F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G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H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I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J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K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L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M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N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O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P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Q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R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S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T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U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V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W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X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Y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AZ133" s="116"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c r="BA133" s="117" t="n">
        <x:f>IF(OR(INDEX('1 Budget annuel'!$A$14:$A$43,COLUMN()-COLUMN($X$42)+1)&lt;&gt;"Oui",INDEX('1 Budget annuel'!$L$14:$L$43,COLUMN()-COLUMN($X$42)+1)="",AND(INDEX('1 Budget annuel'!$B$14:$B$43,COLUMN()-COLUMN($X$42)+1)="Sortie",INDEX('1 Budget annuel'!$M$14:$M$43,COLUMN()-COLUMN($X$42)+1)="Oui"),$L133&lt;INDEX('1 Budget annuel'!$L$14:$L$43,COLUMN()-COLUMN($X$42)+1),$L133&gt;$D$5+363),0,IF(OR(AND(INDEX('1 Budget annuel'!$E$14:$E$43,COLUMN()-COLUMN($X$42)+1)="Hebdomadaire",MOD($L133-INDEX('1 Budget annuel'!$L$14:$L$43,COLUMN()-COLUMN($X$42)+1),7)=0),AND(INDEX('1 Budget annuel'!$E$14:$E$43,COLUMN()-COLUMN($X$42)+1)="Toutes les 4 semaines",MOD($L133-INDEX('1 Budget annuel'!$L$14:$L$43,COLUMN()-COLUMN($X$42)+1),28)=0),AND(INDEX('1 Budget annuel'!$E$14:$E$43,COLUMN()-COLUMN($X$42)+1)="Mensuelle",DAY($L133)=MIN(DAY(INDEX('1 Budget annuel'!$L$14:$L$43,COLUMN()-COLUMN($X$42)+1)),DAY(EOMONTH($L133,0)))),AND(INDEX('1 Budget annuel'!$E$14:$E$43,COLUMN()-COLUMN($X$42)+1)="Trimestrielle",MOD((YEAR($L133)-YEAR(INDEX('1 Budget annuel'!$L$14:$L$43,COLUMN()-COLUMN($X$42)+1)))*12+MONTH($L133)-MONTH(INDEX('1 Budget annuel'!$L$14:$L$43,COLUMN()-COLUMN($X$42)+1)),3)=0,DAY($L133)=MIN(DAY(INDEX('1 Budget annuel'!$L$14:$L$43,COLUMN()-COLUMN($X$42)+1)),DAY(EOMONTH($L133,0)))),AND(INDEX('1 Budget annuel'!$E$14:$E$43,COLUMN()-COLUMN($X$42)+1)="Semestrielle",MOD((YEAR($L133)-YEAR(INDEX('1 Budget annuel'!$L$14:$L$43,COLUMN()-COLUMN($X$42)+1)))*12+MONTH($L133)-MONTH(INDEX('1 Budget annuel'!$L$14:$L$43,COLUMN()-COLUMN($X$42)+1)),6)=0,DAY($L133)=MIN(DAY(INDEX('1 Budget annuel'!$L$14:$L$43,COLUMN()-COLUMN($X$42)+1)),DAY(EOMONTH($L133,0)))),AND(INDEX('1 Budget annuel'!$E$14:$E$43,COLUMN()-COLUMN($X$42)+1)="Annuelle",MOD((YEAR($L133)-YEAR(INDEX('1 Budget annuel'!$L$14:$L$43,COLUMN()-COLUMN($X$42)+1)))*12+MONTH($L133)-MONTH(INDEX('1 Budget annuel'!$L$14:$L$43,COLUMN()-COLUMN($X$42)+1)),12)=0,DAY($L133)=MIN(DAY(INDEX('1 Budget annuel'!$L$14:$L$43,COLUMN()-COLUMN($X$42)+1)),DAY(EOMONTH($L133,0))))),IF(INDEX('1 Budget annuel'!$B$14:$B$43,COLUMN()-COLUMN($X$42)+1)="Entrée",INDEX('1 Budget annuel'!$I$14:$I$43,COLUMN()-COLUMN($X$42)+1),-INDEX('1 Budget annuel'!$I$14:$I$43,COLUMN()-COLUMN($X$42)+1)),0))</x:f>
        <x:v>0</x:v>
      </x:c>
    </x:row>
    <x:row r="134">
      <x:c r="L134" s="114" t="n">
        <x:f>L133+1</x:f>
        <x:v>46328</x:v>
      </x:c>
      <x:c r="M134" s="115" t="b">
        <x:f>AND(L134&gt;=$D$5,L134&lt;=$D$5+363,MOD(L134-$D$5,7)=0)</x:f>
        <x:v>0</x:v>
      </x:c>
      <x:c r="N134" s="116" t="n">
        <x:f>SUM(X134:BA134)</x:f>
        <x:v>0</x:v>
      </x:c>
      <x:c r="O134" s="116" t="n">
        <x:f>IF(M134,$D$10,0)</x:f>
        <x:v>0</x:v>
      </x:c>
      <x:c r="P134" s="116" t="n">
        <x:f>N134-O134</x:f>
        <x:v>0</x:v>
      </x:c>
      <x:c r="Q134" s="116" t="n">
        <x:f>IF(L134&lt;$D$5,0,IF(L134=$D$5,P134,Q133+P134))</x:f>
        <x:v>0</x:v>
      </x:c>
      <x:c r="R134" s="116" t="n">
        <x:f>IF(L134&lt;$D$5,"",$J$10+Q134)</x:f>
        <x:v>0</x:v>
      </x:c>
      <x:c r="S134" s="116" t="n">
        <x:f>IF($L134&lt;$D$5,"",IF($L134=$D$5,$J$10+$N134-IF($M134,IF(INT(($L134-$D$5)/7)&lt;$A$20,$B$20,$D$10),0),S133+$N134-IF($M134,IF(INT(($L134-$D$5)/7)&lt;$A$20,$B$20,$D$10),0)))</x:f>
        <x:v>0</x:v>
      </x:c>
      <x:c r="T134" s="116" t="n">
        <x:f>IF($L134&lt;$D$5,"",IF($L134=$D$5,$J$10+$N134-IF($M134,IF(INT(($L134-$D$5)/7)&lt;$A$21,$B$21,$D$10),0),T133+$N134-IF($M134,IF(INT(($L134-$D$5)/7)&lt;$A$21,$B$21,$D$10),0)))</x:f>
        <x:v>0</x:v>
      </x:c>
      <x:c r="U134" s="116" t="n">
        <x:f>IF($L134&lt;$D$5,"",IF($L134=$D$5,$J$10+$N134-IF($M134,IF(INT(($L134-$D$5)/7)&lt;$A$22,$B$22,$D$10),0),U133+$N134-IF($M134,IF(INT(($L134-$D$5)/7)&lt;$A$22,$B$22,$D$10),0)))</x:f>
        <x:v>0</x:v>
      </x:c>
      <x:c r="V134" s="116" t="n">
        <x:f>IF($L134&lt;$D$5,"",IF($L134=$D$5,$J$10+$N134-IF($M134,IF(INT(($L134-$D$5)/7)&lt;$A$23,$B$23,$D$10),0),V133+$N134-IF($M134,IF(INT(($L134-$D$5)/7)&lt;$A$23,$B$23,$D$10),0)))</x:f>
        <x:v>0</x:v>
      </x:c>
      <x:c r="W134" s="116" t="n">
        <x:f>IF($L134&lt;$D$5,"",IF($L134=$D$5,$J$10+$N134-IF($M134,IF(INT(($L134-$D$5)/7)&lt;$A$24,$B$24,$D$10),0),W133+$N134-IF($M134,IF(INT(($L134-$D$5)/7)&lt;$A$24,$B$24,$D$10),0)))</x:f>
        <x:v>0</x:v>
      </x:c>
      <x:c r="X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Y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Z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A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B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C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D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E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F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G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H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I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J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K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L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M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N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O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P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Q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R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S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T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U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V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W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X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Y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AZ134" s="116"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c r="BA134" s="117" t="n">
        <x:f>IF(OR(INDEX('1 Budget annuel'!$A$14:$A$43,COLUMN()-COLUMN($X$42)+1)&lt;&gt;"Oui",INDEX('1 Budget annuel'!$L$14:$L$43,COLUMN()-COLUMN($X$42)+1)="",AND(INDEX('1 Budget annuel'!$B$14:$B$43,COLUMN()-COLUMN($X$42)+1)="Sortie",INDEX('1 Budget annuel'!$M$14:$M$43,COLUMN()-COLUMN($X$42)+1)="Oui"),$L134&lt;INDEX('1 Budget annuel'!$L$14:$L$43,COLUMN()-COLUMN($X$42)+1),$L134&gt;$D$5+363),0,IF(OR(AND(INDEX('1 Budget annuel'!$E$14:$E$43,COLUMN()-COLUMN($X$42)+1)="Hebdomadaire",MOD($L134-INDEX('1 Budget annuel'!$L$14:$L$43,COLUMN()-COLUMN($X$42)+1),7)=0),AND(INDEX('1 Budget annuel'!$E$14:$E$43,COLUMN()-COLUMN($X$42)+1)="Toutes les 4 semaines",MOD($L134-INDEX('1 Budget annuel'!$L$14:$L$43,COLUMN()-COLUMN($X$42)+1),28)=0),AND(INDEX('1 Budget annuel'!$E$14:$E$43,COLUMN()-COLUMN($X$42)+1)="Mensuelle",DAY($L134)=MIN(DAY(INDEX('1 Budget annuel'!$L$14:$L$43,COLUMN()-COLUMN($X$42)+1)),DAY(EOMONTH($L134,0)))),AND(INDEX('1 Budget annuel'!$E$14:$E$43,COLUMN()-COLUMN($X$42)+1)="Trimestrielle",MOD((YEAR($L134)-YEAR(INDEX('1 Budget annuel'!$L$14:$L$43,COLUMN()-COLUMN($X$42)+1)))*12+MONTH($L134)-MONTH(INDEX('1 Budget annuel'!$L$14:$L$43,COLUMN()-COLUMN($X$42)+1)),3)=0,DAY($L134)=MIN(DAY(INDEX('1 Budget annuel'!$L$14:$L$43,COLUMN()-COLUMN($X$42)+1)),DAY(EOMONTH($L134,0)))),AND(INDEX('1 Budget annuel'!$E$14:$E$43,COLUMN()-COLUMN($X$42)+1)="Semestrielle",MOD((YEAR($L134)-YEAR(INDEX('1 Budget annuel'!$L$14:$L$43,COLUMN()-COLUMN($X$42)+1)))*12+MONTH($L134)-MONTH(INDEX('1 Budget annuel'!$L$14:$L$43,COLUMN()-COLUMN($X$42)+1)),6)=0,DAY($L134)=MIN(DAY(INDEX('1 Budget annuel'!$L$14:$L$43,COLUMN()-COLUMN($X$42)+1)),DAY(EOMONTH($L134,0)))),AND(INDEX('1 Budget annuel'!$E$14:$E$43,COLUMN()-COLUMN($X$42)+1)="Annuelle",MOD((YEAR($L134)-YEAR(INDEX('1 Budget annuel'!$L$14:$L$43,COLUMN()-COLUMN($X$42)+1)))*12+MONTH($L134)-MONTH(INDEX('1 Budget annuel'!$L$14:$L$43,COLUMN()-COLUMN($X$42)+1)),12)=0,DAY($L134)=MIN(DAY(INDEX('1 Budget annuel'!$L$14:$L$43,COLUMN()-COLUMN($X$42)+1)),DAY(EOMONTH($L134,0))))),IF(INDEX('1 Budget annuel'!$B$14:$B$43,COLUMN()-COLUMN($X$42)+1)="Entrée",INDEX('1 Budget annuel'!$I$14:$I$43,COLUMN()-COLUMN($X$42)+1),-INDEX('1 Budget annuel'!$I$14:$I$43,COLUMN()-COLUMN($X$42)+1)),0))</x:f>
        <x:v>0</x:v>
      </x:c>
    </x:row>
    <x:row r="135">
      <x:c r="L135" s="114" t="n">
        <x:f>L134+1</x:f>
        <x:v>46329</x:v>
      </x:c>
      <x:c r="M135" s="115" t="b">
        <x:f>AND(L135&gt;=$D$5,L135&lt;=$D$5+363,MOD(L135-$D$5,7)=0)</x:f>
        <x:v>0</x:v>
      </x:c>
      <x:c r="N135" s="116" t="n">
        <x:f>SUM(X135:BA135)</x:f>
        <x:v>0</x:v>
      </x:c>
      <x:c r="O135" s="116" t="n">
        <x:f>IF(M135,$D$10,0)</x:f>
        <x:v>0</x:v>
      </x:c>
      <x:c r="P135" s="116" t="n">
        <x:f>N135-O135</x:f>
        <x:v>0</x:v>
      </x:c>
      <x:c r="Q135" s="116" t="n">
        <x:f>IF(L135&lt;$D$5,0,IF(L135=$D$5,P135,Q134+P135))</x:f>
        <x:v>0</x:v>
      </x:c>
      <x:c r="R135" s="116" t="n">
        <x:f>IF(L135&lt;$D$5,"",$J$10+Q135)</x:f>
        <x:v>0</x:v>
      </x:c>
      <x:c r="S135" s="116" t="n">
        <x:f>IF($L135&lt;$D$5,"",IF($L135=$D$5,$J$10+$N135-IF($M135,IF(INT(($L135-$D$5)/7)&lt;$A$20,$B$20,$D$10),0),S134+$N135-IF($M135,IF(INT(($L135-$D$5)/7)&lt;$A$20,$B$20,$D$10),0)))</x:f>
        <x:v>0</x:v>
      </x:c>
      <x:c r="T135" s="116" t="n">
        <x:f>IF($L135&lt;$D$5,"",IF($L135=$D$5,$J$10+$N135-IF($M135,IF(INT(($L135-$D$5)/7)&lt;$A$21,$B$21,$D$10),0),T134+$N135-IF($M135,IF(INT(($L135-$D$5)/7)&lt;$A$21,$B$21,$D$10),0)))</x:f>
        <x:v>0</x:v>
      </x:c>
      <x:c r="U135" s="116" t="n">
        <x:f>IF($L135&lt;$D$5,"",IF($L135=$D$5,$J$10+$N135-IF($M135,IF(INT(($L135-$D$5)/7)&lt;$A$22,$B$22,$D$10),0),U134+$N135-IF($M135,IF(INT(($L135-$D$5)/7)&lt;$A$22,$B$22,$D$10),0)))</x:f>
        <x:v>0</x:v>
      </x:c>
      <x:c r="V135" s="116" t="n">
        <x:f>IF($L135&lt;$D$5,"",IF($L135=$D$5,$J$10+$N135-IF($M135,IF(INT(($L135-$D$5)/7)&lt;$A$23,$B$23,$D$10),0),V134+$N135-IF($M135,IF(INT(($L135-$D$5)/7)&lt;$A$23,$B$23,$D$10),0)))</x:f>
        <x:v>0</x:v>
      </x:c>
      <x:c r="W135" s="116" t="n">
        <x:f>IF($L135&lt;$D$5,"",IF($L135=$D$5,$J$10+$N135-IF($M135,IF(INT(($L135-$D$5)/7)&lt;$A$24,$B$24,$D$10),0),W134+$N135-IF($M135,IF(INT(($L135-$D$5)/7)&lt;$A$24,$B$24,$D$10),0)))</x:f>
        <x:v>0</x:v>
      </x:c>
      <x:c r="X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Y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Z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A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B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C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D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E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F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G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H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I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J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K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L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M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N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O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P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Q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R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S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T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U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V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W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X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Y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AZ135" s="116"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c r="BA135" s="117" t="n">
        <x:f>IF(OR(INDEX('1 Budget annuel'!$A$14:$A$43,COLUMN()-COLUMN($X$42)+1)&lt;&gt;"Oui",INDEX('1 Budget annuel'!$L$14:$L$43,COLUMN()-COLUMN($X$42)+1)="",AND(INDEX('1 Budget annuel'!$B$14:$B$43,COLUMN()-COLUMN($X$42)+1)="Sortie",INDEX('1 Budget annuel'!$M$14:$M$43,COLUMN()-COLUMN($X$42)+1)="Oui"),$L135&lt;INDEX('1 Budget annuel'!$L$14:$L$43,COLUMN()-COLUMN($X$42)+1),$L135&gt;$D$5+363),0,IF(OR(AND(INDEX('1 Budget annuel'!$E$14:$E$43,COLUMN()-COLUMN($X$42)+1)="Hebdomadaire",MOD($L135-INDEX('1 Budget annuel'!$L$14:$L$43,COLUMN()-COLUMN($X$42)+1),7)=0),AND(INDEX('1 Budget annuel'!$E$14:$E$43,COLUMN()-COLUMN($X$42)+1)="Toutes les 4 semaines",MOD($L135-INDEX('1 Budget annuel'!$L$14:$L$43,COLUMN()-COLUMN($X$42)+1),28)=0),AND(INDEX('1 Budget annuel'!$E$14:$E$43,COLUMN()-COLUMN($X$42)+1)="Mensuelle",DAY($L135)=MIN(DAY(INDEX('1 Budget annuel'!$L$14:$L$43,COLUMN()-COLUMN($X$42)+1)),DAY(EOMONTH($L135,0)))),AND(INDEX('1 Budget annuel'!$E$14:$E$43,COLUMN()-COLUMN($X$42)+1)="Trimestrielle",MOD((YEAR($L135)-YEAR(INDEX('1 Budget annuel'!$L$14:$L$43,COLUMN()-COLUMN($X$42)+1)))*12+MONTH($L135)-MONTH(INDEX('1 Budget annuel'!$L$14:$L$43,COLUMN()-COLUMN($X$42)+1)),3)=0,DAY($L135)=MIN(DAY(INDEX('1 Budget annuel'!$L$14:$L$43,COLUMN()-COLUMN($X$42)+1)),DAY(EOMONTH($L135,0)))),AND(INDEX('1 Budget annuel'!$E$14:$E$43,COLUMN()-COLUMN($X$42)+1)="Semestrielle",MOD((YEAR($L135)-YEAR(INDEX('1 Budget annuel'!$L$14:$L$43,COLUMN()-COLUMN($X$42)+1)))*12+MONTH($L135)-MONTH(INDEX('1 Budget annuel'!$L$14:$L$43,COLUMN()-COLUMN($X$42)+1)),6)=0,DAY($L135)=MIN(DAY(INDEX('1 Budget annuel'!$L$14:$L$43,COLUMN()-COLUMN($X$42)+1)),DAY(EOMONTH($L135,0)))),AND(INDEX('1 Budget annuel'!$E$14:$E$43,COLUMN()-COLUMN($X$42)+1)="Annuelle",MOD((YEAR($L135)-YEAR(INDEX('1 Budget annuel'!$L$14:$L$43,COLUMN()-COLUMN($X$42)+1)))*12+MONTH($L135)-MONTH(INDEX('1 Budget annuel'!$L$14:$L$43,COLUMN()-COLUMN($X$42)+1)),12)=0,DAY($L135)=MIN(DAY(INDEX('1 Budget annuel'!$L$14:$L$43,COLUMN()-COLUMN($X$42)+1)),DAY(EOMONTH($L135,0))))),IF(INDEX('1 Budget annuel'!$B$14:$B$43,COLUMN()-COLUMN($X$42)+1)="Entrée",INDEX('1 Budget annuel'!$I$14:$I$43,COLUMN()-COLUMN($X$42)+1),-INDEX('1 Budget annuel'!$I$14:$I$43,COLUMN()-COLUMN($X$42)+1)),0))</x:f>
        <x:v>0</x:v>
      </x:c>
    </x:row>
    <x:row r="136">
      <x:c r="L136" s="114" t="n">
        <x:f>L135+1</x:f>
        <x:v>46330</x:v>
      </x:c>
      <x:c r="M136" s="115" t="b">
        <x:f>AND(L136&gt;=$D$5,L136&lt;=$D$5+363,MOD(L136-$D$5,7)=0)</x:f>
        <x:v>0</x:v>
      </x:c>
      <x:c r="N136" s="116" t="n">
        <x:f>SUM(X136:BA136)</x:f>
        <x:v>0</x:v>
      </x:c>
      <x:c r="O136" s="116" t="n">
        <x:f>IF(M136,$D$10,0)</x:f>
        <x:v>0</x:v>
      </x:c>
      <x:c r="P136" s="116" t="n">
        <x:f>N136-O136</x:f>
        <x:v>0</x:v>
      </x:c>
      <x:c r="Q136" s="116" t="n">
        <x:f>IF(L136&lt;$D$5,0,IF(L136=$D$5,P136,Q135+P136))</x:f>
        <x:v>0</x:v>
      </x:c>
      <x:c r="R136" s="116" t="n">
        <x:f>IF(L136&lt;$D$5,"",$J$10+Q136)</x:f>
        <x:v>0</x:v>
      </x:c>
      <x:c r="S136" s="116" t="n">
        <x:f>IF($L136&lt;$D$5,"",IF($L136=$D$5,$J$10+$N136-IF($M136,IF(INT(($L136-$D$5)/7)&lt;$A$20,$B$20,$D$10),0),S135+$N136-IF($M136,IF(INT(($L136-$D$5)/7)&lt;$A$20,$B$20,$D$10),0)))</x:f>
        <x:v>0</x:v>
      </x:c>
      <x:c r="T136" s="116" t="n">
        <x:f>IF($L136&lt;$D$5,"",IF($L136=$D$5,$J$10+$N136-IF($M136,IF(INT(($L136-$D$5)/7)&lt;$A$21,$B$21,$D$10),0),T135+$N136-IF($M136,IF(INT(($L136-$D$5)/7)&lt;$A$21,$B$21,$D$10),0)))</x:f>
        <x:v>0</x:v>
      </x:c>
      <x:c r="U136" s="116" t="n">
        <x:f>IF($L136&lt;$D$5,"",IF($L136=$D$5,$J$10+$N136-IF($M136,IF(INT(($L136-$D$5)/7)&lt;$A$22,$B$22,$D$10),0),U135+$N136-IF($M136,IF(INT(($L136-$D$5)/7)&lt;$A$22,$B$22,$D$10),0)))</x:f>
        <x:v>0</x:v>
      </x:c>
      <x:c r="V136" s="116" t="n">
        <x:f>IF($L136&lt;$D$5,"",IF($L136=$D$5,$J$10+$N136-IF($M136,IF(INT(($L136-$D$5)/7)&lt;$A$23,$B$23,$D$10),0),V135+$N136-IF($M136,IF(INT(($L136-$D$5)/7)&lt;$A$23,$B$23,$D$10),0)))</x:f>
        <x:v>0</x:v>
      </x:c>
      <x:c r="W136" s="116" t="n">
        <x:f>IF($L136&lt;$D$5,"",IF($L136=$D$5,$J$10+$N136-IF($M136,IF(INT(($L136-$D$5)/7)&lt;$A$24,$B$24,$D$10),0),W135+$N136-IF($M136,IF(INT(($L136-$D$5)/7)&lt;$A$24,$B$24,$D$10),0)))</x:f>
        <x:v>0</x:v>
      </x:c>
      <x:c r="X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Y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Z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A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B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C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D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E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F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G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H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I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J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K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L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M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N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O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P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Q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R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S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T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U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V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W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X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Y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AZ136" s="116"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c r="BA136" s="117" t="n">
        <x:f>IF(OR(INDEX('1 Budget annuel'!$A$14:$A$43,COLUMN()-COLUMN($X$42)+1)&lt;&gt;"Oui",INDEX('1 Budget annuel'!$L$14:$L$43,COLUMN()-COLUMN($X$42)+1)="",AND(INDEX('1 Budget annuel'!$B$14:$B$43,COLUMN()-COLUMN($X$42)+1)="Sortie",INDEX('1 Budget annuel'!$M$14:$M$43,COLUMN()-COLUMN($X$42)+1)="Oui"),$L136&lt;INDEX('1 Budget annuel'!$L$14:$L$43,COLUMN()-COLUMN($X$42)+1),$L136&gt;$D$5+363),0,IF(OR(AND(INDEX('1 Budget annuel'!$E$14:$E$43,COLUMN()-COLUMN($X$42)+1)="Hebdomadaire",MOD($L136-INDEX('1 Budget annuel'!$L$14:$L$43,COLUMN()-COLUMN($X$42)+1),7)=0),AND(INDEX('1 Budget annuel'!$E$14:$E$43,COLUMN()-COLUMN($X$42)+1)="Toutes les 4 semaines",MOD($L136-INDEX('1 Budget annuel'!$L$14:$L$43,COLUMN()-COLUMN($X$42)+1),28)=0),AND(INDEX('1 Budget annuel'!$E$14:$E$43,COLUMN()-COLUMN($X$42)+1)="Mensuelle",DAY($L136)=MIN(DAY(INDEX('1 Budget annuel'!$L$14:$L$43,COLUMN()-COLUMN($X$42)+1)),DAY(EOMONTH($L136,0)))),AND(INDEX('1 Budget annuel'!$E$14:$E$43,COLUMN()-COLUMN($X$42)+1)="Trimestrielle",MOD((YEAR($L136)-YEAR(INDEX('1 Budget annuel'!$L$14:$L$43,COLUMN()-COLUMN($X$42)+1)))*12+MONTH($L136)-MONTH(INDEX('1 Budget annuel'!$L$14:$L$43,COLUMN()-COLUMN($X$42)+1)),3)=0,DAY($L136)=MIN(DAY(INDEX('1 Budget annuel'!$L$14:$L$43,COLUMN()-COLUMN($X$42)+1)),DAY(EOMONTH($L136,0)))),AND(INDEX('1 Budget annuel'!$E$14:$E$43,COLUMN()-COLUMN($X$42)+1)="Semestrielle",MOD((YEAR($L136)-YEAR(INDEX('1 Budget annuel'!$L$14:$L$43,COLUMN()-COLUMN($X$42)+1)))*12+MONTH($L136)-MONTH(INDEX('1 Budget annuel'!$L$14:$L$43,COLUMN()-COLUMN($X$42)+1)),6)=0,DAY($L136)=MIN(DAY(INDEX('1 Budget annuel'!$L$14:$L$43,COLUMN()-COLUMN($X$42)+1)),DAY(EOMONTH($L136,0)))),AND(INDEX('1 Budget annuel'!$E$14:$E$43,COLUMN()-COLUMN($X$42)+1)="Annuelle",MOD((YEAR($L136)-YEAR(INDEX('1 Budget annuel'!$L$14:$L$43,COLUMN()-COLUMN($X$42)+1)))*12+MONTH($L136)-MONTH(INDEX('1 Budget annuel'!$L$14:$L$43,COLUMN()-COLUMN($X$42)+1)),12)=0,DAY($L136)=MIN(DAY(INDEX('1 Budget annuel'!$L$14:$L$43,COLUMN()-COLUMN($X$42)+1)),DAY(EOMONTH($L136,0))))),IF(INDEX('1 Budget annuel'!$B$14:$B$43,COLUMN()-COLUMN($X$42)+1)="Entrée",INDEX('1 Budget annuel'!$I$14:$I$43,COLUMN()-COLUMN($X$42)+1),-INDEX('1 Budget annuel'!$I$14:$I$43,COLUMN()-COLUMN($X$42)+1)),0))</x:f>
        <x:v>0</x:v>
      </x:c>
    </x:row>
    <x:row r="137">
      <x:c r="L137" s="114" t="n">
        <x:f>L136+1</x:f>
        <x:v>46331</x:v>
      </x:c>
      <x:c r="M137" s="115" t="b">
        <x:f>AND(L137&gt;=$D$5,L137&lt;=$D$5+363,MOD(L137-$D$5,7)=0)</x:f>
        <x:v>0</x:v>
      </x:c>
      <x:c r="N137" s="116" t="n">
        <x:f>SUM(X137:BA137)</x:f>
        <x:v>0</x:v>
      </x:c>
      <x:c r="O137" s="116" t="n">
        <x:f>IF(M137,$D$10,0)</x:f>
        <x:v>0</x:v>
      </x:c>
      <x:c r="P137" s="116" t="n">
        <x:f>N137-O137</x:f>
        <x:v>0</x:v>
      </x:c>
      <x:c r="Q137" s="116" t="n">
        <x:f>IF(L137&lt;$D$5,0,IF(L137=$D$5,P137,Q136+P137))</x:f>
        <x:v>0</x:v>
      </x:c>
      <x:c r="R137" s="116" t="n">
        <x:f>IF(L137&lt;$D$5,"",$J$10+Q137)</x:f>
        <x:v>0</x:v>
      </x:c>
      <x:c r="S137" s="116" t="n">
        <x:f>IF($L137&lt;$D$5,"",IF($L137=$D$5,$J$10+$N137-IF($M137,IF(INT(($L137-$D$5)/7)&lt;$A$20,$B$20,$D$10),0),S136+$N137-IF($M137,IF(INT(($L137-$D$5)/7)&lt;$A$20,$B$20,$D$10),0)))</x:f>
        <x:v>0</x:v>
      </x:c>
      <x:c r="T137" s="116" t="n">
        <x:f>IF($L137&lt;$D$5,"",IF($L137=$D$5,$J$10+$N137-IF($M137,IF(INT(($L137-$D$5)/7)&lt;$A$21,$B$21,$D$10),0),T136+$N137-IF($M137,IF(INT(($L137-$D$5)/7)&lt;$A$21,$B$21,$D$10),0)))</x:f>
        <x:v>0</x:v>
      </x:c>
      <x:c r="U137" s="116" t="n">
        <x:f>IF($L137&lt;$D$5,"",IF($L137=$D$5,$J$10+$N137-IF($M137,IF(INT(($L137-$D$5)/7)&lt;$A$22,$B$22,$D$10),0),U136+$N137-IF($M137,IF(INT(($L137-$D$5)/7)&lt;$A$22,$B$22,$D$10),0)))</x:f>
        <x:v>0</x:v>
      </x:c>
      <x:c r="V137" s="116" t="n">
        <x:f>IF($L137&lt;$D$5,"",IF($L137=$D$5,$J$10+$N137-IF($M137,IF(INT(($L137-$D$5)/7)&lt;$A$23,$B$23,$D$10),0),V136+$N137-IF($M137,IF(INT(($L137-$D$5)/7)&lt;$A$23,$B$23,$D$10),0)))</x:f>
        <x:v>0</x:v>
      </x:c>
      <x:c r="W137" s="116" t="n">
        <x:f>IF($L137&lt;$D$5,"",IF($L137=$D$5,$J$10+$N137-IF($M137,IF(INT(($L137-$D$5)/7)&lt;$A$24,$B$24,$D$10),0),W136+$N137-IF($M137,IF(INT(($L137-$D$5)/7)&lt;$A$24,$B$24,$D$10),0)))</x:f>
        <x:v>0</x:v>
      </x:c>
      <x:c r="X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Y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Z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A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B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C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D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E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F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G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H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I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J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K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L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M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N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O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P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Q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R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S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T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U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V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W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X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Y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AZ137" s="116"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c r="BA137" s="117" t="n">
        <x:f>IF(OR(INDEX('1 Budget annuel'!$A$14:$A$43,COLUMN()-COLUMN($X$42)+1)&lt;&gt;"Oui",INDEX('1 Budget annuel'!$L$14:$L$43,COLUMN()-COLUMN($X$42)+1)="",AND(INDEX('1 Budget annuel'!$B$14:$B$43,COLUMN()-COLUMN($X$42)+1)="Sortie",INDEX('1 Budget annuel'!$M$14:$M$43,COLUMN()-COLUMN($X$42)+1)="Oui"),$L137&lt;INDEX('1 Budget annuel'!$L$14:$L$43,COLUMN()-COLUMN($X$42)+1),$L137&gt;$D$5+363),0,IF(OR(AND(INDEX('1 Budget annuel'!$E$14:$E$43,COLUMN()-COLUMN($X$42)+1)="Hebdomadaire",MOD($L137-INDEX('1 Budget annuel'!$L$14:$L$43,COLUMN()-COLUMN($X$42)+1),7)=0),AND(INDEX('1 Budget annuel'!$E$14:$E$43,COLUMN()-COLUMN($X$42)+1)="Toutes les 4 semaines",MOD($L137-INDEX('1 Budget annuel'!$L$14:$L$43,COLUMN()-COLUMN($X$42)+1),28)=0),AND(INDEX('1 Budget annuel'!$E$14:$E$43,COLUMN()-COLUMN($X$42)+1)="Mensuelle",DAY($L137)=MIN(DAY(INDEX('1 Budget annuel'!$L$14:$L$43,COLUMN()-COLUMN($X$42)+1)),DAY(EOMONTH($L137,0)))),AND(INDEX('1 Budget annuel'!$E$14:$E$43,COLUMN()-COLUMN($X$42)+1)="Trimestrielle",MOD((YEAR($L137)-YEAR(INDEX('1 Budget annuel'!$L$14:$L$43,COLUMN()-COLUMN($X$42)+1)))*12+MONTH($L137)-MONTH(INDEX('1 Budget annuel'!$L$14:$L$43,COLUMN()-COLUMN($X$42)+1)),3)=0,DAY($L137)=MIN(DAY(INDEX('1 Budget annuel'!$L$14:$L$43,COLUMN()-COLUMN($X$42)+1)),DAY(EOMONTH($L137,0)))),AND(INDEX('1 Budget annuel'!$E$14:$E$43,COLUMN()-COLUMN($X$42)+1)="Semestrielle",MOD((YEAR($L137)-YEAR(INDEX('1 Budget annuel'!$L$14:$L$43,COLUMN()-COLUMN($X$42)+1)))*12+MONTH($L137)-MONTH(INDEX('1 Budget annuel'!$L$14:$L$43,COLUMN()-COLUMN($X$42)+1)),6)=0,DAY($L137)=MIN(DAY(INDEX('1 Budget annuel'!$L$14:$L$43,COLUMN()-COLUMN($X$42)+1)),DAY(EOMONTH($L137,0)))),AND(INDEX('1 Budget annuel'!$E$14:$E$43,COLUMN()-COLUMN($X$42)+1)="Annuelle",MOD((YEAR($L137)-YEAR(INDEX('1 Budget annuel'!$L$14:$L$43,COLUMN()-COLUMN($X$42)+1)))*12+MONTH($L137)-MONTH(INDEX('1 Budget annuel'!$L$14:$L$43,COLUMN()-COLUMN($X$42)+1)),12)=0,DAY($L137)=MIN(DAY(INDEX('1 Budget annuel'!$L$14:$L$43,COLUMN()-COLUMN($X$42)+1)),DAY(EOMONTH($L137,0))))),IF(INDEX('1 Budget annuel'!$B$14:$B$43,COLUMN()-COLUMN($X$42)+1)="Entrée",INDEX('1 Budget annuel'!$I$14:$I$43,COLUMN()-COLUMN($X$42)+1),-INDEX('1 Budget annuel'!$I$14:$I$43,COLUMN()-COLUMN($X$42)+1)),0))</x:f>
        <x:v>0</x:v>
      </x:c>
    </x:row>
    <x:row r="138">
      <x:c r="L138" s="114" t="n">
        <x:f>L137+1</x:f>
        <x:v>46332</x:v>
      </x:c>
      <x:c r="M138" s="115" t="b">
        <x:f>AND(L138&gt;=$D$5,L138&lt;=$D$5+363,MOD(L138-$D$5,7)=0)</x:f>
        <x:v>0</x:v>
      </x:c>
      <x:c r="N138" s="116" t="n">
        <x:f>SUM(X138:BA138)</x:f>
        <x:v>0</x:v>
      </x:c>
      <x:c r="O138" s="116" t="n">
        <x:f>IF(M138,$D$10,0)</x:f>
        <x:v>0</x:v>
      </x:c>
      <x:c r="P138" s="116" t="n">
        <x:f>N138-O138</x:f>
        <x:v>0</x:v>
      </x:c>
      <x:c r="Q138" s="116" t="n">
        <x:f>IF(L138&lt;$D$5,0,IF(L138=$D$5,P138,Q137+P138))</x:f>
        <x:v>0</x:v>
      </x:c>
      <x:c r="R138" s="116" t="n">
        <x:f>IF(L138&lt;$D$5,"",$J$10+Q138)</x:f>
        <x:v>0</x:v>
      </x:c>
      <x:c r="S138" s="116" t="n">
        <x:f>IF($L138&lt;$D$5,"",IF($L138=$D$5,$J$10+$N138-IF($M138,IF(INT(($L138-$D$5)/7)&lt;$A$20,$B$20,$D$10),0),S137+$N138-IF($M138,IF(INT(($L138-$D$5)/7)&lt;$A$20,$B$20,$D$10),0)))</x:f>
        <x:v>0</x:v>
      </x:c>
      <x:c r="T138" s="116" t="n">
        <x:f>IF($L138&lt;$D$5,"",IF($L138=$D$5,$J$10+$N138-IF($M138,IF(INT(($L138-$D$5)/7)&lt;$A$21,$B$21,$D$10),0),T137+$N138-IF($M138,IF(INT(($L138-$D$5)/7)&lt;$A$21,$B$21,$D$10),0)))</x:f>
        <x:v>0</x:v>
      </x:c>
      <x:c r="U138" s="116" t="n">
        <x:f>IF($L138&lt;$D$5,"",IF($L138=$D$5,$J$10+$N138-IF($M138,IF(INT(($L138-$D$5)/7)&lt;$A$22,$B$22,$D$10),0),U137+$N138-IF($M138,IF(INT(($L138-$D$5)/7)&lt;$A$22,$B$22,$D$10),0)))</x:f>
        <x:v>0</x:v>
      </x:c>
      <x:c r="V138" s="116" t="n">
        <x:f>IF($L138&lt;$D$5,"",IF($L138=$D$5,$J$10+$N138-IF($M138,IF(INT(($L138-$D$5)/7)&lt;$A$23,$B$23,$D$10),0),V137+$N138-IF($M138,IF(INT(($L138-$D$5)/7)&lt;$A$23,$B$23,$D$10),0)))</x:f>
        <x:v>0</x:v>
      </x:c>
      <x:c r="W138" s="116" t="n">
        <x:f>IF($L138&lt;$D$5,"",IF($L138=$D$5,$J$10+$N138-IF($M138,IF(INT(($L138-$D$5)/7)&lt;$A$24,$B$24,$D$10),0),W137+$N138-IF($M138,IF(INT(($L138-$D$5)/7)&lt;$A$24,$B$24,$D$10),0)))</x:f>
        <x:v>0</x:v>
      </x:c>
      <x:c r="X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Y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Z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A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B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C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D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E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F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G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H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I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J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K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L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M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N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O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P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Q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R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S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T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U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V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W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X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Y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AZ138" s="116"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c r="BA138" s="117" t="n">
        <x:f>IF(OR(INDEX('1 Budget annuel'!$A$14:$A$43,COLUMN()-COLUMN($X$42)+1)&lt;&gt;"Oui",INDEX('1 Budget annuel'!$L$14:$L$43,COLUMN()-COLUMN($X$42)+1)="",AND(INDEX('1 Budget annuel'!$B$14:$B$43,COLUMN()-COLUMN($X$42)+1)="Sortie",INDEX('1 Budget annuel'!$M$14:$M$43,COLUMN()-COLUMN($X$42)+1)="Oui"),$L138&lt;INDEX('1 Budget annuel'!$L$14:$L$43,COLUMN()-COLUMN($X$42)+1),$L138&gt;$D$5+363),0,IF(OR(AND(INDEX('1 Budget annuel'!$E$14:$E$43,COLUMN()-COLUMN($X$42)+1)="Hebdomadaire",MOD($L138-INDEX('1 Budget annuel'!$L$14:$L$43,COLUMN()-COLUMN($X$42)+1),7)=0),AND(INDEX('1 Budget annuel'!$E$14:$E$43,COLUMN()-COLUMN($X$42)+1)="Toutes les 4 semaines",MOD($L138-INDEX('1 Budget annuel'!$L$14:$L$43,COLUMN()-COLUMN($X$42)+1),28)=0),AND(INDEX('1 Budget annuel'!$E$14:$E$43,COLUMN()-COLUMN($X$42)+1)="Mensuelle",DAY($L138)=MIN(DAY(INDEX('1 Budget annuel'!$L$14:$L$43,COLUMN()-COLUMN($X$42)+1)),DAY(EOMONTH($L138,0)))),AND(INDEX('1 Budget annuel'!$E$14:$E$43,COLUMN()-COLUMN($X$42)+1)="Trimestrielle",MOD((YEAR($L138)-YEAR(INDEX('1 Budget annuel'!$L$14:$L$43,COLUMN()-COLUMN($X$42)+1)))*12+MONTH($L138)-MONTH(INDEX('1 Budget annuel'!$L$14:$L$43,COLUMN()-COLUMN($X$42)+1)),3)=0,DAY($L138)=MIN(DAY(INDEX('1 Budget annuel'!$L$14:$L$43,COLUMN()-COLUMN($X$42)+1)),DAY(EOMONTH($L138,0)))),AND(INDEX('1 Budget annuel'!$E$14:$E$43,COLUMN()-COLUMN($X$42)+1)="Semestrielle",MOD((YEAR($L138)-YEAR(INDEX('1 Budget annuel'!$L$14:$L$43,COLUMN()-COLUMN($X$42)+1)))*12+MONTH($L138)-MONTH(INDEX('1 Budget annuel'!$L$14:$L$43,COLUMN()-COLUMN($X$42)+1)),6)=0,DAY($L138)=MIN(DAY(INDEX('1 Budget annuel'!$L$14:$L$43,COLUMN()-COLUMN($X$42)+1)),DAY(EOMONTH($L138,0)))),AND(INDEX('1 Budget annuel'!$E$14:$E$43,COLUMN()-COLUMN($X$42)+1)="Annuelle",MOD((YEAR($L138)-YEAR(INDEX('1 Budget annuel'!$L$14:$L$43,COLUMN()-COLUMN($X$42)+1)))*12+MONTH($L138)-MONTH(INDEX('1 Budget annuel'!$L$14:$L$43,COLUMN()-COLUMN($X$42)+1)),12)=0,DAY($L138)=MIN(DAY(INDEX('1 Budget annuel'!$L$14:$L$43,COLUMN()-COLUMN($X$42)+1)),DAY(EOMONTH($L138,0))))),IF(INDEX('1 Budget annuel'!$B$14:$B$43,COLUMN()-COLUMN($X$42)+1)="Entrée",INDEX('1 Budget annuel'!$I$14:$I$43,COLUMN()-COLUMN($X$42)+1),-INDEX('1 Budget annuel'!$I$14:$I$43,COLUMN()-COLUMN($X$42)+1)),0))</x:f>
        <x:v>0</x:v>
      </x:c>
    </x:row>
    <x:row r="139">
      <x:c r="L139" s="114" t="n">
        <x:f>L138+1</x:f>
        <x:v>46333</x:v>
      </x:c>
      <x:c r="M139" s="115" t="b">
        <x:f>AND(L139&gt;=$D$5,L139&lt;=$D$5+363,MOD(L139-$D$5,7)=0)</x:f>
        <x:v>1</x:v>
      </x:c>
      <x:c r="N139" s="116" t="n">
        <x:f>SUM(X139:BA139)</x:f>
        <x:v>0</x:v>
      </x:c>
      <x:c r="O139" s="116" t="n">
        <x:f>IF(M139,$D$10,0)</x:f>
        <x:v>0</x:v>
      </x:c>
      <x:c r="P139" s="116" t="n">
        <x:f>N139-O139</x:f>
        <x:v>0</x:v>
      </x:c>
      <x:c r="Q139" s="116" t="n">
        <x:f>IF(L139&lt;$D$5,0,IF(L139=$D$5,P139,Q138+P139))</x:f>
        <x:v>0</x:v>
      </x:c>
      <x:c r="R139" s="116" t="n">
        <x:f>IF(L139&lt;$D$5,"",$J$10+Q139)</x:f>
        <x:v>0</x:v>
      </x:c>
      <x:c r="S139" s="116" t="n">
        <x:f>IF($L139&lt;$D$5,"",IF($L139=$D$5,$J$10+$N139-IF($M139,IF(INT(($L139-$D$5)/7)&lt;$A$20,$B$20,$D$10),0),S138+$N139-IF($M139,IF(INT(($L139-$D$5)/7)&lt;$A$20,$B$20,$D$10),0)))</x:f>
        <x:v>0</x:v>
      </x:c>
      <x:c r="T139" s="116" t="n">
        <x:f>IF($L139&lt;$D$5,"",IF($L139=$D$5,$J$10+$N139-IF($M139,IF(INT(($L139-$D$5)/7)&lt;$A$21,$B$21,$D$10),0),T138+$N139-IF($M139,IF(INT(($L139-$D$5)/7)&lt;$A$21,$B$21,$D$10),0)))</x:f>
        <x:v>0</x:v>
      </x:c>
      <x:c r="U139" s="116" t="n">
        <x:f>IF($L139&lt;$D$5,"",IF($L139=$D$5,$J$10+$N139-IF($M139,IF(INT(($L139-$D$5)/7)&lt;$A$22,$B$22,$D$10),0),U138+$N139-IF($M139,IF(INT(($L139-$D$5)/7)&lt;$A$22,$B$22,$D$10),0)))</x:f>
        <x:v>0</x:v>
      </x:c>
      <x:c r="V139" s="116" t="n">
        <x:f>IF($L139&lt;$D$5,"",IF($L139=$D$5,$J$10+$N139-IF($M139,IF(INT(($L139-$D$5)/7)&lt;$A$23,$B$23,$D$10),0),V138+$N139-IF($M139,IF(INT(($L139-$D$5)/7)&lt;$A$23,$B$23,$D$10),0)))</x:f>
        <x:v>0</x:v>
      </x:c>
      <x:c r="W139" s="116" t="n">
        <x:f>IF($L139&lt;$D$5,"",IF($L139=$D$5,$J$10+$N139-IF($M139,IF(INT(($L139-$D$5)/7)&lt;$A$24,$B$24,$D$10),0),W138+$N139-IF($M139,IF(INT(($L139-$D$5)/7)&lt;$A$24,$B$24,$D$10),0)))</x:f>
        <x:v>0</x:v>
      </x:c>
      <x:c r="X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Y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Z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A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B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C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D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E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F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G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H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I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J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K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L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M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N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O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P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Q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R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S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T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U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V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W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X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Y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AZ139" s="116"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c r="BA139" s="117" t="n">
        <x:f>IF(OR(INDEX('1 Budget annuel'!$A$14:$A$43,COLUMN()-COLUMN($X$42)+1)&lt;&gt;"Oui",INDEX('1 Budget annuel'!$L$14:$L$43,COLUMN()-COLUMN($X$42)+1)="",AND(INDEX('1 Budget annuel'!$B$14:$B$43,COLUMN()-COLUMN($X$42)+1)="Sortie",INDEX('1 Budget annuel'!$M$14:$M$43,COLUMN()-COLUMN($X$42)+1)="Oui"),$L139&lt;INDEX('1 Budget annuel'!$L$14:$L$43,COLUMN()-COLUMN($X$42)+1),$L139&gt;$D$5+363),0,IF(OR(AND(INDEX('1 Budget annuel'!$E$14:$E$43,COLUMN()-COLUMN($X$42)+1)="Hebdomadaire",MOD($L139-INDEX('1 Budget annuel'!$L$14:$L$43,COLUMN()-COLUMN($X$42)+1),7)=0),AND(INDEX('1 Budget annuel'!$E$14:$E$43,COLUMN()-COLUMN($X$42)+1)="Toutes les 4 semaines",MOD($L139-INDEX('1 Budget annuel'!$L$14:$L$43,COLUMN()-COLUMN($X$42)+1),28)=0),AND(INDEX('1 Budget annuel'!$E$14:$E$43,COLUMN()-COLUMN($X$42)+1)="Mensuelle",DAY($L139)=MIN(DAY(INDEX('1 Budget annuel'!$L$14:$L$43,COLUMN()-COLUMN($X$42)+1)),DAY(EOMONTH($L139,0)))),AND(INDEX('1 Budget annuel'!$E$14:$E$43,COLUMN()-COLUMN($X$42)+1)="Trimestrielle",MOD((YEAR($L139)-YEAR(INDEX('1 Budget annuel'!$L$14:$L$43,COLUMN()-COLUMN($X$42)+1)))*12+MONTH($L139)-MONTH(INDEX('1 Budget annuel'!$L$14:$L$43,COLUMN()-COLUMN($X$42)+1)),3)=0,DAY($L139)=MIN(DAY(INDEX('1 Budget annuel'!$L$14:$L$43,COLUMN()-COLUMN($X$42)+1)),DAY(EOMONTH($L139,0)))),AND(INDEX('1 Budget annuel'!$E$14:$E$43,COLUMN()-COLUMN($X$42)+1)="Semestrielle",MOD((YEAR($L139)-YEAR(INDEX('1 Budget annuel'!$L$14:$L$43,COLUMN()-COLUMN($X$42)+1)))*12+MONTH($L139)-MONTH(INDEX('1 Budget annuel'!$L$14:$L$43,COLUMN()-COLUMN($X$42)+1)),6)=0,DAY($L139)=MIN(DAY(INDEX('1 Budget annuel'!$L$14:$L$43,COLUMN()-COLUMN($X$42)+1)),DAY(EOMONTH($L139,0)))),AND(INDEX('1 Budget annuel'!$E$14:$E$43,COLUMN()-COLUMN($X$42)+1)="Annuelle",MOD((YEAR($L139)-YEAR(INDEX('1 Budget annuel'!$L$14:$L$43,COLUMN()-COLUMN($X$42)+1)))*12+MONTH($L139)-MONTH(INDEX('1 Budget annuel'!$L$14:$L$43,COLUMN()-COLUMN($X$42)+1)),12)=0,DAY($L139)=MIN(DAY(INDEX('1 Budget annuel'!$L$14:$L$43,COLUMN()-COLUMN($X$42)+1)),DAY(EOMONTH($L139,0))))),IF(INDEX('1 Budget annuel'!$B$14:$B$43,COLUMN()-COLUMN($X$42)+1)="Entrée",INDEX('1 Budget annuel'!$I$14:$I$43,COLUMN()-COLUMN($X$42)+1),-INDEX('1 Budget annuel'!$I$14:$I$43,COLUMN()-COLUMN($X$42)+1)),0))</x:f>
        <x:v>0</x:v>
      </x:c>
    </x:row>
    <x:row r="140">
      <x:c r="L140" s="114" t="n">
        <x:f>L139+1</x:f>
        <x:v>46334</x:v>
      </x:c>
      <x:c r="M140" s="115" t="b">
        <x:f>AND(L140&gt;=$D$5,L140&lt;=$D$5+363,MOD(L140-$D$5,7)=0)</x:f>
        <x:v>0</x:v>
      </x:c>
      <x:c r="N140" s="116" t="n">
        <x:f>SUM(X140:BA140)</x:f>
        <x:v>0</x:v>
      </x:c>
      <x:c r="O140" s="116" t="n">
        <x:f>IF(M140,$D$10,0)</x:f>
        <x:v>0</x:v>
      </x:c>
      <x:c r="P140" s="116" t="n">
        <x:f>N140-O140</x:f>
        <x:v>0</x:v>
      </x:c>
      <x:c r="Q140" s="116" t="n">
        <x:f>IF(L140&lt;$D$5,0,IF(L140=$D$5,P140,Q139+P140))</x:f>
        <x:v>0</x:v>
      </x:c>
      <x:c r="R140" s="116" t="n">
        <x:f>IF(L140&lt;$D$5,"",$J$10+Q140)</x:f>
        <x:v>0</x:v>
      </x:c>
      <x:c r="S140" s="116" t="n">
        <x:f>IF($L140&lt;$D$5,"",IF($L140=$D$5,$J$10+$N140-IF($M140,IF(INT(($L140-$D$5)/7)&lt;$A$20,$B$20,$D$10),0),S139+$N140-IF($M140,IF(INT(($L140-$D$5)/7)&lt;$A$20,$B$20,$D$10),0)))</x:f>
        <x:v>0</x:v>
      </x:c>
      <x:c r="T140" s="116" t="n">
        <x:f>IF($L140&lt;$D$5,"",IF($L140=$D$5,$J$10+$N140-IF($M140,IF(INT(($L140-$D$5)/7)&lt;$A$21,$B$21,$D$10),0),T139+$N140-IF($M140,IF(INT(($L140-$D$5)/7)&lt;$A$21,$B$21,$D$10),0)))</x:f>
        <x:v>0</x:v>
      </x:c>
      <x:c r="U140" s="116" t="n">
        <x:f>IF($L140&lt;$D$5,"",IF($L140=$D$5,$J$10+$N140-IF($M140,IF(INT(($L140-$D$5)/7)&lt;$A$22,$B$22,$D$10),0),U139+$N140-IF($M140,IF(INT(($L140-$D$5)/7)&lt;$A$22,$B$22,$D$10),0)))</x:f>
        <x:v>0</x:v>
      </x:c>
      <x:c r="V140" s="116" t="n">
        <x:f>IF($L140&lt;$D$5,"",IF($L140=$D$5,$J$10+$N140-IF($M140,IF(INT(($L140-$D$5)/7)&lt;$A$23,$B$23,$D$10),0),V139+$N140-IF($M140,IF(INT(($L140-$D$5)/7)&lt;$A$23,$B$23,$D$10),0)))</x:f>
        <x:v>0</x:v>
      </x:c>
      <x:c r="W140" s="116" t="n">
        <x:f>IF($L140&lt;$D$5,"",IF($L140=$D$5,$J$10+$N140-IF($M140,IF(INT(($L140-$D$5)/7)&lt;$A$24,$B$24,$D$10),0),W139+$N140-IF($M140,IF(INT(($L140-$D$5)/7)&lt;$A$24,$B$24,$D$10),0)))</x:f>
        <x:v>0</x:v>
      </x:c>
      <x:c r="X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Y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Z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A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B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C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D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E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F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G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H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I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J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K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L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M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N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O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P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Q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R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S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T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U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V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W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X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Y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AZ140" s="116"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c r="BA140" s="117" t="n">
        <x:f>IF(OR(INDEX('1 Budget annuel'!$A$14:$A$43,COLUMN()-COLUMN($X$42)+1)&lt;&gt;"Oui",INDEX('1 Budget annuel'!$L$14:$L$43,COLUMN()-COLUMN($X$42)+1)="",AND(INDEX('1 Budget annuel'!$B$14:$B$43,COLUMN()-COLUMN($X$42)+1)="Sortie",INDEX('1 Budget annuel'!$M$14:$M$43,COLUMN()-COLUMN($X$42)+1)="Oui"),$L140&lt;INDEX('1 Budget annuel'!$L$14:$L$43,COLUMN()-COLUMN($X$42)+1),$L140&gt;$D$5+363),0,IF(OR(AND(INDEX('1 Budget annuel'!$E$14:$E$43,COLUMN()-COLUMN($X$42)+1)="Hebdomadaire",MOD($L140-INDEX('1 Budget annuel'!$L$14:$L$43,COLUMN()-COLUMN($X$42)+1),7)=0),AND(INDEX('1 Budget annuel'!$E$14:$E$43,COLUMN()-COLUMN($X$42)+1)="Toutes les 4 semaines",MOD($L140-INDEX('1 Budget annuel'!$L$14:$L$43,COLUMN()-COLUMN($X$42)+1),28)=0),AND(INDEX('1 Budget annuel'!$E$14:$E$43,COLUMN()-COLUMN($X$42)+1)="Mensuelle",DAY($L140)=MIN(DAY(INDEX('1 Budget annuel'!$L$14:$L$43,COLUMN()-COLUMN($X$42)+1)),DAY(EOMONTH($L140,0)))),AND(INDEX('1 Budget annuel'!$E$14:$E$43,COLUMN()-COLUMN($X$42)+1)="Trimestrielle",MOD((YEAR($L140)-YEAR(INDEX('1 Budget annuel'!$L$14:$L$43,COLUMN()-COLUMN($X$42)+1)))*12+MONTH($L140)-MONTH(INDEX('1 Budget annuel'!$L$14:$L$43,COLUMN()-COLUMN($X$42)+1)),3)=0,DAY($L140)=MIN(DAY(INDEX('1 Budget annuel'!$L$14:$L$43,COLUMN()-COLUMN($X$42)+1)),DAY(EOMONTH($L140,0)))),AND(INDEX('1 Budget annuel'!$E$14:$E$43,COLUMN()-COLUMN($X$42)+1)="Semestrielle",MOD((YEAR($L140)-YEAR(INDEX('1 Budget annuel'!$L$14:$L$43,COLUMN()-COLUMN($X$42)+1)))*12+MONTH($L140)-MONTH(INDEX('1 Budget annuel'!$L$14:$L$43,COLUMN()-COLUMN($X$42)+1)),6)=0,DAY($L140)=MIN(DAY(INDEX('1 Budget annuel'!$L$14:$L$43,COLUMN()-COLUMN($X$42)+1)),DAY(EOMONTH($L140,0)))),AND(INDEX('1 Budget annuel'!$E$14:$E$43,COLUMN()-COLUMN($X$42)+1)="Annuelle",MOD((YEAR($L140)-YEAR(INDEX('1 Budget annuel'!$L$14:$L$43,COLUMN()-COLUMN($X$42)+1)))*12+MONTH($L140)-MONTH(INDEX('1 Budget annuel'!$L$14:$L$43,COLUMN()-COLUMN($X$42)+1)),12)=0,DAY($L140)=MIN(DAY(INDEX('1 Budget annuel'!$L$14:$L$43,COLUMN()-COLUMN($X$42)+1)),DAY(EOMONTH($L140,0))))),IF(INDEX('1 Budget annuel'!$B$14:$B$43,COLUMN()-COLUMN($X$42)+1)="Entrée",INDEX('1 Budget annuel'!$I$14:$I$43,COLUMN()-COLUMN($X$42)+1),-INDEX('1 Budget annuel'!$I$14:$I$43,COLUMN()-COLUMN($X$42)+1)),0))</x:f>
        <x:v>0</x:v>
      </x:c>
    </x:row>
    <x:row r="141">
      <x:c r="L141" s="114" t="n">
        <x:f>L140+1</x:f>
        <x:v>46335</x:v>
      </x:c>
      <x:c r="M141" s="115" t="b">
        <x:f>AND(L141&gt;=$D$5,L141&lt;=$D$5+363,MOD(L141-$D$5,7)=0)</x:f>
        <x:v>0</x:v>
      </x:c>
      <x:c r="N141" s="116" t="n">
        <x:f>SUM(X141:BA141)</x:f>
        <x:v>0</x:v>
      </x:c>
      <x:c r="O141" s="116" t="n">
        <x:f>IF(M141,$D$10,0)</x:f>
        <x:v>0</x:v>
      </x:c>
      <x:c r="P141" s="116" t="n">
        <x:f>N141-O141</x:f>
        <x:v>0</x:v>
      </x:c>
      <x:c r="Q141" s="116" t="n">
        <x:f>IF(L141&lt;$D$5,0,IF(L141=$D$5,P141,Q140+P141))</x:f>
        <x:v>0</x:v>
      </x:c>
      <x:c r="R141" s="116" t="n">
        <x:f>IF(L141&lt;$D$5,"",$J$10+Q141)</x:f>
        <x:v>0</x:v>
      </x:c>
      <x:c r="S141" s="116" t="n">
        <x:f>IF($L141&lt;$D$5,"",IF($L141=$D$5,$J$10+$N141-IF($M141,IF(INT(($L141-$D$5)/7)&lt;$A$20,$B$20,$D$10),0),S140+$N141-IF($M141,IF(INT(($L141-$D$5)/7)&lt;$A$20,$B$20,$D$10),0)))</x:f>
        <x:v>0</x:v>
      </x:c>
      <x:c r="T141" s="116" t="n">
        <x:f>IF($L141&lt;$D$5,"",IF($L141=$D$5,$J$10+$N141-IF($M141,IF(INT(($L141-$D$5)/7)&lt;$A$21,$B$21,$D$10),0),T140+$N141-IF($M141,IF(INT(($L141-$D$5)/7)&lt;$A$21,$B$21,$D$10),0)))</x:f>
        <x:v>0</x:v>
      </x:c>
      <x:c r="U141" s="116" t="n">
        <x:f>IF($L141&lt;$D$5,"",IF($L141=$D$5,$J$10+$N141-IF($M141,IF(INT(($L141-$D$5)/7)&lt;$A$22,$B$22,$D$10),0),U140+$N141-IF($M141,IF(INT(($L141-$D$5)/7)&lt;$A$22,$B$22,$D$10),0)))</x:f>
        <x:v>0</x:v>
      </x:c>
      <x:c r="V141" s="116" t="n">
        <x:f>IF($L141&lt;$D$5,"",IF($L141=$D$5,$J$10+$N141-IF($M141,IF(INT(($L141-$D$5)/7)&lt;$A$23,$B$23,$D$10),0),V140+$N141-IF($M141,IF(INT(($L141-$D$5)/7)&lt;$A$23,$B$23,$D$10),0)))</x:f>
        <x:v>0</x:v>
      </x:c>
      <x:c r="W141" s="116" t="n">
        <x:f>IF($L141&lt;$D$5,"",IF($L141=$D$5,$J$10+$N141-IF($M141,IF(INT(($L141-$D$5)/7)&lt;$A$24,$B$24,$D$10),0),W140+$N141-IF($M141,IF(INT(($L141-$D$5)/7)&lt;$A$24,$B$24,$D$10),0)))</x:f>
        <x:v>0</x:v>
      </x:c>
      <x:c r="X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Y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Z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A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B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C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D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E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F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G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H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I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J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K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L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M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N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O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P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Q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R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S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T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U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V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W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X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Y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AZ141" s="116"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c r="BA141" s="117" t="n">
        <x:f>IF(OR(INDEX('1 Budget annuel'!$A$14:$A$43,COLUMN()-COLUMN($X$42)+1)&lt;&gt;"Oui",INDEX('1 Budget annuel'!$L$14:$L$43,COLUMN()-COLUMN($X$42)+1)="",AND(INDEX('1 Budget annuel'!$B$14:$B$43,COLUMN()-COLUMN($X$42)+1)="Sortie",INDEX('1 Budget annuel'!$M$14:$M$43,COLUMN()-COLUMN($X$42)+1)="Oui"),$L141&lt;INDEX('1 Budget annuel'!$L$14:$L$43,COLUMN()-COLUMN($X$42)+1),$L141&gt;$D$5+363),0,IF(OR(AND(INDEX('1 Budget annuel'!$E$14:$E$43,COLUMN()-COLUMN($X$42)+1)="Hebdomadaire",MOD($L141-INDEX('1 Budget annuel'!$L$14:$L$43,COLUMN()-COLUMN($X$42)+1),7)=0),AND(INDEX('1 Budget annuel'!$E$14:$E$43,COLUMN()-COLUMN($X$42)+1)="Toutes les 4 semaines",MOD($L141-INDEX('1 Budget annuel'!$L$14:$L$43,COLUMN()-COLUMN($X$42)+1),28)=0),AND(INDEX('1 Budget annuel'!$E$14:$E$43,COLUMN()-COLUMN($X$42)+1)="Mensuelle",DAY($L141)=MIN(DAY(INDEX('1 Budget annuel'!$L$14:$L$43,COLUMN()-COLUMN($X$42)+1)),DAY(EOMONTH($L141,0)))),AND(INDEX('1 Budget annuel'!$E$14:$E$43,COLUMN()-COLUMN($X$42)+1)="Trimestrielle",MOD((YEAR($L141)-YEAR(INDEX('1 Budget annuel'!$L$14:$L$43,COLUMN()-COLUMN($X$42)+1)))*12+MONTH($L141)-MONTH(INDEX('1 Budget annuel'!$L$14:$L$43,COLUMN()-COLUMN($X$42)+1)),3)=0,DAY($L141)=MIN(DAY(INDEX('1 Budget annuel'!$L$14:$L$43,COLUMN()-COLUMN($X$42)+1)),DAY(EOMONTH($L141,0)))),AND(INDEX('1 Budget annuel'!$E$14:$E$43,COLUMN()-COLUMN($X$42)+1)="Semestrielle",MOD((YEAR($L141)-YEAR(INDEX('1 Budget annuel'!$L$14:$L$43,COLUMN()-COLUMN($X$42)+1)))*12+MONTH($L141)-MONTH(INDEX('1 Budget annuel'!$L$14:$L$43,COLUMN()-COLUMN($X$42)+1)),6)=0,DAY($L141)=MIN(DAY(INDEX('1 Budget annuel'!$L$14:$L$43,COLUMN()-COLUMN($X$42)+1)),DAY(EOMONTH($L141,0)))),AND(INDEX('1 Budget annuel'!$E$14:$E$43,COLUMN()-COLUMN($X$42)+1)="Annuelle",MOD((YEAR($L141)-YEAR(INDEX('1 Budget annuel'!$L$14:$L$43,COLUMN()-COLUMN($X$42)+1)))*12+MONTH($L141)-MONTH(INDEX('1 Budget annuel'!$L$14:$L$43,COLUMN()-COLUMN($X$42)+1)),12)=0,DAY($L141)=MIN(DAY(INDEX('1 Budget annuel'!$L$14:$L$43,COLUMN()-COLUMN($X$42)+1)),DAY(EOMONTH($L141,0))))),IF(INDEX('1 Budget annuel'!$B$14:$B$43,COLUMN()-COLUMN($X$42)+1)="Entrée",INDEX('1 Budget annuel'!$I$14:$I$43,COLUMN()-COLUMN($X$42)+1),-INDEX('1 Budget annuel'!$I$14:$I$43,COLUMN()-COLUMN($X$42)+1)),0))</x:f>
        <x:v>0</x:v>
      </x:c>
    </x:row>
    <x:row r="142">
      <x:c r="L142" s="114" t="n">
        <x:f>L141+1</x:f>
        <x:v>46336</x:v>
      </x:c>
      <x:c r="M142" s="115" t="b">
        <x:f>AND(L142&gt;=$D$5,L142&lt;=$D$5+363,MOD(L142-$D$5,7)=0)</x:f>
        <x:v>0</x:v>
      </x:c>
      <x:c r="N142" s="116" t="n">
        <x:f>SUM(X142:BA142)</x:f>
        <x:v>0</x:v>
      </x:c>
      <x:c r="O142" s="116" t="n">
        <x:f>IF(M142,$D$10,0)</x:f>
        <x:v>0</x:v>
      </x:c>
      <x:c r="P142" s="116" t="n">
        <x:f>N142-O142</x:f>
        <x:v>0</x:v>
      </x:c>
      <x:c r="Q142" s="116" t="n">
        <x:f>IF(L142&lt;$D$5,0,IF(L142=$D$5,P142,Q141+P142))</x:f>
        <x:v>0</x:v>
      </x:c>
      <x:c r="R142" s="116" t="n">
        <x:f>IF(L142&lt;$D$5,"",$J$10+Q142)</x:f>
        <x:v>0</x:v>
      </x:c>
      <x:c r="S142" s="116" t="n">
        <x:f>IF($L142&lt;$D$5,"",IF($L142=$D$5,$J$10+$N142-IF($M142,IF(INT(($L142-$D$5)/7)&lt;$A$20,$B$20,$D$10),0),S141+$N142-IF($M142,IF(INT(($L142-$D$5)/7)&lt;$A$20,$B$20,$D$10),0)))</x:f>
        <x:v>0</x:v>
      </x:c>
      <x:c r="T142" s="116" t="n">
        <x:f>IF($L142&lt;$D$5,"",IF($L142=$D$5,$J$10+$N142-IF($M142,IF(INT(($L142-$D$5)/7)&lt;$A$21,$B$21,$D$10),0),T141+$N142-IF($M142,IF(INT(($L142-$D$5)/7)&lt;$A$21,$B$21,$D$10),0)))</x:f>
        <x:v>0</x:v>
      </x:c>
      <x:c r="U142" s="116" t="n">
        <x:f>IF($L142&lt;$D$5,"",IF($L142=$D$5,$J$10+$N142-IF($M142,IF(INT(($L142-$D$5)/7)&lt;$A$22,$B$22,$D$10),0),U141+$N142-IF($M142,IF(INT(($L142-$D$5)/7)&lt;$A$22,$B$22,$D$10),0)))</x:f>
        <x:v>0</x:v>
      </x:c>
      <x:c r="V142" s="116" t="n">
        <x:f>IF($L142&lt;$D$5,"",IF($L142=$D$5,$J$10+$N142-IF($M142,IF(INT(($L142-$D$5)/7)&lt;$A$23,$B$23,$D$10),0),V141+$N142-IF($M142,IF(INT(($L142-$D$5)/7)&lt;$A$23,$B$23,$D$10),0)))</x:f>
        <x:v>0</x:v>
      </x:c>
      <x:c r="W142" s="116" t="n">
        <x:f>IF($L142&lt;$D$5,"",IF($L142=$D$5,$J$10+$N142-IF($M142,IF(INT(($L142-$D$5)/7)&lt;$A$24,$B$24,$D$10),0),W141+$N142-IF($M142,IF(INT(($L142-$D$5)/7)&lt;$A$24,$B$24,$D$10),0)))</x:f>
        <x:v>0</x:v>
      </x:c>
      <x:c r="X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Y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Z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A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B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C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D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E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F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G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H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I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J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K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L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M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N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O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P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Q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R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S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T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U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V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W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X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Y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AZ142" s="116"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c r="BA142" s="117" t="n">
        <x:f>IF(OR(INDEX('1 Budget annuel'!$A$14:$A$43,COLUMN()-COLUMN($X$42)+1)&lt;&gt;"Oui",INDEX('1 Budget annuel'!$L$14:$L$43,COLUMN()-COLUMN($X$42)+1)="",AND(INDEX('1 Budget annuel'!$B$14:$B$43,COLUMN()-COLUMN($X$42)+1)="Sortie",INDEX('1 Budget annuel'!$M$14:$M$43,COLUMN()-COLUMN($X$42)+1)="Oui"),$L142&lt;INDEX('1 Budget annuel'!$L$14:$L$43,COLUMN()-COLUMN($X$42)+1),$L142&gt;$D$5+363),0,IF(OR(AND(INDEX('1 Budget annuel'!$E$14:$E$43,COLUMN()-COLUMN($X$42)+1)="Hebdomadaire",MOD($L142-INDEX('1 Budget annuel'!$L$14:$L$43,COLUMN()-COLUMN($X$42)+1),7)=0),AND(INDEX('1 Budget annuel'!$E$14:$E$43,COLUMN()-COLUMN($X$42)+1)="Toutes les 4 semaines",MOD($L142-INDEX('1 Budget annuel'!$L$14:$L$43,COLUMN()-COLUMN($X$42)+1),28)=0),AND(INDEX('1 Budget annuel'!$E$14:$E$43,COLUMN()-COLUMN($X$42)+1)="Mensuelle",DAY($L142)=MIN(DAY(INDEX('1 Budget annuel'!$L$14:$L$43,COLUMN()-COLUMN($X$42)+1)),DAY(EOMONTH($L142,0)))),AND(INDEX('1 Budget annuel'!$E$14:$E$43,COLUMN()-COLUMN($X$42)+1)="Trimestrielle",MOD((YEAR($L142)-YEAR(INDEX('1 Budget annuel'!$L$14:$L$43,COLUMN()-COLUMN($X$42)+1)))*12+MONTH($L142)-MONTH(INDEX('1 Budget annuel'!$L$14:$L$43,COLUMN()-COLUMN($X$42)+1)),3)=0,DAY($L142)=MIN(DAY(INDEX('1 Budget annuel'!$L$14:$L$43,COLUMN()-COLUMN($X$42)+1)),DAY(EOMONTH($L142,0)))),AND(INDEX('1 Budget annuel'!$E$14:$E$43,COLUMN()-COLUMN($X$42)+1)="Semestrielle",MOD((YEAR($L142)-YEAR(INDEX('1 Budget annuel'!$L$14:$L$43,COLUMN()-COLUMN($X$42)+1)))*12+MONTH($L142)-MONTH(INDEX('1 Budget annuel'!$L$14:$L$43,COLUMN()-COLUMN($X$42)+1)),6)=0,DAY($L142)=MIN(DAY(INDEX('1 Budget annuel'!$L$14:$L$43,COLUMN()-COLUMN($X$42)+1)),DAY(EOMONTH($L142,0)))),AND(INDEX('1 Budget annuel'!$E$14:$E$43,COLUMN()-COLUMN($X$42)+1)="Annuelle",MOD((YEAR($L142)-YEAR(INDEX('1 Budget annuel'!$L$14:$L$43,COLUMN()-COLUMN($X$42)+1)))*12+MONTH($L142)-MONTH(INDEX('1 Budget annuel'!$L$14:$L$43,COLUMN()-COLUMN($X$42)+1)),12)=0,DAY($L142)=MIN(DAY(INDEX('1 Budget annuel'!$L$14:$L$43,COLUMN()-COLUMN($X$42)+1)),DAY(EOMONTH($L142,0))))),IF(INDEX('1 Budget annuel'!$B$14:$B$43,COLUMN()-COLUMN($X$42)+1)="Entrée",INDEX('1 Budget annuel'!$I$14:$I$43,COLUMN()-COLUMN($X$42)+1),-INDEX('1 Budget annuel'!$I$14:$I$43,COLUMN()-COLUMN($X$42)+1)),0))</x:f>
        <x:v>0</x:v>
      </x:c>
    </x:row>
    <x:row r="143">
      <x:c r="L143" s="114" t="n">
        <x:f>L142+1</x:f>
        <x:v>46337</x:v>
      </x:c>
      <x:c r="M143" s="115" t="b">
        <x:f>AND(L143&gt;=$D$5,L143&lt;=$D$5+363,MOD(L143-$D$5,7)=0)</x:f>
        <x:v>0</x:v>
      </x:c>
      <x:c r="N143" s="116" t="n">
        <x:f>SUM(X143:BA143)</x:f>
        <x:v>0</x:v>
      </x:c>
      <x:c r="O143" s="116" t="n">
        <x:f>IF(M143,$D$10,0)</x:f>
        <x:v>0</x:v>
      </x:c>
      <x:c r="P143" s="116" t="n">
        <x:f>N143-O143</x:f>
        <x:v>0</x:v>
      </x:c>
      <x:c r="Q143" s="116" t="n">
        <x:f>IF(L143&lt;$D$5,0,IF(L143=$D$5,P143,Q142+P143))</x:f>
        <x:v>0</x:v>
      </x:c>
      <x:c r="R143" s="116" t="n">
        <x:f>IF(L143&lt;$D$5,"",$J$10+Q143)</x:f>
        <x:v>0</x:v>
      </x:c>
      <x:c r="S143" s="116" t="n">
        <x:f>IF($L143&lt;$D$5,"",IF($L143=$D$5,$J$10+$N143-IF($M143,IF(INT(($L143-$D$5)/7)&lt;$A$20,$B$20,$D$10),0),S142+$N143-IF($M143,IF(INT(($L143-$D$5)/7)&lt;$A$20,$B$20,$D$10),0)))</x:f>
        <x:v>0</x:v>
      </x:c>
      <x:c r="T143" s="116" t="n">
        <x:f>IF($L143&lt;$D$5,"",IF($L143=$D$5,$J$10+$N143-IF($M143,IF(INT(($L143-$D$5)/7)&lt;$A$21,$B$21,$D$10),0),T142+$N143-IF($M143,IF(INT(($L143-$D$5)/7)&lt;$A$21,$B$21,$D$10),0)))</x:f>
        <x:v>0</x:v>
      </x:c>
      <x:c r="U143" s="116" t="n">
        <x:f>IF($L143&lt;$D$5,"",IF($L143=$D$5,$J$10+$N143-IF($M143,IF(INT(($L143-$D$5)/7)&lt;$A$22,$B$22,$D$10),0),U142+$N143-IF($M143,IF(INT(($L143-$D$5)/7)&lt;$A$22,$B$22,$D$10),0)))</x:f>
        <x:v>0</x:v>
      </x:c>
      <x:c r="V143" s="116" t="n">
        <x:f>IF($L143&lt;$D$5,"",IF($L143=$D$5,$J$10+$N143-IF($M143,IF(INT(($L143-$D$5)/7)&lt;$A$23,$B$23,$D$10),0),V142+$N143-IF($M143,IF(INT(($L143-$D$5)/7)&lt;$A$23,$B$23,$D$10),0)))</x:f>
        <x:v>0</x:v>
      </x:c>
      <x:c r="W143" s="116" t="n">
        <x:f>IF($L143&lt;$D$5,"",IF($L143=$D$5,$J$10+$N143-IF($M143,IF(INT(($L143-$D$5)/7)&lt;$A$24,$B$24,$D$10),0),W142+$N143-IF($M143,IF(INT(($L143-$D$5)/7)&lt;$A$24,$B$24,$D$10),0)))</x:f>
        <x:v>0</x:v>
      </x:c>
      <x:c r="X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Y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Z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A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B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C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D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E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F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G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H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I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J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K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L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M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N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O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P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Q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R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S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T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U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V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W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X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Y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AZ143" s="116"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c r="BA143" s="117" t="n">
        <x:f>IF(OR(INDEX('1 Budget annuel'!$A$14:$A$43,COLUMN()-COLUMN($X$42)+1)&lt;&gt;"Oui",INDEX('1 Budget annuel'!$L$14:$L$43,COLUMN()-COLUMN($X$42)+1)="",AND(INDEX('1 Budget annuel'!$B$14:$B$43,COLUMN()-COLUMN($X$42)+1)="Sortie",INDEX('1 Budget annuel'!$M$14:$M$43,COLUMN()-COLUMN($X$42)+1)="Oui"),$L143&lt;INDEX('1 Budget annuel'!$L$14:$L$43,COLUMN()-COLUMN($X$42)+1),$L143&gt;$D$5+363),0,IF(OR(AND(INDEX('1 Budget annuel'!$E$14:$E$43,COLUMN()-COLUMN($X$42)+1)="Hebdomadaire",MOD($L143-INDEX('1 Budget annuel'!$L$14:$L$43,COLUMN()-COLUMN($X$42)+1),7)=0),AND(INDEX('1 Budget annuel'!$E$14:$E$43,COLUMN()-COLUMN($X$42)+1)="Toutes les 4 semaines",MOD($L143-INDEX('1 Budget annuel'!$L$14:$L$43,COLUMN()-COLUMN($X$42)+1),28)=0),AND(INDEX('1 Budget annuel'!$E$14:$E$43,COLUMN()-COLUMN($X$42)+1)="Mensuelle",DAY($L143)=MIN(DAY(INDEX('1 Budget annuel'!$L$14:$L$43,COLUMN()-COLUMN($X$42)+1)),DAY(EOMONTH($L143,0)))),AND(INDEX('1 Budget annuel'!$E$14:$E$43,COLUMN()-COLUMN($X$42)+1)="Trimestrielle",MOD((YEAR($L143)-YEAR(INDEX('1 Budget annuel'!$L$14:$L$43,COLUMN()-COLUMN($X$42)+1)))*12+MONTH($L143)-MONTH(INDEX('1 Budget annuel'!$L$14:$L$43,COLUMN()-COLUMN($X$42)+1)),3)=0,DAY($L143)=MIN(DAY(INDEX('1 Budget annuel'!$L$14:$L$43,COLUMN()-COLUMN($X$42)+1)),DAY(EOMONTH($L143,0)))),AND(INDEX('1 Budget annuel'!$E$14:$E$43,COLUMN()-COLUMN($X$42)+1)="Semestrielle",MOD((YEAR($L143)-YEAR(INDEX('1 Budget annuel'!$L$14:$L$43,COLUMN()-COLUMN($X$42)+1)))*12+MONTH($L143)-MONTH(INDEX('1 Budget annuel'!$L$14:$L$43,COLUMN()-COLUMN($X$42)+1)),6)=0,DAY($L143)=MIN(DAY(INDEX('1 Budget annuel'!$L$14:$L$43,COLUMN()-COLUMN($X$42)+1)),DAY(EOMONTH($L143,0)))),AND(INDEX('1 Budget annuel'!$E$14:$E$43,COLUMN()-COLUMN($X$42)+1)="Annuelle",MOD((YEAR($L143)-YEAR(INDEX('1 Budget annuel'!$L$14:$L$43,COLUMN()-COLUMN($X$42)+1)))*12+MONTH($L143)-MONTH(INDEX('1 Budget annuel'!$L$14:$L$43,COLUMN()-COLUMN($X$42)+1)),12)=0,DAY($L143)=MIN(DAY(INDEX('1 Budget annuel'!$L$14:$L$43,COLUMN()-COLUMN($X$42)+1)),DAY(EOMONTH($L143,0))))),IF(INDEX('1 Budget annuel'!$B$14:$B$43,COLUMN()-COLUMN($X$42)+1)="Entrée",INDEX('1 Budget annuel'!$I$14:$I$43,COLUMN()-COLUMN($X$42)+1),-INDEX('1 Budget annuel'!$I$14:$I$43,COLUMN()-COLUMN($X$42)+1)),0))</x:f>
        <x:v>0</x:v>
      </x:c>
    </x:row>
    <x:row r="144">
      <x:c r="L144" s="114" t="n">
        <x:f>L143+1</x:f>
        <x:v>46338</x:v>
      </x:c>
      <x:c r="M144" s="115" t="b">
        <x:f>AND(L144&gt;=$D$5,L144&lt;=$D$5+363,MOD(L144-$D$5,7)=0)</x:f>
        <x:v>0</x:v>
      </x:c>
      <x:c r="N144" s="116" t="n">
        <x:f>SUM(X144:BA144)</x:f>
        <x:v>0</x:v>
      </x:c>
      <x:c r="O144" s="116" t="n">
        <x:f>IF(M144,$D$10,0)</x:f>
        <x:v>0</x:v>
      </x:c>
      <x:c r="P144" s="116" t="n">
        <x:f>N144-O144</x:f>
        <x:v>0</x:v>
      </x:c>
      <x:c r="Q144" s="116" t="n">
        <x:f>IF(L144&lt;$D$5,0,IF(L144=$D$5,P144,Q143+P144))</x:f>
        <x:v>0</x:v>
      </x:c>
      <x:c r="R144" s="116" t="n">
        <x:f>IF(L144&lt;$D$5,"",$J$10+Q144)</x:f>
        <x:v>0</x:v>
      </x:c>
      <x:c r="S144" s="116" t="n">
        <x:f>IF($L144&lt;$D$5,"",IF($L144=$D$5,$J$10+$N144-IF($M144,IF(INT(($L144-$D$5)/7)&lt;$A$20,$B$20,$D$10),0),S143+$N144-IF($M144,IF(INT(($L144-$D$5)/7)&lt;$A$20,$B$20,$D$10),0)))</x:f>
        <x:v>0</x:v>
      </x:c>
      <x:c r="T144" s="116" t="n">
        <x:f>IF($L144&lt;$D$5,"",IF($L144=$D$5,$J$10+$N144-IF($M144,IF(INT(($L144-$D$5)/7)&lt;$A$21,$B$21,$D$10),0),T143+$N144-IF($M144,IF(INT(($L144-$D$5)/7)&lt;$A$21,$B$21,$D$10),0)))</x:f>
        <x:v>0</x:v>
      </x:c>
      <x:c r="U144" s="116" t="n">
        <x:f>IF($L144&lt;$D$5,"",IF($L144=$D$5,$J$10+$N144-IF($M144,IF(INT(($L144-$D$5)/7)&lt;$A$22,$B$22,$D$10),0),U143+$N144-IF($M144,IF(INT(($L144-$D$5)/7)&lt;$A$22,$B$22,$D$10),0)))</x:f>
        <x:v>0</x:v>
      </x:c>
      <x:c r="V144" s="116" t="n">
        <x:f>IF($L144&lt;$D$5,"",IF($L144=$D$5,$J$10+$N144-IF($M144,IF(INT(($L144-$D$5)/7)&lt;$A$23,$B$23,$D$10),0),V143+$N144-IF($M144,IF(INT(($L144-$D$5)/7)&lt;$A$23,$B$23,$D$10),0)))</x:f>
        <x:v>0</x:v>
      </x:c>
      <x:c r="W144" s="116" t="n">
        <x:f>IF($L144&lt;$D$5,"",IF($L144=$D$5,$J$10+$N144-IF($M144,IF(INT(($L144-$D$5)/7)&lt;$A$24,$B$24,$D$10),0),W143+$N144-IF($M144,IF(INT(($L144-$D$5)/7)&lt;$A$24,$B$24,$D$10),0)))</x:f>
        <x:v>0</x:v>
      </x:c>
      <x:c r="X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Y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Z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A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B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C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D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E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F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G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H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I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J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K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L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M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N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O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P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Q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R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S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T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U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V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W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X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Y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AZ144" s="116"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c r="BA144" s="117" t="n">
        <x:f>IF(OR(INDEX('1 Budget annuel'!$A$14:$A$43,COLUMN()-COLUMN($X$42)+1)&lt;&gt;"Oui",INDEX('1 Budget annuel'!$L$14:$L$43,COLUMN()-COLUMN($X$42)+1)="",AND(INDEX('1 Budget annuel'!$B$14:$B$43,COLUMN()-COLUMN($X$42)+1)="Sortie",INDEX('1 Budget annuel'!$M$14:$M$43,COLUMN()-COLUMN($X$42)+1)="Oui"),$L144&lt;INDEX('1 Budget annuel'!$L$14:$L$43,COLUMN()-COLUMN($X$42)+1),$L144&gt;$D$5+363),0,IF(OR(AND(INDEX('1 Budget annuel'!$E$14:$E$43,COLUMN()-COLUMN($X$42)+1)="Hebdomadaire",MOD($L144-INDEX('1 Budget annuel'!$L$14:$L$43,COLUMN()-COLUMN($X$42)+1),7)=0),AND(INDEX('1 Budget annuel'!$E$14:$E$43,COLUMN()-COLUMN($X$42)+1)="Toutes les 4 semaines",MOD($L144-INDEX('1 Budget annuel'!$L$14:$L$43,COLUMN()-COLUMN($X$42)+1),28)=0),AND(INDEX('1 Budget annuel'!$E$14:$E$43,COLUMN()-COLUMN($X$42)+1)="Mensuelle",DAY($L144)=MIN(DAY(INDEX('1 Budget annuel'!$L$14:$L$43,COLUMN()-COLUMN($X$42)+1)),DAY(EOMONTH($L144,0)))),AND(INDEX('1 Budget annuel'!$E$14:$E$43,COLUMN()-COLUMN($X$42)+1)="Trimestrielle",MOD((YEAR($L144)-YEAR(INDEX('1 Budget annuel'!$L$14:$L$43,COLUMN()-COLUMN($X$42)+1)))*12+MONTH($L144)-MONTH(INDEX('1 Budget annuel'!$L$14:$L$43,COLUMN()-COLUMN($X$42)+1)),3)=0,DAY($L144)=MIN(DAY(INDEX('1 Budget annuel'!$L$14:$L$43,COLUMN()-COLUMN($X$42)+1)),DAY(EOMONTH($L144,0)))),AND(INDEX('1 Budget annuel'!$E$14:$E$43,COLUMN()-COLUMN($X$42)+1)="Semestrielle",MOD((YEAR($L144)-YEAR(INDEX('1 Budget annuel'!$L$14:$L$43,COLUMN()-COLUMN($X$42)+1)))*12+MONTH($L144)-MONTH(INDEX('1 Budget annuel'!$L$14:$L$43,COLUMN()-COLUMN($X$42)+1)),6)=0,DAY($L144)=MIN(DAY(INDEX('1 Budget annuel'!$L$14:$L$43,COLUMN()-COLUMN($X$42)+1)),DAY(EOMONTH($L144,0)))),AND(INDEX('1 Budget annuel'!$E$14:$E$43,COLUMN()-COLUMN($X$42)+1)="Annuelle",MOD((YEAR($L144)-YEAR(INDEX('1 Budget annuel'!$L$14:$L$43,COLUMN()-COLUMN($X$42)+1)))*12+MONTH($L144)-MONTH(INDEX('1 Budget annuel'!$L$14:$L$43,COLUMN()-COLUMN($X$42)+1)),12)=0,DAY($L144)=MIN(DAY(INDEX('1 Budget annuel'!$L$14:$L$43,COLUMN()-COLUMN($X$42)+1)),DAY(EOMONTH($L144,0))))),IF(INDEX('1 Budget annuel'!$B$14:$B$43,COLUMN()-COLUMN($X$42)+1)="Entrée",INDEX('1 Budget annuel'!$I$14:$I$43,COLUMN()-COLUMN($X$42)+1),-INDEX('1 Budget annuel'!$I$14:$I$43,COLUMN()-COLUMN($X$42)+1)),0))</x:f>
        <x:v>0</x:v>
      </x:c>
    </x:row>
    <x:row r="145">
      <x:c r="L145" s="114" t="n">
        <x:f>L144+1</x:f>
        <x:v>46339</x:v>
      </x:c>
      <x:c r="M145" s="115" t="b">
        <x:f>AND(L145&gt;=$D$5,L145&lt;=$D$5+363,MOD(L145-$D$5,7)=0)</x:f>
        <x:v>0</x:v>
      </x:c>
      <x:c r="N145" s="116" t="n">
        <x:f>SUM(X145:BA145)</x:f>
        <x:v>0</x:v>
      </x:c>
      <x:c r="O145" s="116" t="n">
        <x:f>IF(M145,$D$10,0)</x:f>
        <x:v>0</x:v>
      </x:c>
      <x:c r="P145" s="116" t="n">
        <x:f>N145-O145</x:f>
        <x:v>0</x:v>
      </x:c>
      <x:c r="Q145" s="116" t="n">
        <x:f>IF(L145&lt;$D$5,0,IF(L145=$D$5,P145,Q144+P145))</x:f>
        <x:v>0</x:v>
      </x:c>
      <x:c r="R145" s="116" t="n">
        <x:f>IF(L145&lt;$D$5,"",$J$10+Q145)</x:f>
        <x:v>0</x:v>
      </x:c>
      <x:c r="S145" s="116" t="n">
        <x:f>IF($L145&lt;$D$5,"",IF($L145=$D$5,$J$10+$N145-IF($M145,IF(INT(($L145-$D$5)/7)&lt;$A$20,$B$20,$D$10),0),S144+$N145-IF($M145,IF(INT(($L145-$D$5)/7)&lt;$A$20,$B$20,$D$10),0)))</x:f>
        <x:v>0</x:v>
      </x:c>
      <x:c r="T145" s="116" t="n">
        <x:f>IF($L145&lt;$D$5,"",IF($L145=$D$5,$J$10+$N145-IF($M145,IF(INT(($L145-$D$5)/7)&lt;$A$21,$B$21,$D$10),0),T144+$N145-IF($M145,IF(INT(($L145-$D$5)/7)&lt;$A$21,$B$21,$D$10),0)))</x:f>
        <x:v>0</x:v>
      </x:c>
      <x:c r="U145" s="116" t="n">
        <x:f>IF($L145&lt;$D$5,"",IF($L145=$D$5,$J$10+$N145-IF($M145,IF(INT(($L145-$D$5)/7)&lt;$A$22,$B$22,$D$10),0),U144+$N145-IF($M145,IF(INT(($L145-$D$5)/7)&lt;$A$22,$B$22,$D$10),0)))</x:f>
        <x:v>0</x:v>
      </x:c>
      <x:c r="V145" s="116" t="n">
        <x:f>IF($L145&lt;$D$5,"",IF($L145=$D$5,$J$10+$N145-IF($M145,IF(INT(($L145-$D$5)/7)&lt;$A$23,$B$23,$D$10),0),V144+$N145-IF($M145,IF(INT(($L145-$D$5)/7)&lt;$A$23,$B$23,$D$10),0)))</x:f>
        <x:v>0</x:v>
      </x:c>
      <x:c r="W145" s="116" t="n">
        <x:f>IF($L145&lt;$D$5,"",IF($L145=$D$5,$J$10+$N145-IF($M145,IF(INT(($L145-$D$5)/7)&lt;$A$24,$B$24,$D$10),0),W144+$N145-IF($M145,IF(INT(($L145-$D$5)/7)&lt;$A$24,$B$24,$D$10),0)))</x:f>
        <x:v>0</x:v>
      </x:c>
      <x:c r="X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Y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Z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A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B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C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D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E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F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G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H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I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J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K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L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M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N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O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P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Q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R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S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T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U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V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W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X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Y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AZ145" s="116"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c r="BA145" s="117" t="n">
        <x:f>IF(OR(INDEX('1 Budget annuel'!$A$14:$A$43,COLUMN()-COLUMN($X$42)+1)&lt;&gt;"Oui",INDEX('1 Budget annuel'!$L$14:$L$43,COLUMN()-COLUMN($X$42)+1)="",AND(INDEX('1 Budget annuel'!$B$14:$B$43,COLUMN()-COLUMN($X$42)+1)="Sortie",INDEX('1 Budget annuel'!$M$14:$M$43,COLUMN()-COLUMN($X$42)+1)="Oui"),$L145&lt;INDEX('1 Budget annuel'!$L$14:$L$43,COLUMN()-COLUMN($X$42)+1),$L145&gt;$D$5+363),0,IF(OR(AND(INDEX('1 Budget annuel'!$E$14:$E$43,COLUMN()-COLUMN($X$42)+1)="Hebdomadaire",MOD($L145-INDEX('1 Budget annuel'!$L$14:$L$43,COLUMN()-COLUMN($X$42)+1),7)=0),AND(INDEX('1 Budget annuel'!$E$14:$E$43,COLUMN()-COLUMN($X$42)+1)="Toutes les 4 semaines",MOD($L145-INDEX('1 Budget annuel'!$L$14:$L$43,COLUMN()-COLUMN($X$42)+1),28)=0),AND(INDEX('1 Budget annuel'!$E$14:$E$43,COLUMN()-COLUMN($X$42)+1)="Mensuelle",DAY($L145)=MIN(DAY(INDEX('1 Budget annuel'!$L$14:$L$43,COLUMN()-COLUMN($X$42)+1)),DAY(EOMONTH($L145,0)))),AND(INDEX('1 Budget annuel'!$E$14:$E$43,COLUMN()-COLUMN($X$42)+1)="Trimestrielle",MOD((YEAR($L145)-YEAR(INDEX('1 Budget annuel'!$L$14:$L$43,COLUMN()-COLUMN($X$42)+1)))*12+MONTH($L145)-MONTH(INDEX('1 Budget annuel'!$L$14:$L$43,COLUMN()-COLUMN($X$42)+1)),3)=0,DAY($L145)=MIN(DAY(INDEX('1 Budget annuel'!$L$14:$L$43,COLUMN()-COLUMN($X$42)+1)),DAY(EOMONTH($L145,0)))),AND(INDEX('1 Budget annuel'!$E$14:$E$43,COLUMN()-COLUMN($X$42)+1)="Semestrielle",MOD((YEAR($L145)-YEAR(INDEX('1 Budget annuel'!$L$14:$L$43,COLUMN()-COLUMN($X$42)+1)))*12+MONTH($L145)-MONTH(INDEX('1 Budget annuel'!$L$14:$L$43,COLUMN()-COLUMN($X$42)+1)),6)=0,DAY($L145)=MIN(DAY(INDEX('1 Budget annuel'!$L$14:$L$43,COLUMN()-COLUMN($X$42)+1)),DAY(EOMONTH($L145,0)))),AND(INDEX('1 Budget annuel'!$E$14:$E$43,COLUMN()-COLUMN($X$42)+1)="Annuelle",MOD((YEAR($L145)-YEAR(INDEX('1 Budget annuel'!$L$14:$L$43,COLUMN()-COLUMN($X$42)+1)))*12+MONTH($L145)-MONTH(INDEX('1 Budget annuel'!$L$14:$L$43,COLUMN()-COLUMN($X$42)+1)),12)=0,DAY($L145)=MIN(DAY(INDEX('1 Budget annuel'!$L$14:$L$43,COLUMN()-COLUMN($X$42)+1)),DAY(EOMONTH($L145,0))))),IF(INDEX('1 Budget annuel'!$B$14:$B$43,COLUMN()-COLUMN($X$42)+1)="Entrée",INDEX('1 Budget annuel'!$I$14:$I$43,COLUMN()-COLUMN($X$42)+1),-INDEX('1 Budget annuel'!$I$14:$I$43,COLUMN()-COLUMN($X$42)+1)),0))</x:f>
        <x:v>0</x:v>
      </x:c>
    </x:row>
    <x:row r="146">
      <x:c r="L146" s="114" t="n">
        <x:f>L145+1</x:f>
        <x:v>46340</x:v>
      </x:c>
      <x:c r="M146" s="115" t="b">
        <x:f>AND(L146&gt;=$D$5,L146&lt;=$D$5+363,MOD(L146-$D$5,7)=0)</x:f>
        <x:v>1</x:v>
      </x:c>
      <x:c r="N146" s="116" t="n">
        <x:f>SUM(X146:BA146)</x:f>
        <x:v>0</x:v>
      </x:c>
      <x:c r="O146" s="116" t="n">
        <x:f>IF(M146,$D$10,0)</x:f>
        <x:v>0</x:v>
      </x:c>
      <x:c r="P146" s="116" t="n">
        <x:f>N146-O146</x:f>
        <x:v>0</x:v>
      </x:c>
      <x:c r="Q146" s="116" t="n">
        <x:f>IF(L146&lt;$D$5,0,IF(L146=$D$5,P146,Q145+P146))</x:f>
        <x:v>0</x:v>
      </x:c>
      <x:c r="R146" s="116" t="n">
        <x:f>IF(L146&lt;$D$5,"",$J$10+Q146)</x:f>
        <x:v>0</x:v>
      </x:c>
      <x:c r="S146" s="116" t="n">
        <x:f>IF($L146&lt;$D$5,"",IF($L146=$D$5,$J$10+$N146-IF($M146,IF(INT(($L146-$D$5)/7)&lt;$A$20,$B$20,$D$10),0),S145+$N146-IF($M146,IF(INT(($L146-$D$5)/7)&lt;$A$20,$B$20,$D$10),0)))</x:f>
        <x:v>0</x:v>
      </x:c>
      <x:c r="T146" s="116" t="n">
        <x:f>IF($L146&lt;$D$5,"",IF($L146=$D$5,$J$10+$N146-IF($M146,IF(INT(($L146-$D$5)/7)&lt;$A$21,$B$21,$D$10),0),T145+$N146-IF($M146,IF(INT(($L146-$D$5)/7)&lt;$A$21,$B$21,$D$10),0)))</x:f>
        <x:v>0</x:v>
      </x:c>
      <x:c r="U146" s="116" t="n">
        <x:f>IF($L146&lt;$D$5,"",IF($L146=$D$5,$J$10+$N146-IF($M146,IF(INT(($L146-$D$5)/7)&lt;$A$22,$B$22,$D$10),0),U145+$N146-IF($M146,IF(INT(($L146-$D$5)/7)&lt;$A$22,$B$22,$D$10),0)))</x:f>
        <x:v>0</x:v>
      </x:c>
      <x:c r="V146" s="116" t="n">
        <x:f>IF($L146&lt;$D$5,"",IF($L146=$D$5,$J$10+$N146-IF($M146,IF(INT(($L146-$D$5)/7)&lt;$A$23,$B$23,$D$10),0),V145+$N146-IF($M146,IF(INT(($L146-$D$5)/7)&lt;$A$23,$B$23,$D$10),0)))</x:f>
        <x:v>0</x:v>
      </x:c>
      <x:c r="W146" s="116" t="n">
        <x:f>IF($L146&lt;$D$5,"",IF($L146=$D$5,$J$10+$N146-IF($M146,IF(INT(($L146-$D$5)/7)&lt;$A$24,$B$24,$D$10),0),W145+$N146-IF($M146,IF(INT(($L146-$D$5)/7)&lt;$A$24,$B$24,$D$10),0)))</x:f>
        <x:v>0</x:v>
      </x:c>
      <x:c r="X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Y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Z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A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B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C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D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E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F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G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H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I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J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K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L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M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N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O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P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Q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R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S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T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U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V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W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X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Y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AZ146" s="116"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c r="BA146" s="117" t="n">
        <x:f>IF(OR(INDEX('1 Budget annuel'!$A$14:$A$43,COLUMN()-COLUMN($X$42)+1)&lt;&gt;"Oui",INDEX('1 Budget annuel'!$L$14:$L$43,COLUMN()-COLUMN($X$42)+1)="",AND(INDEX('1 Budget annuel'!$B$14:$B$43,COLUMN()-COLUMN($X$42)+1)="Sortie",INDEX('1 Budget annuel'!$M$14:$M$43,COLUMN()-COLUMN($X$42)+1)="Oui"),$L146&lt;INDEX('1 Budget annuel'!$L$14:$L$43,COLUMN()-COLUMN($X$42)+1),$L146&gt;$D$5+363),0,IF(OR(AND(INDEX('1 Budget annuel'!$E$14:$E$43,COLUMN()-COLUMN($X$42)+1)="Hebdomadaire",MOD($L146-INDEX('1 Budget annuel'!$L$14:$L$43,COLUMN()-COLUMN($X$42)+1),7)=0),AND(INDEX('1 Budget annuel'!$E$14:$E$43,COLUMN()-COLUMN($X$42)+1)="Toutes les 4 semaines",MOD($L146-INDEX('1 Budget annuel'!$L$14:$L$43,COLUMN()-COLUMN($X$42)+1),28)=0),AND(INDEX('1 Budget annuel'!$E$14:$E$43,COLUMN()-COLUMN($X$42)+1)="Mensuelle",DAY($L146)=MIN(DAY(INDEX('1 Budget annuel'!$L$14:$L$43,COLUMN()-COLUMN($X$42)+1)),DAY(EOMONTH($L146,0)))),AND(INDEX('1 Budget annuel'!$E$14:$E$43,COLUMN()-COLUMN($X$42)+1)="Trimestrielle",MOD((YEAR($L146)-YEAR(INDEX('1 Budget annuel'!$L$14:$L$43,COLUMN()-COLUMN($X$42)+1)))*12+MONTH($L146)-MONTH(INDEX('1 Budget annuel'!$L$14:$L$43,COLUMN()-COLUMN($X$42)+1)),3)=0,DAY($L146)=MIN(DAY(INDEX('1 Budget annuel'!$L$14:$L$43,COLUMN()-COLUMN($X$42)+1)),DAY(EOMONTH($L146,0)))),AND(INDEX('1 Budget annuel'!$E$14:$E$43,COLUMN()-COLUMN($X$42)+1)="Semestrielle",MOD((YEAR($L146)-YEAR(INDEX('1 Budget annuel'!$L$14:$L$43,COLUMN()-COLUMN($X$42)+1)))*12+MONTH($L146)-MONTH(INDEX('1 Budget annuel'!$L$14:$L$43,COLUMN()-COLUMN($X$42)+1)),6)=0,DAY($L146)=MIN(DAY(INDEX('1 Budget annuel'!$L$14:$L$43,COLUMN()-COLUMN($X$42)+1)),DAY(EOMONTH($L146,0)))),AND(INDEX('1 Budget annuel'!$E$14:$E$43,COLUMN()-COLUMN($X$42)+1)="Annuelle",MOD((YEAR($L146)-YEAR(INDEX('1 Budget annuel'!$L$14:$L$43,COLUMN()-COLUMN($X$42)+1)))*12+MONTH($L146)-MONTH(INDEX('1 Budget annuel'!$L$14:$L$43,COLUMN()-COLUMN($X$42)+1)),12)=0,DAY($L146)=MIN(DAY(INDEX('1 Budget annuel'!$L$14:$L$43,COLUMN()-COLUMN($X$42)+1)),DAY(EOMONTH($L146,0))))),IF(INDEX('1 Budget annuel'!$B$14:$B$43,COLUMN()-COLUMN($X$42)+1)="Entrée",INDEX('1 Budget annuel'!$I$14:$I$43,COLUMN()-COLUMN($X$42)+1),-INDEX('1 Budget annuel'!$I$14:$I$43,COLUMN()-COLUMN($X$42)+1)),0))</x:f>
        <x:v>0</x:v>
      </x:c>
    </x:row>
    <x:row r="147">
      <x:c r="L147" s="114" t="n">
        <x:f>L146+1</x:f>
        <x:v>46341</x:v>
      </x:c>
      <x:c r="M147" s="115" t="b">
        <x:f>AND(L147&gt;=$D$5,L147&lt;=$D$5+363,MOD(L147-$D$5,7)=0)</x:f>
        <x:v>0</x:v>
      </x:c>
      <x:c r="N147" s="116" t="n">
        <x:f>SUM(X147:BA147)</x:f>
        <x:v>0</x:v>
      </x:c>
      <x:c r="O147" s="116" t="n">
        <x:f>IF(M147,$D$10,0)</x:f>
        <x:v>0</x:v>
      </x:c>
      <x:c r="P147" s="116" t="n">
        <x:f>N147-O147</x:f>
        <x:v>0</x:v>
      </x:c>
      <x:c r="Q147" s="116" t="n">
        <x:f>IF(L147&lt;$D$5,0,IF(L147=$D$5,P147,Q146+P147))</x:f>
        <x:v>0</x:v>
      </x:c>
      <x:c r="R147" s="116" t="n">
        <x:f>IF(L147&lt;$D$5,"",$J$10+Q147)</x:f>
        <x:v>0</x:v>
      </x:c>
      <x:c r="S147" s="116" t="n">
        <x:f>IF($L147&lt;$D$5,"",IF($L147=$D$5,$J$10+$N147-IF($M147,IF(INT(($L147-$D$5)/7)&lt;$A$20,$B$20,$D$10),0),S146+$N147-IF($M147,IF(INT(($L147-$D$5)/7)&lt;$A$20,$B$20,$D$10),0)))</x:f>
        <x:v>0</x:v>
      </x:c>
      <x:c r="T147" s="116" t="n">
        <x:f>IF($L147&lt;$D$5,"",IF($L147=$D$5,$J$10+$N147-IF($M147,IF(INT(($L147-$D$5)/7)&lt;$A$21,$B$21,$D$10),0),T146+$N147-IF($M147,IF(INT(($L147-$D$5)/7)&lt;$A$21,$B$21,$D$10),0)))</x:f>
        <x:v>0</x:v>
      </x:c>
      <x:c r="U147" s="116" t="n">
        <x:f>IF($L147&lt;$D$5,"",IF($L147=$D$5,$J$10+$N147-IF($M147,IF(INT(($L147-$D$5)/7)&lt;$A$22,$B$22,$D$10),0),U146+$N147-IF($M147,IF(INT(($L147-$D$5)/7)&lt;$A$22,$B$22,$D$10),0)))</x:f>
        <x:v>0</x:v>
      </x:c>
      <x:c r="V147" s="116" t="n">
        <x:f>IF($L147&lt;$D$5,"",IF($L147=$D$5,$J$10+$N147-IF($M147,IF(INT(($L147-$D$5)/7)&lt;$A$23,$B$23,$D$10),0),V146+$N147-IF($M147,IF(INT(($L147-$D$5)/7)&lt;$A$23,$B$23,$D$10),0)))</x:f>
        <x:v>0</x:v>
      </x:c>
      <x:c r="W147" s="116" t="n">
        <x:f>IF($L147&lt;$D$5,"",IF($L147=$D$5,$J$10+$N147-IF($M147,IF(INT(($L147-$D$5)/7)&lt;$A$24,$B$24,$D$10),0),W146+$N147-IF($M147,IF(INT(($L147-$D$5)/7)&lt;$A$24,$B$24,$D$10),0)))</x:f>
        <x:v>0</x:v>
      </x:c>
      <x:c r="X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Y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Z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A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B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C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D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E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F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G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H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I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J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K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L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M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N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O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P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Q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R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S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T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U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V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W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X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Y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AZ147" s="116"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c r="BA147" s="117" t="n">
        <x:f>IF(OR(INDEX('1 Budget annuel'!$A$14:$A$43,COLUMN()-COLUMN($X$42)+1)&lt;&gt;"Oui",INDEX('1 Budget annuel'!$L$14:$L$43,COLUMN()-COLUMN($X$42)+1)="",AND(INDEX('1 Budget annuel'!$B$14:$B$43,COLUMN()-COLUMN($X$42)+1)="Sortie",INDEX('1 Budget annuel'!$M$14:$M$43,COLUMN()-COLUMN($X$42)+1)="Oui"),$L147&lt;INDEX('1 Budget annuel'!$L$14:$L$43,COLUMN()-COLUMN($X$42)+1),$L147&gt;$D$5+363),0,IF(OR(AND(INDEX('1 Budget annuel'!$E$14:$E$43,COLUMN()-COLUMN($X$42)+1)="Hebdomadaire",MOD($L147-INDEX('1 Budget annuel'!$L$14:$L$43,COLUMN()-COLUMN($X$42)+1),7)=0),AND(INDEX('1 Budget annuel'!$E$14:$E$43,COLUMN()-COLUMN($X$42)+1)="Toutes les 4 semaines",MOD($L147-INDEX('1 Budget annuel'!$L$14:$L$43,COLUMN()-COLUMN($X$42)+1),28)=0),AND(INDEX('1 Budget annuel'!$E$14:$E$43,COLUMN()-COLUMN($X$42)+1)="Mensuelle",DAY($L147)=MIN(DAY(INDEX('1 Budget annuel'!$L$14:$L$43,COLUMN()-COLUMN($X$42)+1)),DAY(EOMONTH($L147,0)))),AND(INDEX('1 Budget annuel'!$E$14:$E$43,COLUMN()-COLUMN($X$42)+1)="Trimestrielle",MOD((YEAR($L147)-YEAR(INDEX('1 Budget annuel'!$L$14:$L$43,COLUMN()-COLUMN($X$42)+1)))*12+MONTH($L147)-MONTH(INDEX('1 Budget annuel'!$L$14:$L$43,COLUMN()-COLUMN($X$42)+1)),3)=0,DAY($L147)=MIN(DAY(INDEX('1 Budget annuel'!$L$14:$L$43,COLUMN()-COLUMN($X$42)+1)),DAY(EOMONTH($L147,0)))),AND(INDEX('1 Budget annuel'!$E$14:$E$43,COLUMN()-COLUMN($X$42)+1)="Semestrielle",MOD((YEAR($L147)-YEAR(INDEX('1 Budget annuel'!$L$14:$L$43,COLUMN()-COLUMN($X$42)+1)))*12+MONTH($L147)-MONTH(INDEX('1 Budget annuel'!$L$14:$L$43,COLUMN()-COLUMN($X$42)+1)),6)=0,DAY($L147)=MIN(DAY(INDEX('1 Budget annuel'!$L$14:$L$43,COLUMN()-COLUMN($X$42)+1)),DAY(EOMONTH($L147,0)))),AND(INDEX('1 Budget annuel'!$E$14:$E$43,COLUMN()-COLUMN($X$42)+1)="Annuelle",MOD((YEAR($L147)-YEAR(INDEX('1 Budget annuel'!$L$14:$L$43,COLUMN()-COLUMN($X$42)+1)))*12+MONTH($L147)-MONTH(INDEX('1 Budget annuel'!$L$14:$L$43,COLUMN()-COLUMN($X$42)+1)),12)=0,DAY($L147)=MIN(DAY(INDEX('1 Budget annuel'!$L$14:$L$43,COLUMN()-COLUMN($X$42)+1)),DAY(EOMONTH($L147,0))))),IF(INDEX('1 Budget annuel'!$B$14:$B$43,COLUMN()-COLUMN($X$42)+1)="Entrée",INDEX('1 Budget annuel'!$I$14:$I$43,COLUMN()-COLUMN($X$42)+1),-INDEX('1 Budget annuel'!$I$14:$I$43,COLUMN()-COLUMN($X$42)+1)),0))</x:f>
        <x:v>0</x:v>
      </x:c>
    </x:row>
    <x:row r="148">
      <x:c r="L148" s="114" t="n">
        <x:f>L147+1</x:f>
        <x:v>46342</x:v>
      </x:c>
      <x:c r="M148" s="115" t="b">
        <x:f>AND(L148&gt;=$D$5,L148&lt;=$D$5+363,MOD(L148-$D$5,7)=0)</x:f>
        <x:v>0</x:v>
      </x:c>
      <x:c r="N148" s="116" t="n">
        <x:f>SUM(X148:BA148)</x:f>
        <x:v>0</x:v>
      </x:c>
      <x:c r="O148" s="116" t="n">
        <x:f>IF(M148,$D$10,0)</x:f>
        <x:v>0</x:v>
      </x:c>
      <x:c r="P148" s="116" t="n">
        <x:f>N148-O148</x:f>
        <x:v>0</x:v>
      </x:c>
      <x:c r="Q148" s="116" t="n">
        <x:f>IF(L148&lt;$D$5,0,IF(L148=$D$5,P148,Q147+P148))</x:f>
        <x:v>0</x:v>
      </x:c>
      <x:c r="R148" s="116" t="n">
        <x:f>IF(L148&lt;$D$5,"",$J$10+Q148)</x:f>
        <x:v>0</x:v>
      </x:c>
      <x:c r="S148" s="116" t="n">
        <x:f>IF($L148&lt;$D$5,"",IF($L148=$D$5,$J$10+$N148-IF($M148,IF(INT(($L148-$D$5)/7)&lt;$A$20,$B$20,$D$10),0),S147+$N148-IF($M148,IF(INT(($L148-$D$5)/7)&lt;$A$20,$B$20,$D$10),0)))</x:f>
        <x:v>0</x:v>
      </x:c>
      <x:c r="T148" s="116" t="n">
        <x:f>IF($L148&lt;$D$5,"",IF($L148=$D$5,$J$10+$N148-IF($M148,IF(INT(($L148-$D$5)/7)&lt;$A$21,$B$21,$D$10),0),T147+$N148-IF($M148,IF(INT(($L148-$D$5)/7)&lt;$A$21,$B$21,$D$10),0)))</x:f>
        <x:v>0</x:v>
      </x:c>
      <x:c r="U148" s="116" t="n">
        <x:f>IF($L148&lt;$D$5,"",IF($L148=$D$5,$J$10+$N148-IF($M148,IF(INT(($L148-$D$5)/7)&lt;$A$22,$B$22,$D$10),0),U147+$N148-IF($M148,IF(INT(($L148-$D$5)/7)&lt;$A$22,$B$22,$D$10),0)))</x:f>
        <x:v>0</x:v>
      </x:c>
      <x:c r="V148" s="116" t="n">
        <x:f>IF($L148&lt;$D$5,"",IF($L148=$D$5,$J$10+$N148-IF($M148,IF(INT(($L148-$D$5)/7)&lt;$A$23,$B$23,$D$10),0),V147+$N148-IF($M148,IF(INT(($L148-$D$5)/7)&lt;$A$23,$B$23,$D$10),0)))</x:f>
        <x:v>0</x:v>
      </x:c>
      <x:c r="W148" s="116" t="n">
        <x:f>IF($L148&lt;$D$5,"",IF($L148=$D$5,$J$10+$N148-IF($M148,IF(INT(($L148-$D$5)/7)&lt;$A$24,$B$24,$D$10),0),W147+$N148-IF($M148,IF(INT(($L148-$D$5)/7)&lt;$A$24,$B$24,$D$10),0)))</x:f>
        <x:v>0</x:v>
      </x:c>
      <x:c r="X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Y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Z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A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B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C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D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E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F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G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H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I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J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K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L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M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N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O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P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Q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R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S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T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U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V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W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X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Y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AZ148" s="116"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c r="BA148" s="117" t="n">
        <x:f>IF(OR(INDEX('1 Budget annuel'!$A$14:$A$43,COLUMN()-COLUMN($X$42)+1)&lt;&gt;"Oui",INDEX('1 Budget annuel'!$L$14:$L$43,COLUMN()-COLUMN($X$42)+1)="",AND(INDEX('1 Budget annuel'!$B$14:$B$43,COLUMN()-COLUMN($X$42)+1)="Sortie",INDEX('1 Budget annuel'!$M$14:$M$43,COLUMN()-COLUMN($X$42)+1)="Oui"),$L148&lt;INDEX('1 Budget annuel'!$L$14:$L$43,COLUMN()-COLUMN($X$42)+1),$L148&gt;$D$5+363),0,IF(OR(AND(INDEX('1 Budget annuel'!$E$14:$E$43,COLUMN()-COLUMN($X$42)+1)="Hebdomadaire",MOD($L148-INDEX('1 Budget annuel'!$L$14:$L$43,COLUMN()-COLUMN($X$42)+1),7)=0),AND(INDEX('1 Budget annuel'!$E$14:$E$43,COLUMN()-COLUMN($X$42)+1)="Toutes les 4 semaines",MOD($L148-INDEX('1 Budget annuel'!$L$14:$L$43,COLUMN()-COLUMN($X$42)+1),28)=0),AND(INDEX('1 Budget annuel'!$E$14:$E$43,COLUMN()-COLUMN($X$42)+1)="Mensuelle",DAY($L148)=MIN(DAY(INDEX('1 Budget annuel'!$L$14:$L$43,COLUMN()-COLUMN($X$42)+1)),DAY(EOMONTH($L148,0)))),AND(INDEX('1 Budget annuel'!$E$14:$E$43,COLUMN()-COLUMN($X$42)+1)="Trimestrielle",MOD((YEAR($L148)-YEAR(INDEX('1 Budget annuel'!$L$14:$L$43,COLUMN()-COLUMN($X$42)+1)))*12+MONTH($L148)-MONTH(INDEX('1 Budget annuel'!$L$14:$L$43,COLUMN()-COLUMN($X$42)+1)),3)=0,DAY($L148)=MIN(DAY(INDEX('1 Budget annuel'!$L$14:$L$43,COLUMN()-COLUMN($X$42)+1)),DAY(EOMONTH($L148,0)))),AND(INDEX('1 Budget annuel'!$E$14:$E$43,COLUMN()-COLUMN($X$42)+1)="Semestrielle",MOD((YEAR($L148)-YEAR(INDEX('1 Budget annuel'!$L$14:$L$43,COLUMN()-COLUMN($X$42)+1)))*12+MONTH($L148)-MONTH(INDEX('1 Budget annuel'!$L$14:$L$43,COLUMN()-COLUMN($X$42)+1)),6)=0,DAY($L148)=MIN(DAY(INDEX('1 Budget annuel'!$L$14:$L$43,COLUMN()-COLUMN($X$42)+1)),DAY(EOMONTH($L148,0)))),AND(INDEX('1 Budget annuel'!$E$14:$E$43,COLUMN()-COLUMN($X$42)+1)="Annuelle",MOD((YEAR($L148)-YEAR(INDEX('1 Budget annuel'!$L$14:$L$43,COLUMN()-COLUMN($X$42)+1)))*12+MONTH($L148)-MONTH(INDEX('1 Budget annuel'!$L$14:$L$43,COLUMN()-COLUMN($X$42)+1)),12)=0,DAY($L148)=MIN(DAY(INDEX('1 Budget annuel'!$L$14:$L$43,COLUMN()-COLUMN($X$42)+1)),DAY(EOMONTH($L148,0))))),IF(INDEX('1 Budget annuel'!$B$14:$B$43,COLUMN()-COLUMN($X$42)+1)="Entrée",INDEX('1 Budget annuel'!$I$14:$I$43,COLUMN()-COLUMN($X$42)+1),-INDEX('1 Budget annuel'!$I$14:$I$43,COLUMN()-COLUMN($X$42)+1)),0))</x:f>
        <x:v>0</x:v>
      </x:c>
    </x:row>
    <x:row r="149">
      <x:c r="L149" s="114" t="n">
        <x:f>L148+1</x:f>
        <x:v>46343</x:v>
      </x:c>
      <x:c r="M149" s="115" t="b">
        <x:f>AND(L149&gt;=$D$5,L149&lt;=$D$5+363,MOD(L149-$D$5,7)=0)</x:f>
        <x:v>0</x:v>
      </x:c>
      <x:c r="N149" s="116" t="n">
        <x:f>SUM(X149:BA149)</x:f>
        <x:v>0</x:v>
      </x:c>
      <x:c r="O149" s="116" t="n">
        <x:f>IF(M149,$D$10,0)</x:f>
        <x:v>0</x:v>
      </x:c>
      <x:c r="P149" s="116" t="n">
        <x:f>N149-O149</x:f>
        <x:v>0</x:v>
      </x:c>
      <x:c r="Q149" s="116" t="n">
        <x:f>IF(L149&lt;$D$5,0,IF(L149=$D$5,P149,Q148+P149))</x:f>
        <x:v>0</x:v>
      </x:c>
      <x:c r="R149" s="116" t="n">
        <x:f>IF(L149&lt;$D$5,"",$J$10+Q149)</x:f>
        <x:v>0</x:v>
      </x:c>
      <x:c r="S149" s="116" t="n">
        <x:f>IF($L149&lt;$D$5,"",IF($L149=$D$5,$J$10+$N149-IF($M149,IF(INT(($L149-$D$5)/7)&lt;$A$20,$B$20,$D$10),0),S148+$N149-IF($M149,IF(INT(($L149-$D$5)/7)&lt;$A$20,$B$20,$D$10),0)))</x:f>
        <x:v>0</x:v>
      </x:c>
      <x:c r="T149" s="116" t="n">
        <x:f>IF($L149&lt;$D$5,"",IF($L149=$D$5,$J$10+$N149-IF($M149,IF(INT(($L149-$D$5)/7)&lt;$A$21,$B$21,$D$10),0),T148+$N149-IF($M149,IF(INT(($L149-$D$5)/7)&lt;$A$21,$B$21,$D$10),0)))</x:f>
        <x:v>0</x:v>
      </x:c>
      <x:c r="U149" s="116" t="n">
        <x:f>IF($L149&lt;$D$5,"",IF($L149=$D$5,$J$10+$N149-IF($M149,IF(INT(($L149-$D$5)/7)&lt;$A$22,$B$22,$D$10),0),U148+$N149-IF($M149,IF(INT(($L149-$D$5)/7)&lt;$A$22,$B$22,$D$10),0)))</x:f>
        <x:v>0</x:v>
      </x:c>
      <x:c r="V149" s="116" t="n">
        <x:f>IF($L149&lt;$D$5,"",IF($L149=$D$5,$J$10+$N149-IF($M149,IF(INT(($L149-$D$5)/7)&lt;$A$23,$B$23,$D$10),0),V148+$N149-IF($M149,IF(INT(($L149-$D$5)/7)&lt;$A$23,$B$23,$D$10),0)))</x:f>
        <x:v>0</x:v>
      </x:c>
      <x:c r="W149" s="116" t="n">
        <x:f>IF($L149&lt;$D$5,"",IF($L149=$D$5,$J$10+$N149-IF($M149,IF(INT(($L149-$D$5)/7)&lt;$A$24,$B$24,$D$10),0),W148+$N149-IF($M149,IF(INT(($L149-$D$5)/7)&lt;$A$24,$B$24,$D$10),0)))</x:f>
        <x:v>0</x:v>
      </x:c>
      <x:c r="X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Y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Z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A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B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C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D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E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F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G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H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I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J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K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L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M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N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O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P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Q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R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S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T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U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V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W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X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Y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AZ149" s="116"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c r="BA149" s="117" t="n">
        <x:f>IF(OR(INDEX('1 Budget annuel'!$A$14:$A$43,COLUMN()-COLUMN($X$42)+1)&lt;&gt;"Oui",INDEX('1 Budget annuel'!$L$14:$L$43,COLUMN()-COLUMN($X$42)+1)="",AND(INDEX('1 Budget annuel'!$B$14:$B$43,COLUMN()-COLUMN($X$42)+1)="Sortie",INDEX('1 Budget annuel'!$M$14:$M$43,COLUMN()-COLUMN($X$42)+1)="Oui"),$L149&lt;INDEX('1 Budget annuel'!$L$14:$L$43,COLUMN()-COLUMN($X$42)+1),$L149&gt;$D$5+363),0,IF(OR(AND(INDEX('1 Budget annuel'!$E$14:$E$43,COLUMN()-COLUMN($X$42)+1)="Hebdomadaire",MOD($L149-INDEX('1 Budget annuel'!$L$14:$L$43,COLUMN()-COLUMN($X$42)+1),7)=0),AND(INDEX('1 Budget annuel'!$E$14:$E$43,COLUMN()-COLUMN($X$42)+1)="Toutes les 4 semaines",MOD($L149-INDEX('1 Budget annuel'!$L$14:$L$43,COLUMN()-COLUMN($X$42)+1),28)=0),AND(INDEX('1 Budget annuel'!$E$14:$E$43,COLUMN()-COLUMN($X$42)+1)="Mensuelle",DAY($L149)=MIN(DAY(INDEX('1 Budget annuel'!$L$14:$L$43,COLUMN()-COLUMN($X$42)+1)),DAY(EOMONTH($L149,0)))),AND(INDEX('1 Budget annuel'!$E$14:$E$43,COLUMN()-COLUMN($X$42)+1)="Trimestrielle",MOD((YEAR($L149)-YEAR(INDEX('1 Budget annuel'!$L$14:$L$43,COLUMN()-COLUMN($X$42)+1)))*12+MONTH($L149)-MONTH(INDEX('1 Budget annuel'!$L$14:$L$43,COLUMN()-COLUMN($X$42)+1)),3)=0,DAY($L149)=MIN(DAY(INDEX('1 Budget annuel'!$L$14:$L$43,COLUMN()-COLUMN($X$42)+1)),DAY(EOMONTH($L149,0)))),AND(INDEX('1 Budget annuel'!$E$14:$E$43,COLUMN()-COLUMN($X$42)+1)="Semestrielle",MOD((YEAR($L149)-YEAR(INDEX('1 Budget annuel'!$L$14:$L$43,COLUMN()-COLUMN($X$42)+1)))*12+MONTH($L149)-MONTH(INDEX('1 Budget annuel'!$L$14:$L$43,COLUMN()-COLUMN($X$42)+1)),6)=0,DAY($L149)=MIN(DAY(INDEX('1 Budget annuel'!$L$14:$L$43,COLUMN()-COLUMN($X$42)+1)),DAY(EOMONTH($L149,0)))),AND(INDEX('1 Budget annuel'!$E$14:$E$43,COLUMN()-COLUMN($X$42)+1)="Annuelle",MOD((YEAR($L149)-YEAR(INDEX('1 Budget annuel'!$L$14:$L$43,COLUMN()-COLUMN($X$42)+1)))*12+MONTH($L149)-MONTH(INDEX('1 Budget annuel'!$L$14:$L$43,COLUMN()-COLUMN($X$42)+1)),12)=0,DAY($L149)=MIN(DAY(INDEX('1 Budget annuel'!$L$14:$L$43,COLUMN()-COLUMN($X$42)+1)),DAY(EOMONTH($L149,0))))),IF(INDEX('1 Budget annuel'!$B$14:$B$43,COLUMN()-COLUMN($X$42)+1)="Entrée",INDEX('1 Budget annuel'!$I$14:$I$43,COLUMN()-COLUMN($X$42)+1),-INDEX('1 Budget annuel'!$I$14:$I$43,COLUMN()-COLUMN($X$42)+1)),0))</x:f>
        <x:v>0</x:v>
      </x:c>
    </x:row>
    <x:row r="150">
      <x:c r="L150" s="114" t="n">
        <x:f>L149+1</x:f>
        <x:v>46344</x:v>
      </x:c>
      <x:c r="M150" s="115" t="b">
        <x:f>AND(L150&gt;=$D$5,L150&lt;=$D$5+363,MOD(L150-$D$5,7)=0)</x:f>
        <x:v>0</x:v>
      </x:c>
      <x:c r="N150" s="116" t="n">
        <x:f>SUM(X150:BA150)</x:f>
        <x:v>0</x:v>
      </x:c>
      <x:c r="O150" s="116" t="n">
        <x:f>IF(M150,$D$10,0)</x:f>
        <x:v>0</x:v>
      </x:c>
      <x:c r="P150" s="116" t="n">
        <x:f>N150-O150</x:f>
        <x:v>0</x:v>
      </x:c>
      <x:c r="Q150" s="116" t="n">
        <x:f>IF(L150&lt;$D$5,0,IF(L150=$D$5,P150,Q149+P150))</x:f>
        <x:v>0</x:v>
      </x:c>
      <x:c r="R150" s="116" t="n">
        <x:f>IF(L150&lt;$D$5,"",$J$10+Q150)</x:f>
        <x:v>0</x:v>
      </x:c>
      <x:c r="S150" s="116" t="n">
        <x:f>IF($L150&lt;$D$5,"",IF($L150=$D$5,$J$10+$N150-IF($M150,IF(INT(($L150-$D$5)/7)&lt;$A$20,$B$20,$D$10),0),S149+$N150-IF($M150,IF(INT(($L150-$D$5)/7)&lt;$A$20,$B$20,$D$10),0)))</x:f>
        <x:v>0</x:v>
      </x:c>
      <x:c r="T150" s="116" t="n">
        <x:f>IF($L150&lt;$D$5,"",IF($L150=$D$5,$J$10+$N150-IF($M150,IF(INT(($L150-$D$5)/7)&lt;$A$21,$B$21,$D$10),0),T149+$N150-IF($M150,IF(INT(($L150-$D$5)/7)&lt;$A$21,$B$21,$D$10),0)))</x:f>
        <x:v>0</x:v>
      </x:c>
      <x:c r="U150" s="116" t="n">
        <x:f>IF($L150&lt;$D$5,"",IF($L150=$D$5,$J$10+$N150-IF($M150,IF(INT(($L150-$D$5)/7)&lt;$A$22,$B$22,$D$10),0),U149+$N150-IF($M150,IF(INT(($L150-$D$5)/7)&lt;$A$22,$B$22,$D$10),0)))</x:f>
        <x:v>0</x:v>
      </x:c>
      <x:c r="V150" s="116" t="n">
        <x:f>IF($L150&lt;$D$5,"",IF($L150=$D$5,$J$10+$N150-IF($M150,IF(INT(($L150-$D$5)/7)&lt;$A$23,$B$23,$D$10),0),V149+$N150-IF($M150,IF(INT(($L150-$D$5)/7)&lt;$A$23,$B$23,$D$10),0)))</x:f>
        <x:v>0</x:v>
      </x:c>
      <x:c r="W150" s="116" t="n">
        <x:f>IF($L150&lt;$D$5,"",IF($L150=$D$5,$J$10+$N150-IF($M150,IF(INT(($L150-$D$5)/7)&lt;$A$24,$B$24,$D$10),0),W149+$N150-IF($M150,IF(INT(($L150-$D$5)/7)&lt;$A$24,$B$24,$D$10),0)))</x:f>
        <x:v>0</x:v>
      </x:c>
      <x:c r="X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Y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Z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A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B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C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D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E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F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G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H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I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J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K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L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M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N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O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P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Q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R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S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T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U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V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W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X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Y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AZ150" s="116"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c r="BA150" s="117" t="n">
        <x:f>IF(OR(INDEX('1 Budget annuel'!$A$14:$A$43,COLUMN()-COLUMN($X$42)+1)&lt;&gt;"Oui",INDEX('1 Budget annuel'!$L$14:$L$43,COLUMN()-COLUMN($X$42)+1)="",AND(INDEX('1 Budget annuel'!$B$14:$B$43,COLUMN()-COLUMN($X$42)+1)="Sortie",INDEX('1 Budget annuel'!$M$14:$M$43,COLUMN()-COLUMN($X$42)+1)="Oui"),$L150&lt;INDEX('1 Budget annuel'!$L$14:$L$43,COLUMN()-COLUMN($X$42)+1),$L150&gt;$D$5+363),0,IF(OR(AND(INDEX('1 Budget annuel'!$E$14:$E$43,COLUMN()-COLUMN($X$42)+1)="Hebdomadaire",MOD($L150-INDEX('1 Budget annuel'!$L$14:$L$43,COLUMN()-COLUMN($X$42)+1),7)=0),AND(INDEX('1 Budget annuel'!$E$14:$E$43,COLUMN()-COLUMN($X$42)+1)="Toutes les 4 semaines",MOD($L150-INDEX('1 Budget annuel'!$L$14:$L$43,COLUMN()-COLUMN($X$42)+1),28)=0),AND(INDEX('1 Budget annuel'!$E$14:$E$43,COLUMN()-COLUMN($X$42)+1)="Mensuelle",DAY($L150)=MIN(DAY(INDEX('1 Budget annuel'!$L$14:$L$43,COLUMN()-COLUMN($X$42)+1)),DAY(EOMONTH($L150,0)))),AND(INDEX('1 Budget annuel'!$E$14:$E$43,COLUMN()-COLUMN($X$42)+1)="Trimestrielle",MOD((YEAR($L150)-YEAR(INDEX('1 Budget annuel'!$L$14:$L$43,COLUMN()-COLUMN($X$42)+1)))*12+MONTH($L150)-MONTH(INDEX('1 Budget annuel'!$L$14:$L$43,COLUMN()-COLUMN($X$42)+1)),3)=0,DAY($L150)=MIN(DAY(INDEX('1 Budget annuel'!$L$14:$L$43,COLUMN()-COLUMN($X$42)+1)),DAY(EOMONTH($L150,0)))),AND(INDEX('1 Budget annuel'!$E$14:$E$43,COLUMN()-COLUMN($X$42)+1)="Semestrielle",MOD((YEAR($L150)-YEAR(INDEX('1 Budget annuel'!$L$14:$L$43,COLUMN()-COLUMN($X$42)+1)))*12+MONTH($L150)-MONTH(INDEX('1 Budget annuel'!$L$14:$L$43,COLUMN()-COLUMN($X$42)+1)),6)=0,DAY($L150)=MIN(DAY(INDEX('1 Budget annuel'!$L$14:$L$43,COLUMN()-COLUMN($X$42)+1)),DAY(EOMONTH($L150,0)))),AND(INDEX('1 Budget annuel'!$E$14:$E$43,COLUMN()-COLUMN($X$42)+1)="Annuelle",MOD((YEAR($L150)-YEAR(INDEX('1 Budget annuel'!$L$14:$L$43,COLUMN()-COLUMN($X$42)+1)))*12+MONTH($L150)-MONTH(INDEX('1 Budget annuel'!$L$14:$L$43,COLUMN()-COLUMN($X$42)+1)),12)=0,DAY($L150)=MIN(DAY(INDEX('1 Budget annuel'!$L$14:$L$43,COLUMN()-COLUMN($X$42)+1)),DAY(EOMONTH($L150,0))))),IF(INDEX('1 Budget annuel'!$B$14:$B$43,COLUMN()-COLUMN($X$42)+1)="Entrée",INDEX('1 Budget annuel'!$I$14:$I$43,COLUMN()-COLUMN($X$42)+1),-INDEX('1 Budget annuel'!$I$14:$I$43,COLUMN()-COLUMN($X$42)+1)),0))</x:f>
        <x:v>0</x:v>
      </x:c>
    </x:row>
    <x:row r="151">
      <x:c r="L151" s="114" t="n">
        <x:f>L150+1</x:f>
        <x:v>46345</x:v>
      </x:c>
      <x:c r="M151" s="115" t="b">
        <x:f>AND(L151&gt;=$D$5,L151&lt;=$D$5+363,MOD(L151-$D$5,7)=0)</x:f>
        <x:v>0</x:v>
      </x:c>
      <x:c r="N151" s="116" t="n">
        <x:f>SUM(X151:BA151)</x:f>
        <x:v>0</x:v>
      </x:c>
      <x:c r="O151" s="116" t="n">
        <x:f>IF(M151,$D$10,0)</x:f>
        <x:v>0</x:v>
      </x:c>
      <x:c r="P151" s="116" t="n">
        <x:f>N151-O151</x:f>
        <x:v>0</x:v>
      </x:c>
      <x:c r="Q151" s="116" t="n">
        <x:f>IF(L151&lt;$D$5,0,IF(L151=$D$5,P151,Q150+P151))</x:f>
        <x:v>0</x:v>
      </x:c>
      <x:c r="R151" s="116" t="n">
        <x:f>IF(L151&lt;$D$5,"",$J$10+Q151)</x:f>
        <x:v>0</x:v>
      </x:c>
      <x:c r="S151" s="116" t="n">
        <x:f>IF($L151&lt;$D$5,"",IF($L151=$D$5,$J$10+$N151-IF($M151,IF(INT(($L151-$D$5)/7)&lt;$A$20,$B$20,$D$10),0),S150+$N151-IF($M151,IF(INT(($L151-$D$5)/7)&lt;$A$20,$B$20,$D$10),0)))</x:f>
        <x:v>0</x:v>
      </x:c>
      <x:c r="T151" s="116" t="n">
        <x:f>IF($L151&lt;$D$5,"",IF($L151=$D$5,$J$10+$N151-IF($M151,IF(INT(($L151-$D$5)/7)&lt;$A$21,$B$21,$D$10),0),T150+$N151-IF($M151,IF(INT(($L151-$D$5)/7)&lt;$A$21,$B$21,$D$10),0)))</x:f>
        <x:v>0</x:v>
      </x:c>
      <x:c r="U151" s="116" t="n">
        <x:f>IF($L151&lt;$D$5,"",IF($L151=$D$5,$J$10+$N151-IF($M151,IF(INT(($L151-$D$5)/7)&lt;$A$22,$B$22,$D$10),0),U150+$N151-IF($M151,IF(INT(($L151-$D$5)/7)&lt;$A$22,$B$22,$D$10),0)))</x:f>
        <x:v>0</x:v>
      </x:c>
      <x:c r="V151" s="116" t="n">
        <x:f>IF($L151&lt;$D$5,"",IF($L151=$D$5,$J$10+$N151-IF($M151,IF(INT(($L151-$D$5)/7)&lt;$A$23,$B$23,$D$10),0),V150+$N151-IF($M151,IF(INT(($L151-$D$5)/7)&lt;$A$23,$B$23,$D$10),0)))</x:f>
        <x:v>0</x:v>
      </x:c>
      <x:c r="W151" s="116" t="n">
        <x:f>IF($L151&lt;$D$5,"",IF($L151=$D$5,$J$10+$N151-IF($M151,IF(INT(($L151-$D$5)/7)&lt;$A$24,$B$24,$D$10),0),W150+$N151-IF($M151,IF(INT(($L151-$D$5)/7)&lt;$A$24,$B$24,$D$10),0)))</x:f>
        <x:v>0</x:v>
      </x:c>
      <x:c r="X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Y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Z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A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B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C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D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E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F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G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H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I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J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K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L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M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N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O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P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Q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R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S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T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U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V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W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X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Y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AZ151" s="116"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c r="BA151" s="117" t="n">
        <x:f>IF(OR(INDEX('1 Budget annuel'!$A$14:$A$43,COLUMN()-COLUMN($X$42)+1)&lt;&gt;"Oui",INDEX('1 Budget annuel'!$L$14:$L$43,COLUMN()-COLUMN($X$42)+1)="",AND(INDEX('1 Budget annuel'!$B$14:$B$43,COLUMN()-COLUMN($X$42)+1)="Sortie",INDEX('1 Budget annuel'!$M$14:$M$43,COLUMN()-COLUMN($X$42)+1)="Oui"),$L151&lt;INDEX('1 Budget annuel'!$L$14:$L$43,COLUMN()-COLUMN($X$42)+1),$L151&gt;$D$5+363),0,IF(OR(AND(INDEX('1 Budget annuel'!$E$14:$E$43,COLUMN()-COLUMN($X$42)+1)="Hebdomadaire",MOD($L151-INDEX('1 Budget annuel'!$L$14:$L$43,COLUMN()-COLUMN($X$42)+1),7)=0),AND(INDEX('1 Budget annuel'!$E$14:$E$43,COLUMN()-COLUMN($X$42)+1)="Toutes les 4 semaines",MOD($L151-INDEX('1 Budget annuel'!$L$14:$L$43,COLUMN()-COLUMN($X$42)+1),28)=0),AND(INDEX('1 Budget annuel'!$E$14:$E$43,COLUMN()-COLUMN($X$42)+1)="Mensuelle",DAY($L151)=MIN(DAY(INDEX('1 Budget annuel'!$L$14:$L$43,COLUMN()-COLUMN($X$42)+1)),DAY(EOMONTH($L151,0)))),AND(INDEX('1 Budget annuel'!$E$14:$E$43,COLUMN()-COLUMN($X$42)+1)="Trimestrielle",MOD((YEAR($L151)-YEAR(INDEX('1 Budget annuel'!$L$14:$L$43,COLUMN()-COLUMN($X$42)+1)))*12+MONTH($L151)-MONTH(INDEX('1 Budget annuel'!$L$14:$L$43,COLUMN()-COLUMN($X$42)+1)),3)=0,DAY($L151)=MIN(DAY(INDEX('1 Budget annuel'!$L$14:$L$43,COLUMN()-COLUMN($X$42)+1)),DAY(EOMONTH($L151,0)))),AND(INDEX('1 Budget annuel'!$E$14:$E$43,COLUMN()-COLUMN($X$42)+1)="Semestrielle",MOD((YEAR($L151)-YEAR(INDEX('1 Budget annuel'!$L$14:$L$43,COLUMN()-COLUMN($X$42)+1)))*12+MONTH($L151)-MONTH(INDEX('1 Budget annuel'!$L$14:$L$43,COLUMN()-COLUMN($X$42)+1)),6)=0,DAY($L151)=MIN(DAY(INDEX('1 Budget annuel'!$L$14:$L$43,COLUMN()-COLUMN($X$42)+1)),DAY(EOMONTH($L151,0)))),AND(INDEX('1 Budget annuel'!$E$14:$E$43,COLUMN()-COLUMN($X$42)+1)="Annuelle",MOD((YEAR($L151)-YEAR(INDEX('1 Budget annuel'!$L$14:$L$43,COLUMN()-COLUMN($X$42)+1)))*12+MONTH($L151)-MONTH(INDEX('1 Budget annuel'!$L$14:$L$43,COLUMN()-COLUMN($X$42)+1)),12)=0,DAY($L151)=MIN(DAY(INDEX('1 Budget annuel'!$L$14:$L$43,COLUMN()-COLUMN($X$42)+1)),DAY(EOMONTH($L151,0))))),IF(INDEX('1 Budget annuel'!$B$14:$B$43,COLUMN()-COLUMN($X$42)+1)="Entrée",INDEX('1 Budget annuel'!$I$14:$I$43,COLUMN()-COLUMN($X$42)+1),-INDEX('1 Budget annuel'!$I$14:$I$43,COLUMN()-COLUMN($X$42)+1)),0))</x:f>
        <x:v>0</x:v>
      </x:c>
    </x:row>
    <x:row r="152">
      <x:c r="L152" s="114" t="n">
        <x:f>L151+1</x:f>
        <x:v>46346</x:v>
      </x:c>
      <x:c r="M152" s="115" t="b">
        <x:f>AND(L152&gt;=$D$5,L152&lt;=$D$5+363,MOD(L152-$D$5,7)=0)</x:f>
        <x:v>0</x:v>
      </x:c>
      <x:c r="N152" s="116" t="n">
        <x:f>SUM(X152:BA152)</x:f>
        <x:v>0</x:v>
      </x:c>
      <x:c r="O152" s="116" t="n">
        <x:f>IF(M152,$D$10,0)</x:f>
        <x:v>0</x:v>
      </x:c>
      <x:c r="P152" s="116" t="n">
        <x:f>N152-O152</x:f>
        <x:v>0</x:v>
      </x:c>
      <x:c r="Q152" s="116" t="n">
        <x:f>IF(L152&lt;$D$5,0,IF(L152=$D$5,P152,Q151+P152))</x:f>
        <x:v>0</x:v>
      </x:c>
      <x:c r="R152" s="116" t="n">
        <x:f>IF(L152&lt;$D$5,"",$J$10+Q152)</x:f>
        <x:v>0</x:v>
      </x:c>
      <x:c r="S152" s="116" t="n">
        <x:f>IF($L152&lt;$D$5,"",IF($L152=$D$5,$J$10+$N152-IF($M152,IF(INT(($L152-$D$5)/7)&lt;$A$20,$B$20,$D$10),0),S151+$N152-IF($M152,IF(INT(($L152-$D$5)/7)&lt;$A$20,$B$20,$D$10),0)))</x:f>
        <x:v>0</x:v>
      </x:c>
      <x:c r="T152" s="116" t="n">
        <x:f>IF($L152&lt;$D$5,"",IF($L152=$D$5,$J$10+$N152-IF($M152,IF(INT(($L152-$D$5)/7)&lt;$A$21,$B$21,$D$10),0),T151+$N152-IF($M152,IF(INT(($L152-$D$5)/7)&lt;$A$21,$B$21,$D$10),0)))</x:f>
        <x:v>0</x:v>
      </x:c>
      <x:c r="U152" s="116" t="n">
        <x:f>IF($L152&lt;$D$5,"",IF($L152=$D$5,$J$10+$N152-IF($M152,IF(INT(($L152-$D$5)/7)&lt;$A$22,$B$22,$D$10),0),U151+$N152-IF($M152,IF(INT(($L152-$D$5)/7)&lt;$A$22,$B$22,$D$10),0)))</x:f>
        <x:v>0</x:v>
      </x:c>
      <x:c r="V152" s="116" t="n">
        <x:f>IF($L152&lt;$D$5,"",IF($L152=$D$5,$J$10+$N152-IF($M152,IF(INT(($L152-$D$5)/7)&lt;$A$23,$B$23,$D$10),0),V151+$N152-IF($M152,IF(INT(($L152-$D$5)/7)&lt;$A$23,$B$23,$D$10),0)))</x:f>
        <x:v>0</x:v>
      </x:c>
      <x:c r="W152" s="116" t="n">
        <x:f>IF($L152&lt;$D$5,"",IF($L152=$D$5,$J$10+$N152-IF($M152,IF(INT(($L152-$D$5)/7)&lt;$A$24,$B$24,$D$10),0),W151+$N152-IF($M152,IF(INT(($L152-$D$5)/7)&lt;$A$24,$B$24,$D$10),0)))</x:f>
        <x:v>0</x:v>
      </x:c>
      <x:c r="X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Y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Z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A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B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C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D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E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F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G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H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I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J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K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L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M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N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O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P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Q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R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S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T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U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V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W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X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Y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AZ152" s="116"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c r="BA152" s="117" t="n">
        <x:f>IF(OR(INDEX('1 Budget annuel'!$A$14:$A$43,COLUMN()-COLUMN($X$42)+1)&lt;&gt;"Oui",INDEX('1 Budget annuel'!$L$14:$L$43,COLUMN()-COLUMN($X$42)+1)="",AND(INDEX('1 Budget annuel'!$B$14:$B$43,COLUMN()-COLUMN($X$42)+1)="Sortie",INDEX('1 Budget annuel'!$M$14:$M$43,COLUMN()-COLUMN($X$42)+1)="Oui"),$L152&lt;INDEX('1 Budget annuel'!$L$14:$L$43,COLUMN()-COLUMN($X$42)+1),$L152&gt;$D$5+363),0,IF(OR(AND(INDEX('1 Budget annuel'!$E$14:$E$43,COLUMN()-COLUMN($X$42)+1)="Hebdomadaire",MOD($L152-INDEX('1 Budget annuel'!$L$14:$L$43,COLUMN()-COLUMN($X$42)+1),7)=0),AND(INDEX('1 Budget annuel'!$E$14:$E$43,COLUMN()-COLUMN($X$42)+1)="Toutes les 4 semaines",MOD($L152-INDEX('1 Budget annuel'!$L$14:$L$43,COLUMN()-COLUMN($X$42)+1),28)=0),AND(INDEX('1 Budget annuel'!$E$14:$E$43,COLUMN()-COLUMN($X$42)+1)="Mensuelle",DAY($L152)=MIN(DAY(INDEX('1 Budget annuel'!$L$14:$L$43,COLUMN()-COLUMN($X$42)+1)),DAY(EOMONTH($L152,0)))),AND(INDEX('1 Budget annuel'!$E$14:$E$43,COLUMN()-COLUMN($X$42)+1)="Trimestrielle",MOD((YEAR($L152)-YEAR(INDEX('1 Budget annuel'!$L$14:$L$43,COLUMN()-COLUMN($X$42)+1)))*12+MONTH($L152)-MONTH(INDEX('1 Budget annuel'!$L$14:$L$43,COLUMN()-COLUMN($X$42)+1)),3)=0,DAY($L152)=MIN(DAY(INDEX('1 Budget annuel'!$L$14:$L$43,COLUMN()-COLUMN($X$42)+1)),DAY(EOMONTH($L152,0)))),AND(INDEX('1 Budget annuel'!$E$14:$E$43,COLUMN()-COLUMN($X$42)+1)="Semestrielle",MOD((YEAR($L152)-YEAR(INDEX('1 Budget annuel'!$L$14:$L$43,COLUMN()-COLUMN($X$42)+1)))*12+MONTH($L152)-MONTH(INDEX('1 Budget annuel'!$L$14:$L$43,COLUMN()-COLUMN($X$42)+1)),6)=0,DAY($L152)=MIN(DAY(INDEX('1 Budget annuel'!$L$14:$L$43,COLUMN()-COLUMN($X$42)+1)),DAY(EOMONTH($L152,0)))),AND(INDEX('1 Budget annuel'!$E$14:$E$43,COLUMN()-COLUMN($X$42)+1)="Annuelle",MOD((YEAR($L152)-YEAR(INDEX('1 Budget annuel'!$L$14:$L$43,COLUMN()-COLUMN($X$42)+1)))*12+MONTH($L152)-MONTH(INDEX('1 Budget annuel'!$L$14:$L$43,COLUMN()-COLUMN($X$42)+1)),12)=0,DAY($L152)=MIN(DAY(INDEX('1 Budget annuel'!$L$14:$L$43,COLUMN()-COLUMN($X$42)+1)),DAY(EOMONTH($L152,0))))),IF(INDEX('1 Budget annuel'!$B$14:$B$43,COLUMN()-COLUMN($X$42)+1)="Entrée",INDEX('1 Budget annuel'!$I$14:$I$43,COLUMN()-COLUMN($X$42)+1),-INDEX('1 Budget annuel'!$I$14:$I$43,COLUMN()-COLUMN($X$42)+1)),0))</x:f>
        <x:v>0</x:v>
      </x:c>
    </x:row>
    <x:row r="153">
      <x:c r="L153" s="114" t="n">
        <x:f>L152+1</x:f>
        <x:v>46347</x:v>
      </x:c>
      <x:c r="M153" s="115" t="b">
        <x:f>AND(L153&gt;=$D$5,L153&lt;=$D$5+363,MOD(L153-$D$5,7)=0)</x:f>
        <x:v>1</x:v>
      </x:c>
      <x:c r="N153" s="116" t="n">
        <x:f>SUM(X153:BA153)</x:f>
        <x:v>0</x:v>
      </x:c>
      <x:c r="O153" s="116" t="n">
        <x:f>IF(M153,$D$10,0)</x:f>
        <x:v>0</x:v>
      </x:c>
      <x:c r="P153" s="116" t="n">
        <x:f>N153-O153</x:f>
        <x:v>0</x:v>
      </x:c>
      <x:c r="Q153" s="116" t="n">
        <x:f>IF(L153&lt;$D$5,0,IF(L153=$D$5,P153,Q152+P153))</x:f>
        <x:v>0</x:v>
      </x:c>
      <x:c r="R153" s="116" t="n">
        <x:f>IF(L153&lt;$D$5,"",$J$10+Q153)</x:f>
        <x:v>0</x:v>
      </x:c>
      <x:c r="S153" s="116" t="n">
        <x:f>IF($L153&lt;$D$5,"",IF($L153=$D$5,$J$10+$N153-IF($M153,IF(INT(($L153-$D$5)/7)&lt;$A$20,$B$20,$D$10),0),S152+$N153-IF($M153,IF(INT(($L153-$D$5)/7)&lt;$A$20,$B$20,$D$10),0)))</x:f>
        <x:v>0</x:v>
      </x:c>
      <x:c r="T153" s="116" t="n">
        <x:f>IF($L153&lt;$D$5,"",IF($L153=$D$5,$J$10+$N153-IF($M153,IF(INT(($L153-$D$5)/7)&lt;$A$21,$B$21,$D$10),0),T152+$N153-IF($M153,IF(INT(($L153-$D$5)/7)&lt;$A$21,$B$21,$D$10),0)))</x:f>
        <x:v>0</x:v>
      </x:c>
      <x:c r="U153" s="116" t="n">
        <x:f>IF($L153&lt;$D$5,"",IF($L153=$D$5,$J$10+$N153-IF($M153,IF(INT(($L153-$D$5)/7)&lt;$A$22,$B$22,$D$10),0),U152+$N153-IF($M153,IF(INT(($L153-$D$5)/7)&lt;$A$22,$B$22,$D$10),0)))</x:f>
        <x:v>0</x:v>
      </x:c>
      <x:c r="V153" s="116" t="n">
        <x:f>IF($L153&lt;$D$5,"",IF($L153=$D$5,$J$10+$N153-IF($M153,IF(INT(($L153-$D$5)/7)&lt;$A$23,$B$23,$D$10),0),V152+$N153-IF($M153,IF(INT(($L153-$D$5)/7)&lt;$A$23,$B$23,$D$10),0)))</x:f>
        <x:v>0</x:v>
      </x:c>
      <x:c r="W153" s="116" t="n">
        <x:f>IF($L153&lt;$D$5,"",IF($L153=$D$5,$J$10+$N153-IF($M153,IF(INT(($L153-$D$5)/7)&lt;$A$24,$B$24,$D$10),0),W152+$N153-IF($M153,IF(INT(($L153-$D$5)/7)&lt;$A$24,$B$24,$D$10),0)))</x:f>
        <x:v>0</x:v>
      </x:c>
      <x:c r="X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Y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Z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A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B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C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D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E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F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G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H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I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J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K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L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M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N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O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P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Q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R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S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T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U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V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W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X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Y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AZ153" s="116"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c r="BA153" s="117" t="n">
        <x:f>IF(OR(INDEX('1 Budget annuel'!$A$14:$A$43,COLUMN()-COLUMN($X$42)+1)&lt;&gt;"Oui",INDEX('1 Budget annuel'!$L$14:$L$43,COLUMN()-COLUMN($X$42)+1)="",AND(INDEX('1 Budget annuel'!$B$14:$B$43,COLUMN()-COLUMN($X$42)+1)="Sortie",INDEX('1 Budget annuel'!$M$14:$M$43,COLUMN()-COLUMN($X$42)+1)="Oui"),$L153&lt;INDEX('1 Budget annuel'!$L$14:$L$43,COLUMN()-COLUMN($X$42)+1),$L153&gt;$D$5+363),0,IF(OR(AND(INDEX('1 Budget annuel'!$E$14:$E$43,COLUMN()-COLUMN($X$42)+1)="Hebdomadaire",MOD($L153-INDEX('1 Budget annuel'!$L$14:$L$43,COLUMN()-COLUMN($X$42)+1),7)=0),AND(INDEX('1 Budget annuel'!$E$14:$E$43,COLUMN()-COLUMN($X$42)+1)="Toutes les 4 semaines",MOD($L153-INDEX('1 Budget annuel'!$L$14:$L$43,COLUMN()-COLUMN($X$42)+1),28)=0),AND(INDEX('1 Budget annuel'!$E$14:$E$43,COLUMN()-COLUMN($X$42)+1)="Mensuelle",DAY($L153)=MIN(DAY(INDEX('1 Budget annuel'!$L$14:$L$43,COLUMN()-COLUMN($X$42)+1)),DAY(EOMONTH($L153,0)))),AND(INDEX('1 Budget annuel'!$E$14:$E$43,COLUMN()-COLUMN($X$42)+1)="Trimestrielle",MOD((YEAR($L153)-YEAR(INDEX('1 Budget annuel'!$L$14:$L$43,COLUMN()-COLUMN($X$42)+1)))*12+MONTH($L153)-MONTH(INDEX('1 Budget annuel'!$L$14:$L$43,COLUMN()-COLUMN($X$42)+1)),3)=0,DAY($L153)=MIN(DAY(INDEX('1 Budget annuel'!$L$14:$L$43,COLUMN()-COLUMN($X$42)+1)),DAY(EOMONTH($L153,0)))),AND(INDEX('1 Budget annuel'!$E$14:$E$43,COLUMN()-COLUMN($X$42)+1)="Semestrielle",MOD((YEAR($L153)-YEAR(INDEX('1 Budget annuel'!$L$14:$L$43,COLUMN()-COLUMN($X$42)+1)))*12+MONTH($L153)-MONTH(INDEX('1 Budget annuel'!$L$14:$L$43,COLUMN()-COLUMN($X$42)+1)),6)=0,DAY($L153)=MIN(DAY(INDEX('1 Budget annuel'!$L$14:$L$43,COLUMN()-COLUMN($X$42)+1)),DAY(EOMONTH($L153,0)))),AND(INDEX('1 Budget annuel'!$E$14:$E$43,COLUMN()-COLUMN($X$42)+1)="Annuelle",MOD((YEAR($L153)-YEAR(INDEX('1 Budget annuel'!$L$14:$L$43,COLUMN()-COLUMN($X$42)+1)))*12+MONTH($L153)-MONTH(INDEX('1 Budget annuel'!$L$14:$L$43,COLUMN()-COLUMN($X$42)+1)),12)=0,DAY($L153)=MIN(DAY(INDEX('1 Budget annuel'!$L$14:$L$43,COLUMN()-COLUMN($X$42)+1)),DAY(EOMONTH($L153,0))))),IF(INDEX('1 Budget annuel'!$B$14:$B$43,COLUMN()-COLUMN($X$42)+1)="Entrée",INDEX('1 Budget annuel'!$I$14:$I$43,COLUMN()-COLUMN($X$42)+1),-INDEX('1 Budget annuel'!$I$14:$I$43,COLUMN()-COLUMN($X$42)+1)),0))</x:f>
        <x:v>0</x:v>
      </x:c>
    </x:row>
    <x:row r="154">
      <x:c r="L154" s="114" t="n">
        <x:f>L153+1</x:f>
        <x:v>46348</x:v>
      </x:c>
      <x:c r="M154" s="115" t="b">
        <x:f>AND(L154&gt;=$D$5,L154&lt;=$D$5+363,MOD(L154-$D$5,7)=0)</x:f>
        <x:v>0</x:v>
      </x:c>
      <x:c r="N154" s="116" t="n">
        <x:f>SUM(X154:BA154)</x:f>
        <x:v>0</x:v>
      </x:c>
      <x:c r="O154" s="116" t="n">
        <x:f>IF(M154,$D$10,0)</x:f>
        <x:v>0</x:v>
      </x:c>
      <x:c r="P154" s="116" t="n">
        <x:f>N154-O154</x:f>
        <x:v>0</x:v>
      </x:c>
      <x:c r="Q154" s="116" t="n">
        <x:f>IF(L154&lt;$D$5,0,IF(L154=$D$5,P154,Q153+P154))</x:f>
        <x:v>0</x:v>
      </x:c>
      <x:c r="R154" s="116" t="n">
        <x:f>IF(L154&lt;$D$5,"",$J$10+Q154)</x:f>
        <x:v>0</x:v>
      </x:c>
      <x:c r="S154" s="116" t="n">
        <x:f>IF($L154&lt;$D$5,"",IF($L154=$D$5,$J$10+$N154-IF($M154,IF(INT(($L154-$D$5)/7)&lt;$A$20,$B$20,$D$10),0),S153+$N154-IF($M154,IF(INT(($L154-$D$5)/7)&lt;$A$20,$B$20,$D$10),0)))</x:f>
        <x:v>0</x:v>
      </x:c>
      <x:c r="T154" s="116" t="n">
        <x:f>IF($L154&lt;$D$5,"",IF($L154=$D$5,$J$10+$N154-IF($M154,IF(INT(($L154-$D$5)/7)&lt;$A$21,$B$21,$D$10),0),T153+$N154-IF($M154,IF(INT(($L154-$D$5)/7)&lt;$A$21,$B$21,$D$10),0)))</x:f>
        <x:v>0</x:v>
      </x:c>
      <x:c r="U154" s="116" t="n">
        <x:f>IF($L154&lt;$D$5,"",IF($L154=$D$5,$J$10+$N154-IF($M154,IF(INT(($L154-$D$5)/7)&lt;$A$22,$B$22,$D$10),0),U153+$N154-IF($M154,IF(INT(($L154-$D$5)/7)&lt;$A$22,$B$22,$D$10),0)))</x:f>
        <x:v>0</x:v>
      </x:c>
      <x:c r="V154" s="116" t="n">
        <x:f>IF($L154&lt;$D$5,"",IF($L154=$D$5,$J$10+$N154-IF($M154,IF(INT(($L154-$D$5)/7)&lt;$A$23,$B$23,$D$10),0),V153+$N154-IF($M154,IF(INT(($L154-$D$5)/7)&lt;$A$23,$B$23,$D$10),0)))</x:f>
        <x:v>0</x:v>
      </x:c>
      <x:c r="W154" s="116" t="n">
        <x:f>IF($L154&lt;$D$5,"",IF($L154=$D$5,$J$10+$N154-IF($M154,IF(INT(($L154-$D$5)/7)&lt;$A$24,$B$24,$D$10),0),W153+$N154-IF($M154,IF(INT(($L154-$D$5)/7)&lt;$A$24,$B$24,$D$10),0)))</x:f>
        <x:v>0</x:v>
      </x:c>
      <x:c r="X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Y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Z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A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B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C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D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E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F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G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H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I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J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K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L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M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N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O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P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Q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R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S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T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U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V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W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X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Y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AZ154" s="116"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c r="BA154" s="117" t="n">
        <x:f>IF(OR(INDEX('1 Budget annuel'!$A$14:$A$43,COLUMN()-COLUMN($X$42)+1)&lt;&gt;"Oui",INDEX('1 Budget annuel'!$L$14:$L$43,COLUMN()-COLUMN($X$42)+1)="",AND(INDEX('1 Budget annuel'!$B$14:$B$43,COLUMN()-COLUMN($X$42)+1)="Sortie",INDEX('1 Budget annuel'!$M$14:$M$43,COLUMN()-COLUMN($X$42)+1)="Oui"),$L154&lt;INDEX('1 Budget annuel'!$L$14:$L$43,COLUMN()-COLUMN($X$42)+1),$L154&gt;$D$5+363),0,IF(OR(AND(INDEX('1 Budget annuel'!$E$14:$E$43,COLUMN()-COLUMN($X$42)+1)="Hebdomadaire",MOD($L154-INDEX('1 Budget annuel'!$L$14:$L$43,COLUMN()-COLUMN($X$42)+1),7)=0),AND(INDEX('1 Budget annuel'!$E$14:$E$43,COLUMN()-COLUMN($X$42)+1)="Toutes les 4 semaines",MOD($L154-INDEX('1 Budget annuel'!$L$14:$L$43,COLUMN()-COLUMN($X$42)+1),28)=0),AND(INDEX('1 Budget annuel'!$E$14:$E$43,COLUMN()-COLUMN($X$42)+1)="Mensuelle",DAY($L154)=MIN(DAY(INDEX('1 Budget annuel'!$L$14:$L$43,COLUMN()-COLUMN($X$42)+1)),DAY(EOMONTH($L154,0)))),AND(INDEX('1 Budget annuel'!$E$14:$E$43,COLUMN()-COLUMN($X$42)+1)="Trimestrielle",MOD((YEAR($L154)-YEAR(INDEX('1 Budget annuel'!$L$14:$L$43,COLUMN()-COLUMN($X$42)+1)))*12+MONTH($L154)-MONTH(INDEX('1 Budget annuel'!$L$14:$L$43,COLUMN()-COLUMN($X$42)+1)),3)=0,DAY($L154)=MIN(DAY(INDEX('1 Budget annuel'!$L$14:$L$43,COLUMN()-COLUMN($X$42)+1)),DAY(EOMONTH($L154,0)))),AND(INDEX('1 Budget annuel'!$E$14:$E$43,COLUMN()-COLUMN($X$42)+1)="Semestrielle",MOD((YEAR($L154)-YEAR(INDEX('1 Budget annuel'!$L$14:$L$43,COLUMN()-COLUMN($X$42)+1)))*12+MONTH($L154)-MONTH(INDEX('1 Budget annuel'!$L$14:$L$43,COLUMN()-COLUMN($X$42)+1)),6)=0,DAY($L154)=MIN(DAY(INDEX('1 Budget annuel'!$L$14:$L$43,COLUMN()-COLUMN($X$42)+1)),DAY(EOMONTH($L154,0)))),AND(INDEX('1 Budget annuel'!$E$14:$E$43,COLUMN()-COLUMN($X$42)+1)="Annuelle",MOD((YEAR($L154)-YEAR(INDEX('1 Budget annuel'!$L$14:$L$43,COLUMN()-COLUMN($X$42)+1)))*12+MONTH($L154)-MONTH(INDEX('1 Budget annuel'!$L$14:$L$43,COLUMN()-COLUMN($X$42)+1)),12)=0,DAY($L154)=MIN(DAY(INDEX('1 Budget annuel'!$L$14:$L$43,COLUMN()-COLUMN($X$42)+1)),DAY(EOMONTH($L154,0))))),IF(INDEX('1 Budget annuel'!$B$14:$B$43,COLUMN()-COLUMN($X$42)+1)="Entrée",INDEX('1 Budget annuel'!$I$14:$I$43,COLUMN()-COLUMN($X$42)+1),-INDEX('1 Budget annuel'!$I$14:$I$43,COLUMN()-COLUMN($X$42)+1)),0))</x:f>
        <x:v>0</x:v>
      </x:c>
    </x:row>
    <x:row r="155">
      <x:c r="L155" s="114" t="n">
        <x:f>L154+1</x:f>
        <x:v>46349</x:v>
      </x:c>
      <x:c r="M155" s="115" t="b">
        <x:f>AND(L155&gt;=$D$5,L155&lt;=$D$5+363,MOD(L155-$D$5,7)=0)</x:f>
        <x:v>0</x:v>
      </x:c>
      <x:c r="N155" s="116" t="n">
        <x:f>SUM(X155:BA155)</x:f>
        <x:v>0</x:v>
      </x:c>
      <x:c r="O155" s="116" t="n">
        <x:f>IF(M155,$D$10,0)</x:f>
        <x:v>0</x:v>
      </x:c>
      <x:c r="P155" s="116" t="n">
        <x:f>N155-O155</x:f>
        <x:v>0</x:v>
      </x:c>
      <x:c r="Q155" s="116" t="n">
        <x:f>IF(L155&lt;$D$5,0,IF(L155=$D$5,P155,Q154+P155))</x:f>
        <x:v>0</x:v>
      </x:c>
      <x:c r="R155" s="116" t="n">
        <x:f>IF(L155&lt;$D$5,"",$J$10+Q155)</x:f>
        <x:v>0</x:v>
      </x:c>
      <x:c r="S155" s="116" t="n">
        <x:f>IF($L155&lt;$D$5,"",IF($L155=$D$5,$J$10+$N155-IF($M155,IF(INT(($L155-$D$5)/7)&lt;$A$20,$B$20,$D$10),0),S154+$N155-IF($M155,IF(INT(($L155-$D$5)/7)&lt;$A$20,$B$20,$D$10),0)))</x:f>
        <x:v>0</x:v>
      </x:c>
      <x:c r="T155" s="116" t="n">
        <x:f>IF($L155&lt;$D$5,"",IF($L155=$D$5,$J$10+$N155-IF($M155,IF(INT(($L155-$D$5)/7)&lt;$A$21,$B$21,$D$10),0),T154+$N155-IF($M155,IF(INT(($L155-$D$5)/7)&lt;$A$21,$B$21,$D$10),0)))</x:f>
        <x:v>0</x:v>
      </x:c>
      <x:c r="U155" s="116" t="n">
        <x:f>IF($L155&lt;$D$5,"",IF($L155=$D$5,$J$10+$N155-IF($M155,IF(INT(($L155-$D$5)/7)&lt;$A$22,$B$22,$D$10),0),U154+$N155-IF($M155,IF(INT(($L155-$D$5)/7)&lt;$A$22,$B$22,$D$10),0)))</x:f>
        <x:v>0</x:v>
      </x:c>
      <x:c r="V155" s="116" t="n">
        <x:f>IF($L155&lt;$D$5,"",IF($L155=$D$5,$J$10+$N155-IF($M155,IF(INT(($L155-$D$5)/7)&lt;$A$23,$B$23,$D$10),0),V154+$N155-IF($M155,IF(INT(($L155-$D$5)/7)&lt;$A$23,$B$23,$D$10),0)))</x:f>
        <x:v>0</x:v>
      </x:c>
      <x:c r="W155" s="116" t="n">
        <x:f>IF($L155&lt;$D$5,"",IF($L155=$D$5,$J$10+$N155-IF($M155,IF(INT(($L155-$D$5)/7)&lt;$A$24,$B$24,$D$10),0),W154+$N155-IF($M155,IF(INT(($L155-$D$5)/7)&lt;$A$24,$B$24,$D$10),0)))</x:f>
        <x:v>0</x:v>
      </x:c>
      <x:c r="X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Y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Z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A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B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C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D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E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F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G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H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I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J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K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L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M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N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O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P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Q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R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S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T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U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V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W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X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Y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AZ155" s="116"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c r="BA155" s="117" t="n">
        <x:f>IF(OR(INDEX('1 Budget annuel'!$A$14:$A$43,COLUMN()-COLUMN($X$42)+1)&lt;&gt;"Oui",INDEX('1 Budget annuel'!$L$14:$L$43,COLUMN()-COLUMN($X$42)+1)="",AND(INDEX('1 Budget annuel'!$B$14:$B$43,COLUMN()-COLUMN($X$42)+1)="Sortie",INDEX('1 Budget annuel'!$M$14:$M$43,COLUMN()-COLUMN($X$42)+1)="Oui"),$L155&lt;INDEX('1 Budget annuel'!$L$14:$L$43,COLUMN()-COLUMN($X$42)+1),$L155&gt;$D$5+363),0,IF(OR(AND(INDEX('1 Budget annuel'!$E$14:$E$43,COLUMN()-COLUMN($X$42)+1)="Hebdomadaire",MOD($L155-INDEX('1 Budget annuel'!$L$14:$L$43,COLUMN()-COLUMN($X$42)+1),7)=0),AND(INDEX('1 Budget annuel'!$E$14:$E$43,COLUMN()-COLUMN($X$42)+1)="Toutes les 4 semaines",MOD($L155-INDEX('1 Budget annuel'!$L$14:$L$43,COLUMN()-COLUMN($X$42)+1),28)=0),AND(INDEX('1 Budget annuel'!$E$14:$E$43,COLUMN()-COLUMN($X$42)+1)="Mensuelle",DAY($L155)=MIN(DAY(INDEX('1 Budget annuel'!$L$14:$L$43,COLUMN()-COLUMN($X$42)+1)),DAY(EOMONTH($L155,0)))),AND(INDEX('1 Budget annuel'!$E$14:$E$43,COLUMN()-COLUMN($X$42)+1)="Trimestrielle",MOD((YEAR($L155)-YEAR(INDEX('1 Budget annuel'!$L$14:$L$43,COLUMN()-COLUMN($X$42)+1)))*12+MONTH($L155)-MONTH(INDEX('1 Budget annuel'!$L$14:$L$43,COLUMN()-COLUMN($X$42)+1)),3)=0,DAY($L155)=MIN(DAY(INDEX('1 Budget annuel'!$L$14:$L$43,COLUMN()-COLUMN($X$42)+1)),DAY(EOMONTH($L155,0)))),AND(INDEX('1 Budget annuel'!$E$14:$E$43,COLUMN()-COLUMN($X$42)+1)="Semestrielle",MOD((YEAR($L155)-YEAR(INDEX('1 Budget annuel'!$L$14:$L$43,COLUMN()-COLUMN($X$42)+1)))*12+MONTH($L155)-MONTH(INDEX('1 Budget annuel'!$L$14:$L$43,COLUMN()-COLUMN($X$42)+1)),6)=0,DAY($L155)=MIN(DAY(INDEX('1 Budget annuel'!$L$14:$L$43,COLUMN()-COLUMN($X$42)+1)),DAY(EOMONTH($L155,0)))),AND(INDEX('1 Budget annuel'!$E$14:$E$43,COLUMN()-COLUMN($X$42)+1)="Annuelle",MOD((YEAR($L155)-YEAR(INDEX('1 Budget annuel'!$L$14:$L$43,COLUMN()-COLUMN($X$42)+1)))*12+MONTH($L155)-MONTH(INDEX('1 Budget annuel'!$L$14:$L$43,COLUMN()-COLUMN($X$42)+1)),12)=0,DAY($L155)=MIN(DAY(INDEX('1 Budget annuel'!$L$14:$L$43,COLUMN()-COLUMN($X$42)+1)),DAY(EOMONTH($L155,0))))),IF(INDEX('1 Budget annuel'!$B$14:$B$43,COLUMN()-COLUMN($X$42)+1)="Entrée",INDEX('1 Budget annuel'!$I$14:$I$43,COLUMN()-COLUMN($X$42)+1),-INDEX('1 Budget annuel'!$I$14:$I$43,COLUMN()-COLUMN($X$42)+1)),0))</x:f>
        <x:v>0</x:v>
      </x:c>
    </x:row>
    <x:row r="156">
      <x:c r="L156" s="114" t="n">
        <x:f>L155+1</x:f>
        <x:v>46350</x:v>
      </x:c>
      <x:c r="M156" s="115" t="b">
        <x:f>AND(L156&gt;=$D$5,L156&lt;=$D$5+363,MOD(L156-$D$5,7)=0)</x:f>
        <x:v>0</x:v>
      </x:c>
      <x:c r="N156" s="116" t="n">
        <x:f>SUM(X156:BA156)</x:f>
        <x:v>0</x:v>
      </x:c>
      <x:c r="O156" s="116" t="n">
        <x:f>IF(M156,$D$10,0)</x:f>
        <x:v>0</x:v>
      </x:c>
      <x:c r="P156" s="116" t="n">
        <x:f>N156-O156</x:f>
        <x:v>0</x:v>
      </x:c>
      <x:c r="Q156" s="116" t="n">
        <x:f>IF(L156&lt;$D$5,0,IF(L156=$D$5,P156,Q155+P156))</x:f>
        <x:v>0</x:v>
      </x:c>
      <x:c r="R156" s="116" t="n">
        <x:f>IF(L156&lt;$D$5,"",$J$10+Q156)</x:f>
        <x:v>0</x:v>
      </x:c>
      <x:c r="S156" s="116" t="n">
        <x:f>IF($L156&lt;$D$5,"",IF($L156=$D$5,$J$10+$N156-IF($M156,IF(INT(($L156-$D$5)/7)&lt;$A$20,$B$20,$D$10),0),S155+$N156-IF($M156,IF(INT(($L156-$D$5)/7)&lt;$A$20,$B$20,$D$10),0)))</x:f>
        <x:v>0</x:v>
      </x:c>
      <x:c r="T156" s="116" t="n">
        <x:f>IF($L156&lt;$D$5,"",IF($L156=$D$5,$J$10+$N156-IF($M156,IF(INT(($L156-$D$5)/7)&lt;$A$21,$B$21,$D$10),0),T155+$N156-IF($M156,IF(INT(($L156-$D$5)/7)&lt;$A$21,$B$21,$D$10),0)))</x:f>
        <x:v>0</x:v>
      </x:c>
      <x:c r="U156" s="116" t="n">
        <x:f>IF($L156&lt;$D$5,"",IF($L156=$D$5,$J$10+$N156-IF($M156,IF(INT(($L156-$D$5)/7)&lt;$A$22,$B$22,$D$10),0),U155+$N156-IF($M156,IF(INT(($L156-$D$5)/7)&lt;$A$22,$B$22,$D$10),0)))</x:f>
        <x:v>0</x:v>
      </x:c>
      <x:c r="V156" s="116" t="n">
        <x:f>IF($L156&lt;$D$5,"",IF($L156=$D$5,$J$10+$N156-IF($M156,IF(INT(($L156-$D$5)/7)&lt;$A$23,$B$23,$D$10),0),V155+$N156-IF($M156,IF(INT(($L156-$D$5)/7)&lt;$A$23,$B$23,$D$10),0)))</x:f>
        <x:v>0</x:v>
      </x:c>
      <x:c r="W156" s="116" t="n">
        <x:f>IF($L156&lt;$D$5,"",IF($L156=$D$5,$J$10+$N156-IF($M156,IF(INT(($L156-$D$5)/7)&lt;$A$24,$B$24,$D$10),0),W155+$N156-IF($M156,IF(INT(($L156-$D$5)/7)&lt;$A$24,$B$24,$D$10),0)))</x:f>
        <x:v>0</x:v>
      </x:c>
      <x:c r="X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Y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Z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A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B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C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D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E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F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G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H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I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J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K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L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M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N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O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P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Q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R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S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T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U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V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W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X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Y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AZ156" s="116"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c r="BA156" s="117" t="n">
        <x:f>IF(OR(INDEX('1 Budget annuel'!$A$14:$A$43,COLUMN()-COLUMN($X$42)+1)&lt;&gt;"Oui",INDEX('1 Budget annuel'!$L$14:$L$43,COLUMN()-COLUMN($X$42)+1)="",AND(INDEX('1 Budget annuel'!$B$14:$B$43,COLUMN()-COLUMN($X$42)+1)="Sortie",INDEX('1 Budget annuel'!$M$14:$M$43,COLUMN()-COLUMN($X$42)+1)="Oui"),$L156&lt;INDEX('1 Budget annuel'!$L$14:$L$43,COLUMN()-COLUMN($X$42)+1),$L156&gt;$D$5+363),0,IF(OR(AND(INDEX('1 Budget annuel'!$E$14:$E$43,COLUMN()-COLUMN($X$42)+1)="Hebdomadaire",MOD($L156-INDEX('1 Budget annuel'!$L$14:$L$43,COLUMN()-COLUMN($X$42)+1),7)=0),AND(INDEX('1 Budget annuel'!$E$14:$E$43,COLUMN()-COLUMN($X$42)+1)="Toutes les 4 semaines",MOD($L156-INDEX('1 Budget annuel'!$L$14:$L$43,COLUMN()-COLUMN($X$42)+1),28)=0),AND(INDEX('1 Budget annuel'!$E$14:$E$43,COLUMN()-COLUMN($X$42)+1)="Mensuelle",DAY($L156)=MIN(DAY(INDEX('1 Budget annuel'!$L$14:$L$43,COLUMN()-COLUMN($X$42)+1)),DAY(EOMONTH($L156,0)))),AND(INDEX('1 Budget annuel'!$E$14:$E$43,COLUMN()-COLUMN($X$42)+1)="Trimestrielle",MOD((YEAR($L156)-YEAR(INDEX('1 Budget annuel'!$L$14:$L$43,COLUMN()-COLUMN($X$42)+1)))*12+MONTH($L156)-MONTH(INDEX('1 Budget annuel'!$L$14:$L$43,COLUMN()-COLUMN($X$42)+1)),3)=0,DAY($L156)=MIN(DAY(INDEX('1 Budget annuel'!$L$14:$L$43,COLUMN()-COLUMN($X$42)+1)),DAY(EOMONTH($L156,0)))),AND(INDEX('1 Budget annuel'!$E$14:$E$43,COLUMN()-COLUMN($X$42)+1)="Semestrielle",MOD((YEAR($L156)-YEAR(INDEX('1 Budget annuel'!$L$14:$L$43,COLUMN()-COLUMN($X$42)+1)))*12+MONTH($L156)-MONTH(INDEX('1 Budget annuel'!$L$14:$L$43,COLUMN()-COLUMN($X$42)+1)),6)=0,DAY($L156)=MIN(DAY(INDEX('1 Budget annuel'!$L$14:$L$43,COLUMN()-COLUMN($X$42)+1)),DAY(EOMONTH($L156,0)))),AND(INDEX('1 Budget annuel'!$E$14:$E$43,COLUMN()-COLUMN($X$42)+1)="Annuelle",MOD((YEAR($L156)-YEAR(INDEX('1 Budget annuel'!$L$14:$L$43,COLUMN()-COLUMN($X$42)+1)))*12+MONTH($L156)-MONTH(INDEX('1 Budget annuel'!$L$14:$L$43,COLUMN()-COLUMN($X$42)+1)),12)=0,DAY($L156)=MIN(DAY(INDEX('1 Budget annuel'!$L$14:$L$43,COLUMN()-COLUMN($X$42)+1)),DAY(EOMONTH($L156,0))))),IF(INDEX('1 Budget annuel'!$B$14:$B$43,COLUMN()-COLUMN($X$42)+1)="Entrée",INDEX('1 Budget annuel'!$I$14:$I$43,COLUMN()-COLUMN($X$42)+1),-INDEX('1 Budget annuel'!$I$14:$I$43,COLUMN()-COLUMN($X$42)+1)),0))</x:f>
        <x:v>0</x:v>
      </x:c>
    </x:row>
    <x:row r="157">
      <x:c r="L157" s="114" t="n">
        <x:f>L156+1</x:f>
        <x:v>46351</x:v>
      </x:c>
      <x:c r="M157" s="115" t="b">
        <x:f>AND(L157&gt;=$D$5,L157&lt;=$D$5+363,MOD(L157-$D$5,7)=0)</x:f>
        <x:v>0</x:v>
      </x:c>
      <x:c r="N157" s="116" t="n">
        <x:f>SUM(X157:BA157)</x:f>
        <x:v>0</x:v>
      </x:c>
      <x:c r="O157" s="116" t="n">
        <x:f>IF(M157,$D$10,0)</x:f>
        <x:v>0</x:v>
      </x:c>
      <x:c r="P157" s="116" t="n">
        <x:f>N157-O157</x:f>
        <x:v>0</x:v>
      </x:c>
      <x:c r="Q157" s="116" t="n">
        <x:f>IF(L157&lt;$D$5,0,IF(L157=$D$5,P157,Q156+P157))</x:f>
        <x:v>0</x:v>
      </x:c>
      <x:c r="R157" s="116" t="n">
        <x:f>IF(L157&lt;$D$5,"",$J$10+Q157)</x:f>
        <x:v>0</x:v>
      </x:c>
      <x:c r="S157" s="116" t="n">
        <x:f>IF($L157&lt;$D$5,"",IF($L157=$D$5,$J$10+$N157-IF($M157,IF(INT(($L157-$D$5)/7)&lt;$A$20,$B$20,$D$10),0),S156+$N157-IF($M157,IF(INT(($L157-$D$5)/7)&lt;$A$20,$B$20,$D$10),0)))</x:f>
        <x:v>0</x:v>
      </x:c>
      <x:c r="T157" s="116" t="n">
        <x:f>IF($L157&lt;$D$5,"",IF($L157=$D$5,$J$10+$N157-IF($M157,IF(INT(($L157-$D$5)/7)&lt;$A$21,$B$21,$D$10),0),T156+$N157-IF($M157,IF(INT(($L157-$D$5)/7)&lt;$A$21,$B$21,$D$10),0)))</x:f>
        <x:v>0</x:v>
      </x:c>
      <x:c r="U157" s="116" t="n">
        <x:f>IF($L157&lt;$D$5,"",IF($L157=$D$5,$J$10+$N157-IF($M157,IF(INT(($L157-$D$5)/7)&lt;$A$22,$B$22,$D$10),0),U156+$N157-IF($M157,IF(INT(($L157-$D$5)/7)&lt;$A$22,$B$22,$D$10),0)))</x:f>
        <x:v>0</x:v>
      </x:c>
      <x:c r="V157" s="116" t="n">
        <x:f>IF($L157&lt;$D$5,"",IF($L157=$D$5,$J$10+$N157-IF($M157,IF(INT(($L157-$D$5)/7)&lt;$A$23,$B$23,$D$10),0),V156+$N157-IF($M157,IF(INT(($L157-$D$5)/7)&lt;$A$23,$B$23,$D$10),0)))</x:f>
        <x:v>0</x:v>
      </x:c>
      <x:c r="W157" s="116" t="n">
        <x:f>IF($L157&lt;$D$5,"",IF($L157=$D$5,$J$10+$N157-IF($M157,IF(INT(($L157-$D$5)/7)&lt;$A$24,$B$24,$D$10),0),W156+$N157-IF($M157,IF(INT(($L157-$D$5)/7)&lt;$A$24,$B$24,$D$10),0)))</x:f>
        <x:v>0</x:v>
      </x:c>
      <x:c r="X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Y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Z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A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B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C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D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E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F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G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H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I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J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K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L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M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N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O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P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Q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R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S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T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U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V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W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X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Y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AZ157" s="116"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c r="BA157" s="117" t="n">
        <x:f>IF(OR(INDEX('1 Budget annuel'!$A$14:$A$43,COLUMN()-COLUMN($X$42)+1)&lt;&gt;"Oui",INDEX('1 Budget annuel'!$L$14:$L$43,COLUMN()-COLUMN($X$42)+1)="",AND(INDEX('1 Budget annuel'!$B$14:$B$43,COLUMN()-COLUMN($X$42)+1)="Sortie",INDEX('1 Budget annuel'!$M$14:$M$43,COLUMN()-COLUMN($X$42)+1)="Oui"),$L157&lt;INDEX('1 Budget annuel'!$L$14:$L$43,COLUMN()-COLUMN($X$42)+1),$L157&gt;$D$5+363),0,IF(OR(AND(INDEX('1 Budget annuel'!$E$14:$E$43,COLUMN()-COLUMN($X$42)+1)="Hebdomadaire",MOD($L157-INDEX('1 Budget annuel'!$L$14:$L$43,COLUMN()-COLUMN($X$42)+1),7)=0),AND(INDEX('1 Budget annuel'!$E$14:$E$43,COLUMN()-COLUMN($X$42)+1)="Toutes les 4 semaines",MOD($L157-INDEX('1 Budget annuel'!$L$14:$L$43,COLUMN()-COLUMN($X$42)+1),28)=0),AND(INDEX('1 Budget annuel'!$E$14:$E$43,COLUMN()-COLUMN($X$42)+1)="Mensuelle",DAY($L157)=MIN(DAY(INDEX('1 Budget annuel'!$L$14:$L$43,COLUMN()-COLUMN($X$42)+1)),DAY(EOMONTH($L157,0)))),AND(INDEX('1 Budget annuel'!$E$14:$E$43,COLUMN()-COLUMN($X$42)+1)="Trimestrielle",MOD((YEAR($L157)-YEAR(INDEX('1 Budget annuel'!$L$14:$L$43,COLUMN()-COLUMN($X$42)+1)))*12+MONTH($L157)-MONTH(INDEX('1 Budget annuel'!$L$14:$L$43,COLUMN()-COLUMN($X$42)+1)),3)=0,DAY($L157)=MIN(DAY(INDEX('1 Budget annuel'!$L$14:$L$43,COLUMN()-COLUMN($X$42)+1)),DAY(EOMONTH($L157,0)))),AND(INDEX('1 Budget annuel'!$E$14:$E$43,COLUMN()-COLUMN($X$42)+1)="Semestrielle",MOD((YEAR($L157)-YEAR(INDEX('1 Budget annuel'!$L$14:$L$43,COLUMN()-COLUMN($X$42)+1)))*12+MONTH($L157)-MONTH(INDEX('1 Budget annuel'!$L$14:$L$43,COLUMN()-COLUMN($X$42)+1)),6)=0,DAY($L157)=MIN(DAY(INDEX('1 Budget annuel'!$L$14:$L$43,COLUMN()-COLUMN($X$42)+1)),DAY(EOMONTH($L157,0)))),AND(INDEX('1 Budget annuel'!$E$14:$E$43,COLUMN()-COLUMN($X$42)+1)="Annuelle",MOD((YEAR($L157)-YEAR(INDEX('1 Budget annuel'!$L$14:$L$43,COLUMN()-COLUMN($X$42)+1)))*12+MONTH($L157)-MONTH(INDEX('1 Budget annuel'!$L$14:$L$43,COLUMN()-COLUMN($X$42)+1)),12)=0,DAY($L157)=MIN(DAY(INDEX('1 Budget annuel'!$L$14:$L$43,COLUMN()-COLUMN($X$42)+1)),DAY(EOMONTH($L157,0))))),IF(INDEX('1 Budget annuel'!$B$14:$B$43,COLUMN()-COLUMN($X$42)+1)="Entrée",INDEX('1 Budget annuel'!$I$14:$I$43,COLUMN()-COLUMN($X$42)+1),-INDEX('1 Budget annuel'!$I$14:$I$43,COLUMN()-COLUMN($X$42)+1)),0))</x:f>
        <x:v>0</x:v>
      </x:c>
    </x:row>
    <x:row r="158">
      <x:c r="L158" s="114" t="n">
        <x:f>L157+1</x:f>
        <x:v>46352</x:v>
      </x:c>
      <x:c r="M158" s="115" t="b">
        <x:f>AND(L158&gt;=$D$5,L158&lt;=$D$5+363,MOD(L158-$D$5,7)=0)</x:f>
        <x:v>0</x:v>
      </x:c>
      <x:c r="N158" s="116" t="n">
        <x:f>SUM(X158:BA158)</x:f>
        <x:v>0</x:v>
      </x:c>
      <x:c r="O158" s="116" t="n">
        <x:f>IF(M158,$D$10,0)</x:f>
        <x:v>0</x:v>
      </x:c>
      <x:c r="P158" s="116" t="n">
        <x:f>N158-O158</x:f>
        <x:v>0</x:v>
      </x:c>
      <x:c r="Q158" s="116" t="n">
        <x:f>IF(L158&lt;$D$5,0,IF(L158=$D$5,P158,Q157+P158))</x:f>
        <x:v>0</x:v>
      </x:c>
      <x:c r="R158" s="116" t="n">
        <x:f>IF(L158&lt;$D$5,"",$J$10+Q158)</x:f>
        <x:v>0</x:v>
      </x:c>
      <x:c r="S158" s="116" t="n">
        <x:f>IF($L158&lt;$D$5,"",IF($L158=$D$5,$J$10+$N158-IF($M158,IF(INT(($L158-$D$5)/7)&lt;$A$20,$B$20,$D$10),0),S157+$N158-IF($M158,IF(INT(($L158-$D$5)/7)&lt;$A$20,$B$20,$D$10),0)))</x:f>
        <x:v>0</x:v>
      </x:c>
      <x:c r="T158" s="116" t="n">
        <x:f>IF($L158&lt;$D$5,"",IF($L158=$D$5,$J$10+$N158-IF($M158,IF(INT(($L158-$D$5)/7)&lt;$A$21,$B$21,$D$10),0),T157+$N158-IF($M158,IF(INT(($L158-$D$5)/7)&lt;$A$21,$B$21,$D$10),0)))</x:f>
        <x:v>0</x:v>
      </x:c>
      <x:c r="U158" s="116" t="n">
        <x:f>IF($L158&lt;$D$5,"",IF($L158=$D$5,$J$10+$N158-IF($M158,IF(INT(($L158-$D$5)/7)&lt;$A$22,$B$22,$D$10),0),U157+$N158-IF($M158,IF(INT(($L158-$D$5)/7)&lt;$A$22,$B$22,$D$10),0)))</x:f>
        <x:v>0</x:v>
      </x:c>
      <x:c r="V158" s="116" t="n">
        <x:f>IF($L158&lt;$D$5,"",IF($L158=$D$5,$J$10+$N158-IF($M158,IF(INT(($L158-$D$5)/7)&lt;$A$23,$B$23,$D$10),0),V157+$N158-IF($M158,IF(INT(($L158-$D$5)/7)&lt;$A$23,$B$23,$D$10),0)))</x:f>
        <x:v>0</x:v>
      </x:c>
      <x:c r="W158" s="116" t="n">
        <x:f>IF($L158&lt;$D$5,"",IF($L158=$D$5,$J$10+$N158-IF($M158,IF(INT(($L158-$D$5)/7)&lt;$A$24,$B$24,$D$10),0),W157+$N158-IF($M158,IF(INT(($L158-$D$5)/7)&lt;$A$24,$B$24,$D$10),0)))</x:f>
        <x:v>0</x:v>
      </x:c>
      <x:c r="X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Y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Z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A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B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C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D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E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F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G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H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I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J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K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L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M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N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O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P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Q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R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S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T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U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V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W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X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Y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AZ158" s="116"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c r="BA158" s="117" t="n">
        <x:f>IF(OR(INDEX('1 Budget annuel'!$A$14:$A$43,COLUMN()-COLUMN($X$42)+1)&lt;&gt;"Oui",INDEX('1 Budget annuel'!$L$14:$L$43,COLUMN()-COLUMN($X$42)+1)="",AND(INDEX('1 Budget annuel'!$B$14:$B$43,COLUMN()-COLUMN($X$42)+1)="Sortie",INDEX('1 Budget annuel'!$M$14:$M$43,COLUMN()-COLUMN($X$42)+1)="Oui"),$L158&lt;INDEX('1 Budget annuel'!$L$14:$L$43,COLUMN()-COLUMN($X$42)+1),$L158&gt;$D$5+363),0,IF(OR(AND(INDEX('1 Budget annuel'!$E$14:$E$43,COLUMN()-COLUMN($X$42)+1)="Hebdomadaire",MOD($L158-INDEX('1 Budget annuel'!$L$14:$L$43,COLUMN()-COLUMN($X$42)+1),7)=0),AND(INDEX('1 Budget annuel'!$E$14:$E$43,COLUMN()-COLUMN($X$42)+1)="Toutes les 4 semaines",MOD($L158-INDEX('1 Budget annuel'!$L$14:$L$43,COLUMN()-COLUMN($X$42)+1),28)=0),AND(INDEX('1 Budget annuel'!$E$14:$E$43,COLUMN()-COLUMN($X$42)+1)="Mensuelle",DAY($L158)=MIN(DAY(INDEX('1 Budget annuel'!$L$14:$L$43,COLUMN()-COLUMN($X$42)+1)),DAY(EOMONTH($L158,0)))),AND(INDEX('1 Budget annuel'!$E$14:$E$43,COLUMN()-COLUMN($X$42)+1)="Trimestrielle",MOD((YEAR($L158)-YEAR(INDEX('1 Budget annuel'!$L$14:$L$43,COLUMN()-COLUMN($X$42)+1)))*12+MONTH($L158)-MONTH(INDEX('1 Budget annuel'!$L$14:$L$43,COLUMN()-COLUMN($X$42)+1)),3)=0,DAY($L158)=MIN(DAY(INDEX('1 Budget annuel'!$L$14:$L$43,COLUMN()-COLUMN($X$42)+1)),DAY(EOMONTH($L158,0)))),AND(INDEX('1 Budget annuel'!$E$14:$E$43,COLUMN()-COLUMN($X$42)+1)="Semestrielle",MOD((YEAR($L158)-YEAR(INDEX('1 Budget annuel'!$L$14:$L$43,COLUMN()-COLUMN($X$42)+1)))*12+MONTH($L158)-MONTH(INDEX('1 Budget annuel'!$L$14:$L$43,COLUMN()-COLUMN($X$42)+1)),6)=0,DAY($L158)=MIN(DAY(INDEX('1 Budget annuel'!$L$14:$L$43,COLUMN()-COLUMN($X$42)+1)),DAY(EOMONTH($L158,0)))),AND(INDEX('1 Budget annuel'!$E$14:$E$43,COLUMN()-COLUMN($X$42)+1)="Annuelle",MOD((YEAR($L158)-YEAR(INDEX('1 Budget annuel'!$L$14:$L$43,COLUMN()-COLUMN($X$42)+1)))*12+MONTH($L158)-MONTH(INDEX('1 Budget annuel'!$L$14:$L$43,COLUMN()-COLUMN($X$42)+1)),12)=0,DAY($L158)=MIN(DAY(INDEX('1 Budget annuel'!$L$14:$L$43,COLUMN()-COLUMN($X$42)+1)),DAY(EOMONTH($L158,0))))),IF(INDEX('1 Budget annuel'!$B$14:$B$43,COLUMN()-COLUMN($X$42)+1)="Entrée",INDEX('1 Budget annuel'!$I$14:$I$43,COLUMN()-COLUMN($X$42)+1),-INDEX('1 Budget annuel'!$I$14:$I$43,COLUMN()-COLUMN($X$42)+1)),0))</x:f>
        <x:v>0</x:v>
      </x:c>
    </x:row>
    <x:row r="159">
      <x:c r="L159" s="114" t="n">
        <x:f>L158+1</x:f>
        <x:v>46353</x:v>
      </x:c>
      <x:c r="M159" s="115" t="b">
        <x:f>AND(L159&gt;=$D$5,L159&lt;=$D$5+363,MOD(L159-$D$5,7)=0)</x:f>
        <x:v>0</x:v>
      </x:c>
      <x:c r="N159" s="116" t="n">
        <x:f>SUM(X159:BA159)</x:f>
        <x:v>0</x:v>
      </x:c>
      <x:c r="O159" s="116" t="n">
        <x:f>IF(M159,$D$10,0)</x:f>
        <x:v>0</x:v>
      </x:c>
      <x:c r="P159" s="116" t="n">
        <x:f>N159-O159</x:f>
        <x:v>0</x:v>
      </x:c>
      <x:c r="Q159" s="116" t="n">
        <x:f>IF(L159&lt;$D$5,0,IF(L159=$D$5,P159,Q158+P159))</x:f>
        <x:v>0</x:v>
      </x:c>
      <x:c r="R159" s="116" t="n">
        <x:f>IF(L159&lt;$D$5,"",$J$10+Q159)</x:f>
        <x:v>0</x:v>
      </x:c>
      <x:c r="S159" s="116" t="n">
        <x:f>IF($L159&lt;$D$5,"",IF($L159=$D$5,$J$10+$N159-IF($M159,IF(INT(($L159-$D$5)/7)&lt;$A$20,$B$20,$D$10),0),S158+$N159-IF($M159,IF(INT(($L159-$D$5)/7)&lt;$A$20,$B$20,$D$10),0)))</x:f>
        <x:v>0</x:v>
      </x:c>
      <x:c r="T159" s="116" t="n">
        <x:f>IF($L159&lt;$D$5,"",IF($L159=$D$5,$J$10+$N159-IF($M159,IF(INT(($L159-$D$5)/7)&lt;$A$21,$B$21,$D$10),0),T158+$N159-IF($M159,IF(INT(($L159-$D$5)/7)&lt;$A$21,$B$21,$D$10),0)))</x:f>
        <x:v>0</x:v>
      </x:c>
      <x:c r="U159" s="116" t="n">
        <x:f>IF($L159&lt;$D$5,"",IF($L159=$D$5,$J$10+$N159-IF($M159,IF(INT(($L159-$D$5)/7)&lt;$A$22,$B$22,$D$10),0),U158+$N159-IF($M159,IF(INT(($L159-$D$5)/7)&lt;$A$22,$B$22,$D$10),0)))</x:f>
        <x:v>0</x:v>
      </x:c>
      <x:c r="V159" s="116" t="n">
        <x:f>IF($L159&lt;$D$5,"",IF($L159=$D$5,$J$10+$N159-IF($M159,IF(INT(($L159-$D$5)/7)&lt;$A$23,$B$23,$D$10),0),V158+$N159-IF($M159,IF(INT(($L159-$D$5)/7)&lt;$A$23,$B$23,$D$10),0)))</x:f>
        <x:v>0</x:v>
      </x:c>
      <x:c r="W159" s="116" t="n">
        <x:f>IF($L159&lt;$D$5,"",IF($L159=$D$5,$J$10+$N159-IF($M159,IF(INT(($L159-$D$5)/7)&lt;$A$24,$B$24,$D$10),0),W158+$N159-IF($M159,IF(INT(($L159-$D$5)/7)&lt;$A$24,$B$24,$D$10),0)))</x:f>
        <x:v>0</x:v>
      </x:c>
      <x:c r="X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Y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Z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A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B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C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D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E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F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G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H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I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J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K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L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M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N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O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P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Q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R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S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T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U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V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W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X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Y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AZ159" s="116"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c r="BA159" s="117" t="n">
        <x:f>IF(OR(INDEX('1 Budget annuel'!$A$14:$A$43,COLUMN()-COLUMN($X$42)+1)&lt;&gt;"Oui",INDEX('1 Budget annuel'!$L$14:$L$43,COLUMN()-COLUMN($X$42)+1)="",AND(INDEX('1 Budget annuel'!$B$14:$B$43,COLUMN()-COLUMN($X$42)+1)="Sortie",INDEX('1 Budget annuel'!$M$14:$M$43,COLUMN()-COLUMN($X$42)+1)="Oui"),$L159&lt;INDEX('1 Budget annuel'!$L$14:$L$43,COLUMN()-COLUMN($X$42)+1),$L159&gt;$D$5+363),0,IF(OR(AND(INDEX('1 Budget annuel'!$E$14:$E$43,COLUMN()-COLUMN($X$42)+1)="Hebdomadaire",MOD($L159-INDEX('1 Budget annuel'!$L$14:$L$43,COLUMN()-COLUMN($X$42)+1),7)=0),AND(INDEX('1 Budget annuel'!$E$14:$E$43,COLUMN()-COLUMN($X$42)+1)="Toutes les 4 semaines",MOD($L159-INDEX('1 Budget annuel'!$L$14:$L$43,COLUMN()-COLUMN($X$42)+1),28)=0),AND(INDEX('1 Budget annuel'!$E$14:$E$43,COLUMN()-COLUMN($X$42)+1)="Mensuelle",DAY($L159)=MIN(DAY(INDEX('1 Budget annuel'!$L$14:$L$43,COLUMN()-COLUMN($X$42)+1)),DAY(EOMONTH($L159,0)))),AND(INDEX('1 Budget annuel'!$E$14:$E$43,COLUMN()-COLUMN($X$42)+1)="Trimestrielle",MOD((YEAR($L159)-YEAR(INDEX('1 Budget annuel'!$L$14:$L$43,COLUMN()-COLUMN($X$42)+1)))*12+MONTH($L159)-MONTH(INDEX('1 Budget annuel'!$L$14:$L$43,COLUMN()-COLUMN($X$42)+1)),3)=0,DAY($L159)=MIN(DAY(INDEX('1 Budget annuel'!$L$14:$L$43,COLUMN()-COLUMN($X$42)+1)),DAY(EOMONTH($L159,0)))),AND(INDEX('1 Budget annuel'!$E$14:$E$43,COLUMN()-COLUMN($X$42)+1)="Semestrielle",MOD((YEAR($L159)-YEAR(INDEX('1 Budget annuel'!$L$14:$L$43,COLUMN()-COLUMN($X$42)+1)))*12+MONTH($L159)-MONTH(INDEX('1 Budget annuel'!$L$14:$L$43,COLUMN()-COLUMN($X$42)+1)),6)=0,DAY($L159)=MIN(DAY(INDEX('1 Budget annuel'!$L$14:$L$43,COLUMN()-COLUMN($X$42)+1)),DAY(EOMONTH($L159,0)))),AND(INDEX('1 Budget annuel'!$E$14:$E$43,COLUMN()-COLUMN($X$42)+1)="Annuelle",MOD((YEAR($L159)-YEAR(INDEX('1 Budget annuel'!$L$14:$L$43,COLUMN()-COLUMN($X$42)+1)))*12+MONTH($L159)-MONTH(INDEX('1 Budget annuel'!$L$14:$L$43,COLUMN()-COLUMN($X$42)+1)),12)=0,DAY($L159)=MIN(DAY(INDEX('1 Budget annuel'!$L$14:$L$43,COLUMN()-COLUMN($X$42)+1)),DAY(EOMONTH($L159,0))))),IF(INDEX('1 Budget annuel'!$B$14:$B$43,COLUMN()-COLUMN($X$42)+1)="Entrée",INDEX('1 Budget annuel'!$I$14:$I$43,COLUMN()-COLUMN($X$42)+1),-INDEX('1 Budget annuel'!$I$14:$I$43,COLUMN()-COLUMN($X$42)+1)),0))</x:f>
        <x:v>0</x:v>
      </x:c>
    </x:row>
    <x:row r="160">
      <x:c r="L160" s="114" t="n">
        <x:f>L159+1</x:f>
        <x:v>46354</x:v>
      </x:c>
      <x:c r="M160" s="115" t="b">
        <x:f>AND(L160&gt;=$D$5,L160&lt;=$D$5+363,MOD(L160-$D$5,7)=0)</x:f>
        <x:v>1</x:v>
      </x:c>
      <x:c r="N160" s="116" t="n">
        <x:f>SUM(X160:BA160)</x:f>
        <x:v>0</x:v>
      </x:c>
      <x:c r="O160" s="116" t="n">
        <x:f>IF(M160,$D$10,0)</x:f>
        <x:v>0</x:v>
      </x:c>
      <x:c r="P160" s="116" t="n">
        <x:f>N160-O160</x:f>
        <x:v>0</x:v>
      </x:c>
      <x:c r="Q160" s="116" t="n">
        <x:f>IF(L160&lt;$D$5,0,IF(L160=$D$5,P160,Q159+P160))</x:f>
        <x:v>0</x:v>
      </x:c>
      <x:c r="R160" s="116" t="n">
        <x:f>IF(L160&lt;$D$5,"",$J$10+Q160)</x:f>
        <x:v>0</x:v>
      </x:c>
      <x:c r="S160" s="116" t="n">
        <x:f>IF($L160&lt;$D$5,"",IF($L160=$D$5,$J$10+$N160-IF($M160,IF(INT(($L160-$D$5)/7)&lt;$A$20,$B$20,$D$10),0),S159+$N160-IF($M160,IF(INT(($L160-$D$5)/7)&lt;$A$20,$B$20,$D$10),0)))</x:f>
        <x:v>0</x:v>
      </x:c>
      <x:c r="T160" s="116" t="n">
        <x:f>IF($L160&lt;$D$5,"",IF($L160=$D$5,$J$10+$N160-IF($M160,IF(INT(($L160-$D$5)/7)&lt;$A$21,$B$21,$D$10),0),T159+$N160-IF($M160,IF(INT(($L160-$D$5)/7)&lt;$A$21,$B$21,$D$10),0)))</x:f>
        <x:v>0</x:v>
      </x:c>
      <x:c r="U160" s="116" t="n">
        <x:f>IF($L160&lt;$D$5,"",IF($L160=$D$5,$J$10+$N160-IF($M160,IF(INT(($L160-$D$5)/7)&lt;$A$22,$B$22,$D$10),0),U159+$N160-IF($M160,IF(INT(($L160-$D$5)/7)&lt;$A$22,$B$22,$D$10),0)))</x:f>
        <x:v>0</x:v>
      </x:c>
      <x:c r="V160" s="116" t="n">
        <x:f>IF($L160&lt;$D$5,"",IF($L160=$D$5,$J$10+$N160-IF($M160,IF(INT(($L160-$D$5)/7)&lt;$A$23,$B$23,$D$10),0),V159+$N160-IF($M160,IF(INT(($L160-$D$5)/7)&lt;$A$23,$B$23,$D$10),0)))</x:f>
        <x:v>0</x:v>
      </x:c>
      <x:c r="W160" s="116" t="n">
        <x:f>IF($L160&lt;$D$5,"",IF($L160=$D$5,$J$10+$N160-IF($M160,IF(INT(($L160-$D$5)/7)&lt;$A$24,$B$24,$D$10),0),W159+$N160-IF($M160,IF(INT(($L160-$D$5)/7)&lt;$A$24,$B$24,$D$10),0)))</x:f>
        <x:v>0</x:v>
      </x:c>
      <x:c r="X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Y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Z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A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B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C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D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E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F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G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H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I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J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K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L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M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N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O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P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Q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R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S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T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U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V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W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X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Y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AZ160" s="116"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c r="BA160" s="117" t="n">
        <x:f>IF(OR(INDEX('1 Budget annuel'!$A$14:$A$43,COLUMN()-COLUMN($X$42)+1)&lt;&gt;"Oui",INDEX('1 Budget annuel'!$L$14:$L$43,COLUMN()-COLUMN($X$42)+1)="",AND(INDEX('1 Budget annuel'!$B$14:$B$43,COLUMN()-COLUMN($X$42)+1)="Sortie",INDEX('1 Budget annuel'!$M$14:$M$43,COLUMN()-COLUMN($X$42)+1)="Oui"),$L160&lt;INDEX('1 Budget annuel'!$L$14:$L$43,COLUMN()-COLUMN($X$42)+1),$L160&gt;$D$5+363),0,IF(OR(AND(INDEX('1 Budget annuel'!$E$14:$E$43,COLUMN()-COLUMN($X$42)+1)="Hebdomadaire",MOD($L160-INDEX('1 Budget annuel'!$L$14:$L$43,COLUMN()-COLUMN($X$42)+1),7)=0),AND(INDEX('1 Budget annuel'!$E$14:$E$43,COLUMN()-COLUMN($X$42)+1)="Toutes les 4 semaines",MOD($L160-INDEX('1 Budget annuel'!$L$14:$L$43,COLUMN()-COLUMN($X$42)+1),28)=0),AND(INDEX('1 Budget annuel'!$E$14:$E$43,COLUMN()-COLUMN($X$42)+1)="Mensuelle",DAY($L160)=MIN(DAY(INDEX('1 Budget annuel'!$L$14:$L$43,COLUMN()-COLUMN($X$42)+1)),DAY(EOMONTH($L160,0)))),AND(INDEX('1 Budget annuel'!$E$14:$E$43,COLUMN()-COLUMN($X$42)+1)="Trimestrielle",MOD((YEAR($L160)-YEAR(INDEX('1 Budget annuel'!$L$14:$L$43,COLUMN()-COLUMN($X$42)+1)))*12+MONTH($L160)-MONTH(INDEX('1 Budget annuel'!$L$14:$L$43,COLUMN()-COLUMN($X$42)+1)),3)=0,DAY($L160)=MIN(DAY(INDEX('1 Budget annuel'!$L$14:$L$43,COLUMN()-COLUMN($X$42)+1)),DAY(EOMONTH($L160,0)))),AND(INDEX('1 Budget annuel'!$E$14:$E$43,COLUMN()-COLUMN($X$42)+1)="Semestrielle",MOD((YEAR($L160)-YEAR(INDEX('1 Budget annuel'!$L$14:$L$43,COLUMN()-COLUMN($X$42)+1)))*12+MONTH($L160)-MONTH(INDEX('1 Budget annuel'!$L$14:$L$43,COLUMN()-COLUMN($X$42)+1)),6)=0,DAY($L160)=MIN(DAY(INDEX('1 Budget annuel'!$L$14:$L$43,COLUMN()-COLUMN($X$42)+1)),DAY(EOMONTH($L160,0)))),AND(INDEX('1 Budget annuel'!$E$14:$E$43,COLUMN()-COLUMN($X$42)+1)="Annuelle",MOD((YEAR($L160)-YEAR(INDEX('1 Budget annuel'!$L$14:$L$43,COLUMN()-COLUMN($X$42)+1)))*12+MONTH($L160)-MONTH(INDEX('1 Budget annuel'!$L$14:$L$43,COLUMN()-COLUMN($X$42)+1)),12)=0,DAY($L160)=MIN(DAY(INDEX('1 Budget annuel'!$L$14:$L$43,COLUMN()-COLUMN($X$42)+1)),DAY(EOMONTH($L160,0))))),IF(INDEX('1 Budget annuel'!$B$14:$B$43,COLUMN()-COLUMN($X$42)+1)="Entrée",INDEX('1 Budget annuel'!$I$14:$I$43,COLUMN()-COLUMN($X$42)+1),-INDEX('1 Budget annuel'!$I$14:$I$43,COLUMN()-COLUMN($X$42)+1)),0))</x:f>
        <x:v>0</x:v>
      </x:c>
    </x:row>
    <x:row r="161">
      <x:c r="L161" s="114" t="n">
        <x:f>L160+1</x:f>
        <x:v>46355</x:v>
      </x:c>
      <x:c r="M161" s="115" t="b">
        <x:f>AND(L161&gt;=$D$5,L161&lt;=$D$5+363,MOD(L161-$D$5,7)=0)</x:f>
        <x:v>0</x:v>
      </x:c>
      <x:c r="N161" s="116" t="n">
        <x:f>SUM(X161:BA161)</x:f>
        <x:v>0</x:v>
      </x:c>
      <x:c r="O161" s="116" t="n">
        <x:f>IF(M161,$D$10,0)</x:f>
        <x:v>0</x:v>
      </x:c>
      <x:c r="P161" s="116" t="n">
        <x:f>N161-O161</x:f>
        <x:v>0</x:v>
      </x:c>
      <x:c r="Q161" s="116" t="n">
        <x:f>IF(L161&lt;$D$5,0,IF(L161=$D$5,P161,Q160+P161))</x:f>
        <x:v>0</x:v>
      </x:c>
      <x:c r="R161" s="116" t="n">
        <x:f>IF(L161&lt;$D$5,"",$J$10+Q161)</x:f>
        <x:v>0</x:v>
      </x:c>
      <x:c r="S161" s="116" t="n">
        <x:f>IF($L161&lt;$D$5,"",IF($L161=$D$5,$J$10+$N161-IF($M161,IF(INT(($L161-$D$5)/7)&lt;$A$20,$B$20,$D$10),0),S160+$N161-IF($M161,IF(INT(($L161-$D$5)/7)&lt;$A$20,$B$20,$D$10),0)))</x:f>
        <x:v>0</x:v>
      </x:c>
      <x:c r="T161" s="116" t="n">
        <x:f>IF($L161&lt;$D$5,"",IF($L161=$D$5,$J$10+$N161-IF($M161,IF(INT(($L161-$D$5)/7)&lt;$A$21,$B$21,$D$10),0),T160+$N161-IF($M161,IF(INT(($L161-$D$5)/7)&lt;$A$21,$B$21,$D$10),0)))</x:f>
        <x:v>0</x:v>
      </x:c>
      <x:c r="U161" s="116" t="n">
        <x:f>IF($L161&lt;$D$5,"",IF($L161=$D$5,$J$10+$N161-IF($M161,IF(INT(($L161-$D$5)/7)&lt;$A$22,$B$22,$D$10),0),U160+$N161-IF($M161,IF(INT(($L161-$D$5)/7)&lt;$A$22,$B$22,$D$10),0)))</x:f>
        <x:v>0</x:v>
      </x:c>
      <x:c r="V161" s="116" t="n">
        <x:f>IF($L161&lt;$D$5,"",IF($L161=$D$5,$J$10+$N161-IF($M161,IF(INT(($L161-$D$5)/7)&lt;$A$23,$B$23,$D$10),0),V160+$N161-IF($M161,IF(INT(($L161-$D$5)/7)&lt;$A$23,$B$23,$D$10),0)))</x:f>
        <x:v>0</x:v>
      </x:c>
      <x:c r="W161" s="116" t="n">
        <x:f>IF($L161&lt;$D$5,"",IF($L161=$D$5,$J$10+$N161-IF($M161,IF(INT(($L161-$D$5)/7)&lt;$A$24,$B$24,$D$10),0),W160+$N161-IF($M161,IF(INT(($L161-$D$5)/7)&lt;$A$24,$B$24,$D$10),0)))</x:f>
        <x:v>0</x:v>
      </x:c>
      <x:c r="X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Y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Z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A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B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C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D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E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F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G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H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I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J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K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L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M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N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O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P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Q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R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S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T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U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V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W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X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Y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AZ161" s="116"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c r="BA161" s="117" t="n">
        <x:f>IF(OR(INDEX('1 Budget annuel'!$A$14:$A$43,COLUMN()-COLUMN($X$42)+1)&lt;&gt;"Oui",INDEX('1 Budget annuel'!$L$14:$L$43,COLUMN()-COLUMN($X$42)+1)="",AND(INDEX('1 Budget annuel'!$B$14:$B$43,COLUMN()-COLUMN($X$42)+1)="Sortie",INDEX('1 Budget annuel'!$M$14:$M$43,COLUMN()-COLUMN($X$42)+1)="Oui"),$L161&lt;INDEX('1 Budget annuel'!$L$14:$L$43,COLUMN()-COLUMN($X$42)+1),$L161&gt;$D$5+363),0,IF(OR(AND(INDEX('1 Budget annuel'!$E$14:$E$43,COLUMN()-COLUMN($X$42)+1)="Hebdomadaire",MOD($L161-INDEX('1 Budget annuel'!$L$14:$L$43,COLUMN()-COLUMN($X$42)+1),7)=0),AND(INDEX('1 Budget annuel'!$E$14:$E$43,COLUMN()-COLUMN($X$42)+1)="Toutes les 4 semaines",MOD($L161-INDEX('1 Budget annuel'!$L$14:$L$43,COLUMN()-COLUMN($X$42)+1),28)=0),AND(INDEX('1 Budget annuel'!$E$14:$E$43,COLUMN()-COLUMN($X$42)+1)="Mensuelle",DAY($L161)=MIN(DAY(INDEX('1 Budget annuel'!$L$14:$L$43,COLUMN()-COLUMN($X$42)+1)),DAY(EOMONTH($L161,0)))),AND(INDEX('1 Budget annuel'!$E$14:$E$43,COLUMN()-COLUMN($X$42)+1)="Trimestrielle",MOD((YEAR($L161)-YEAR(INDEX('1 Budget annuel'!$L$14:$L$43,COLUMN()-COLUMN($X$42)+1)))*12+MONTH($L161)-MONTH(INDEX('1 Budget annuel'!$L$14:$L$43,COLUMN()-COLUMN($X$42)+1)),3)=0,DAY($L161)=MIN(DAY(INDEX('1 Budget annuel'!$L$14:$L$43,COLUMN()-COLUMN($X$42)+1)),DAY(EOMONTH($L161,0)))),AND(INDEX('1 Budget annuel'!$E$14:$E$43,COLUMN()-COLUMN($X$42)+1)="Semestrielle",MOD((YEAR($L161)-YEAR(INDEX('1 Budget annuel'!$L$14:$L$43,COLUMN()-COLUMN($X$42)+1)))*12+MONTH($L161)-MONTH(INDEX('1 Budget annuel'!$L$14:$L$43,COLUMN()-COLUMN($X$42)+1)),6)=0,DAY($L161)=MIN(DAY(INDEX('1 Budget annuel'!$L$14:$L$43,COLUMN()-COLUMN($X$42)+1)),DAY(EOMONTH($L161,0)))),AND(INDEX('1 Budget annuel'!$E$14:$E$43,COLUMN()-COLUMN($X$42)+1)="Annuelle",MOD((YEAR($L161)-YEAR(INDEX('1 Budget annuel'!$L$14:$L$43,COLUMN()-COLUMN($X$42)+1)))*12+MONTH($L161)-MONTH(INDEX('1 Budget annuel'!$L$14:$L$43,COLUMN()-COLUMN($X$42)+1)),12)=0,DAY($L161)=MIN(DAY(INDEX('1 Budget annuel'!$L$14:$L$43,COLUMN()-COLUMN($X$42)+1)),DAY(EOMONTH($L161,0))))),IF(INDEX('1 Budget annuel'!$B$14:$B$43,COLUMN()-COLUMN($X$42)+1)="Entrée",INDEX('1 Budget annuel'!$I$14:$I$43,COLUMN()-COLUMN($X$42)+1),-INDEX('1 Budget annuel'!$I$14:$I$43,COLUMN()-COLUMN($X$42)+1)),0))</x:f>
        <x:v>0</x:v>
      </x:c>
    </x:row>
    <x:row r="162">
      <x:c r="L162" s="114" t="n">
        <x:f>L161+1</x:f>
        <x:v>46356</x:v>
      </x:c>
      <x:c r="M162" s="115" t="b">
        <x:f>AND(L162&gt;=$D$5,L162&lt;=$D$5+363,MOD(L162-$D$5,7)=0)</x:f>
        <x:v>0</x:v>
      </x:c>
      <x:c r="N162" s="116" t="n">
        <x:f>SUM(X162:BA162)</x:f>
        <x:v>0</x:v>
      </x:c>
      <x:c r="O162" s="116" t="n">
        <x:f>IF(M162,$D$10,0)</x:f>
        <x:v>0</x:v>
      </x:c>
      <x:c r="P162" s="116" t="n">
        <x:f>N162-O162</x:f>
        <x:v>0</x:v>
      </x:c>
      <x:c r="Q162" s="116" t="n">
        <x:f>IF(L162&lt;$D$5,0,IF(L162=$D$5,P162,Q161+P162))</x:f>
        <x:v>0</x:v>
      </x:c>
      <x:c r="R162" s="116" t="n">
        <x:f>IF(L162&lt;$D$5,"",$J$10+Q162)</x:f>
        <x:v>0</x:v>
      </x:c>
      <x:c r="S162" s="116" t="n">
        <x:f>IF($L162&lt;$D$5,"",IF($L162=$D$5,$J$10+$N162-IF($M162,IF(INT(($L162-$D$5)/7)&lt;$A$20,$B$20,$D$10),0),S161+$N162-IF($M162,IF(INT(($L162-$D$5)/7)&lt;$A$20,$B$20,$D$10),0)))</x:f>
        <x:v>0</x:v>
      </x:c>
      <x:c r="T162" s="116" t="n">
        <x:f>IF($L162&lt;$D$5,"",IF($L162=$D$5,$J$10+$N162-IF($M162,IF(INT(($L162-$D$5)/7)&lt;$A$21,$B$21,$D$10),0),T161+$N162-IF($M162,IF(INT(($L162-$D$5)/7)&lt;$A$21,$B$21,$D$10),0)))</x:f>
        <x:v>0</x:v>
      </x:c>
      <x:c r="U162" s="116" t="n">
        <x:f>IF($L162&lt;$D$5,"",IF($L162=$D$5,$J$10+$N162-IF($M162,IF(INT(($L162-$D$5)/7)&lt;$A$22,$B$22,$D$10),0),U161+$N162-IF($M162,IF(INT(($L162-$D$5)/7)&lt;$A$22,$B$22,$D$10),0)))</x:f>
        <x:v>0</x:v>
      </x:c>
      <x:c r="V162" s="116" t="n">
        <x:f>IF($L162&lt;$D$5,"",IF($L162=$D$5,$J$10+$N162-IF($M162,IF(INT(($L162-$D$5)/7)&lt;$A$23,$B$23,$D$10),0),V161+$N162-IF($M162,IF(INT(($L162-$D$5)/7)&lt;$A$23,$B$23,$D$10),0)))</x:f>
        <x:v>0</x:v>
      </x:c>
      <x:c r="W162" s="116" t="n">
        <x:f>IF($L162&lt;$D$5,"",IF($L162=$D$5,$J$10+$N162-IF($M162,IF(INT(($L162-$D$5)/7)&lt;$A$24,$B$24,$D$10),0),W161+$N162-IF($M162,IF(INT(($L162-$D$5)/7)&lt;$A$24,$B$24,$D$10),0)))</x:f>
        <x:v>0</x:v>
      </x:c>
      <x:c r="X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Y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Z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A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B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C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D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E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F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G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H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I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J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K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L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M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N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O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P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Q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R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S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T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U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V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W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X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Y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AZ162" s="116"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c r="BA162" s="117" t="n">
        <x:f>IF(OR(INDEX('1 Budget annuel'!$A$14:$A$43,COLUMN()-COLUMN($X$42)+1)&lt;&gt;"Oui",INDEX('1 Budget annuel'!$L$14:$L$43,COLUMN()-COLUMN($X$42)+1)="",AND(INDEX('1 Budget annuel'!$B$14:$B$43,COLUMN()-COLUMN($X$42)+1)="Sortie",INDEX('1 Budget annuel'!$M$14:$M$43,COLUMN()-COLUMN($X$42)+1)="Oui"),$L162&lt;INDEX('1 Budget annuel'!$L$14:$L$43,COLUMN()-COLUMN($X$42)+1),$L162&gt;$D$5+363),0,IF(OR(AND(INDEX('1 Budget annuel'!$E$14:$E$43,COLUMN()-COLUMN($X$42)+1)="Hebdomadaire",MOD($L162-INDEX('1 Budget annuel'!$L$14:$L$43,COLUMN()-COLUMN($X$42)+1),7)=0),AND(INDEX('1 Budget annuel'!$E$14:$E$43,COLUMN()-COLUMN($X$42)+1)="Toutes les 4 semaines",MOD($L162-INDEX('1 Budget annuel'!$L$14:$L$43,COLUMN()-COLUMN($X$42)+1),28)=0),AND(INDEX('1 Budget annuel'!$E$14:$E$43,COLUMN()-COLUMN($X$42)+1)="Mensuelle",DAY($L162)=MIN(DAY(INDEX('1 Budget annuel'!$L$14:$L$43,COLUMN()-COLUMN($X$42)+1)),DAY(EOMONTH($L162,0)))),AND(INDEX('1 Budget annuel'!$E$14:$E$43,COLUMN()-COLUMN($X$42)+1)="Trimestrielle",MOD((YEAR($L162)-YEAR(INDEX('1 Budget annuel'!$L$14:$L$43,COLUMN()-COLUMN($X$42)+1)))*12+MONTH($L162)-MONTH(INDEX('1 Budget annuel'!$L$14:$L$43,COLUMN()-COLUMN($X$42)+1)),3)=0,DAY($L162)=MIN(DAY(INDEX('1 Budget annuel'!$L$14:$L$43,COLUMN()-COLUMN($X$42)+1)),DAY(EOMONTH($L162,0)))),AND(INDEX('1 Budget annuel'!$E$14:$E$43,COLUMN()-COLUMN($X$42)+1)="Semestrielle",MOD((YEAR($L162)-YEAR(INDEX('1 Budget annuel'!$L$14:$L$43,COLUMN()-COLUMN($X$42)+1)))*12+MONTH($L162)-MONTH(INDEX('1 Budget annuel'!$L$14:$L$43,COLUMN()-COLUMN($X$42)+1)),6)=0,DAY($L162)=MIN(DAY(INDEX('1 Budget annuel'!$L$14:$L$43,COLUMN()-COLUMN($X$42)+1)),DAY(EOMONTH($L162,0)))),AND(INDEX('1 Budget annuel'!$E$14:$E$43,COLUMN()-COLUMN($X$42)+1)="Annuelle",MOD((YEAR($L162)-YEAR(INDEX('1 Budget annuel'!$L$14:$L$43,COLUMN()-COLUMN($X$42)+1)))*12+MONTH($L162)-MONTH(INDEX('1 Budget annuel'!$L$14:$L$43,COLUMN()-COLUMN($X$42)+1)),12)=0,DAY($L162)=MIN(DAY(INDEX('1 Budget annuel'!$L$14:$L$43,COLUMN()-COLUMN($X$42)+1)),DAY(EOMONTH($L162,0))))),IF(INDEX('1 Budget annuel'!$B$14:$B$43,COLUMN()-COLUMN($X$42)+1)="Entrée",INDEX('1 Budget annuel'!$I$14:$I$43,COLUMN()-COLUMN($X$42)+1),-INDEX('1 Budget annuel'!$I$14:$I$43,COLUMN()-COLUMN($X$42)+1)),0))</x:f>
        <x:v>0</x:v>
      </x:c>
    </x:row>
    <x:row r="163">
      <x:c r="L163" s="114" t="n">
        <x:f>L162+1</x:f>
        <x:v>46357</x:v>
      </x:c>
      <x:c r="M163" s="115" t="b">
        <x:f>AND(L163&gt;=$D$5,L163&lt;=$D$5+363,MOD(L163-$D$5,7)=0)</x:f>
        <x:v>0</x:v>
      </x:c>
      <x:c r="N163" s="116" t="n">
        <x:f>SUM(X163:BA163)</x:f>
        <x:v>0</x:v>
      </x:c>
      <x:c r="O163" s="116" t="n">
        <x:f>IF(M163,$D$10,0)</x:f>
        <x:v>0</x:v>
      </x:c>
      <x:c r="P163" s="116" t="n">
        <x:f>N163-O163</x:f>
        <x:v>0</x:v>
      </x:c>
      <x:c r="Q163" s="116" t="n">
        <x:f>IF(L163&lt;$D$5,0,IF(L163=$D$5,P163,Q162+P163))</x:f>
        <x:v>0</x:v>
      </x:c>
      <x:c r="R163" s="116" t="n">
        <x:f>IF(L163&lt;$D$5,"",$J$10+Q163)</x:f>
        <x:v>0</x:v>
      </x:c>
      <x:c r="S163" s="116" t="n">
        <x:f>IF($L163&lt;$D$5,"",IF($L163=$D$5,$J$10+$N163-IF($M163,IF(INT(($L163-$D$5)/7)&lt;$A$20,$B$20,$D$10),0),S162+$N163-IF($M163,IF(INT(($L163-$D$5)/7)&lt;$A$20,$B$20,$D$10),0)))</x:f>
        <x:v>0</x:v>
      </x:c>
      <x:c r="T163" s="116" t="n">
        <x:f>IF($L163&lt;$D$5,"",IF($L163=$D$5,$J$10+$N163-IF($M163,IF(INT(($L163-$D$5)/7)&lt;$A$21,$B$21,$D$10),0),T162+$N163-IF($M163,IF(INT(($L163-$D$5)/7)&lt;$A$21,$B$21,$D$10),0)))</x:f>
        <x:v>0</x:v>
      </x:c>
      <x:c r="U163" s="116" t="n">
        <x:f>IF($L163&lt;$D$5,"",IF($L163=$D$5,$J$10+$N163-IF($M163,IF(INT(($L163-$D$5)/7)&lt;$A$22,$B$22,$D$10),0),U162+$N163-IF($M163,IF(INT(($L163-$D$5)/7)&lt;$A$22,$B$22,$D$10),0)))</x:f>
        <x:v>0</x:v>
      </x:c>
      <x:c r="V163" s="116" t="n">
        <x:f>IF($L163&lt;$D$5,"",IF($L163=$D$5,$J$10+$N163-IF($M163,IF(INT(($L163-$D$5)/7)&lt;$A$23,$B$23,$D$10),0),V162+$N163-IF($M163,IF(INT(($L163-$D$5)/7)&lt;$A$23,$B$23,$D$10),0)))</x:f>
        <x:v>0</x:v>
      </x:c>
      <x:c r="W163" s="116" t="n">
        <x:f>IF($L163&lt;$D$5,"",IF($L163=$D$5,$J$10+$N163-IF($M163,IF(INT(($L163-$D$5)/7)&lt;$A$24,$B$24,$D$10),0),W162+$N163-IF($M163,IF(INT(($L163-$D$5)/7)&lt;$A$24,$B$24,$D$10),0)))</x:f>
        <x:v>0</x:v>
      </x:c>
      <x:c r="X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Y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Z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A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B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C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D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E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F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G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H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I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J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K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L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M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N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O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P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Q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R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S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T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U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V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W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X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Y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AZ163" s="116"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c r="BA163" s="117" t="n">
        <x:f>IF(OR(INDEX('1 Budget annuel'!$A$14:$A$43,COLUMN()-COLUMN($X$42)+1)&lt;&gt;"Oui",INDEX('1 Budget annuel'!$L$14:$L$43,COLUMN()-COLUMN($X$42)+1)="",AND(INDEX('1 Budget annuel'!$B$14:$B$43,COLUMN()-COLUMN($X$42)+1)="Sortie",INDEX('1 Budget annuel'!$M$14:$M$43,COLUMN()-COLUMN($X$42)+1)="Oui"),$L163&lt;INDEX('1 Budget annuel'!$L$14:$L$43,COLUMN()-COLUMN($X$42)+1),$L163&gt;$D$5+363),0,IF(OR(AND(INDEX('1 Budget annuel'!$E$14:$E$43,COLUMN()-COLUMN($X$42)+1)="Hebdomadaire",MOD($L163-INDEX('1 Budget annuel'!$L$14:$L$43,COLUMN()-COLUMN($X$42)+1),7)=0),AND(INDEX('1 Budget annuel'!$E$14:$E$43,COLUMN()-COLUMN($X$42)+1)="Toutes les 4 semaines",MOD($L163-INDEX('1 Budget annuel'!$L$14:$L$43,COLUMN()-COLUMN($X$42)+1),28)=0),AND(INDEX('1 Budget annuel'!$E$14:$E$43,COLUMN()-COLUMN($X$42)+1)="Mensuelle",DAY($L163)=MIN(DAY(INDEX('1 Budget annuel'!$L$14:$L$43,COLUMN()-COLUMN($X$42)+1)),DAY(EOMONTH($L163,0)))),AND(INDEX('1 Budget annuel'!$E$14:$E$43,COLUMN()-COLUMN($X$42)+1)="Trimestrielle",MOD((YEAR($L163)-YEAR(INDEX('1 Budget annuel'!$L$14:$L$43,COLUMN()-COLUMN($X$42)+1)))*12+MONTH($L163)-MONTH(INDEX('1 Budget annuel'!$L$14:$L$43,COLUMN()-COLUMN($X$42)+1)),3)=0,DAY($L163)=MIN(DAY(INDEX('1 Budget annuel'!$L$14:$L$43,COLUMN()-COLUMN($X$42)+1)),DAY(EOMONTH($L163,0)))),AND(INDEX('1 Budget annuel'!$E$14:$E$43,COLUMN()-COLUMN($X$42)+1)="Semestrielle",MOD((YEAR($L163)-YEAR(INDEX('1 Budget annuel'!$L$14:$L$43,COLUMN()-COLUMN($X$42)+1)))*12+MONTH($L163)-MONTH(INDEX('1 Budget annuel'!$L$14:$L$43,COLUMN()-COLUMN($X$42)+1)),6)=0,DAY($L163)=MIN(DAY(INDEX('1 Budget annuel'!$L$14:$L$43,COLUMN()-COLUMN($X$42)+1)),DAY(EOMONTH($L163,0)))),AND(INDEX('1 Budget annuel'!$E$14:$E$43,COLUMN()-COLUMN($X$42)+1)="Annuelle",MOD((YEAR($L163)-YEAR(INDEX('1 Budget annuel'!$L$14:$L$43,COLUMN()-COLUMN($X$42)+1)))*12+MONTH($L163)-MONTH(INDEX('1 Budget annuel'!$L$14:$L$43,COLUMN()-COLUMN($X$42)+1)),12)=0,DAY($L163)=MIN(DAY(INDEX('1 Budget annuel'!$L$14:$L$43,COLUMN()-COLUMN($X$42)+1)),DAY(EOMONTH($L163,0))))),IF(INDEX('1 Budget annuel'!$B$14:$B$43,COLUMN()-COLUMN($X$42)+1)="Entrée",INDEX('1 Budget annuel'!$I$14:$I$43,COLUMN()-COLUMN($X$42)+1),-INDEX('1 Budget annuel'!$I$14:$I$43,COLUMN()-COLUMN($X$42)+1)),0))</x:f>
        <x:v>0</x:v>
      </x:c>
    </x:row>
    <x:row r="164">
      <x:c r="L164" s="114" t="n">
        <x:f>L163+1</x:f>
        <x:v>46358</x:v>
      </x:c>
      <x:c r="M164" s="115" t="b">
        <x:f>AND(L164&gt;=$D$5,L164&lt;=$D$5+363,MOD(L164-$D$5,7)=0)</x:f>
        <x:v>0</x:v>
      </x:c>
      <x:c r="N164" s="116" t="n">
        <x:f>SUM(X164:BA164)</x:f>
        <x:v>0</x:v>
      </x:c>
      <x:c r="O164" s="116" t="n">
        <x:f>IF(M164,$D$10,0)</x:f>
        <x:v>0</x:v>
      </x:c>
      <x:c r="P164" s="116" t="n">
        <x:f>N164-O164</x:f>
        <x:v>0</x:v>
      </x:c>
      <x:c r="Q164" s="116" t="n">
        <x:f>IF(L164&lt;$D$5,0,IF(L164=$D$5,P164,Q163+P164))</x:f>
        <x:v>0</x:v>
      </x:c>
      <x:c r="R164" s="116" t="n">
        <x:f>IF(L164&lt;$D$5,"",$J$10+Q164)</x:f>
        <x:v>0</x:v>
      </x:c>
      <x:c r="S164" s="116" t="n">
        <x:f>IF($L164&lt;$D$5,"",IF($L164=$D$5,$J$10+$N164-IF($M164,IF(INT(($L164-$D$5)/7)&lt;$A$20,$B$20,$D$10),0),S163+$N164-IF($M164,IF(INT(($L164-$D$5)/7)&lt;$A$20,$B$20,$D$10),0)))</x:f>
        <x:v>0</x:v>
      </x:c>
      <x:c r="T164" s="116" t="n">
        <x:f>IF($L164&lt;$D$5,"",IF($L164=$D$5,$J$10+$N164-IF($M164,IF(INT(($L164-$D$5)/7)&lt;$A$21,$B$21,$D$10),0),T163+$N164-IF($M164,IF(INT(($L164-$D$5)/7)&lt;$A$21,$B$21,$D$10),0)))</x:f>
        <x:v>0</x:v>
      </x:c>
      <x:c r="U164" s="116" t="n">
        <x:f>IF($L164&lt;$D$5,"",IF($L164=$D$5,$J$10+$N164-IF($M164,IF(INT(($L164-$D$5)/7)&lt;$A$22,$B$22,$D$10),0),U163+$N164-IF($M164,IF(INT(($L164-$D$5)/7)&lt;$A$22,$B$22,$D$10),0)))</x:f>
        <x:v>0</x:v>
      </x:c>
      <x:c r="V164" s="116" t="n">
        <x:f>IF($L164&lt;$D$5,"",IF($L164=$D$5,$J$10+$N164-IF($M164,IF(INT(($L164-$D$5)/7)&lt;$A$23,$B$23,$D$10),0),V163+$N164-IF($M164,IF(INT(($L164-$D$5)/7)&lt;$A$23,$B$23,$D$10),0)))</x:f>
        <x:v>0</x:v>
      </x:c>
      <x:c r="W164" s="116" t="n">
        <x:f>IF($L164&lt;$D$5,"",IF($L164=$D$5,$J$10+$N164-IF($M164,IF(INT(($L164-$D$5)/7)&lt;$A$24,$B$24,$D$10),0),W163+$N164-IF($M164,IF(INT(($L164-$D$5)/7)&lt;$A$24,$B$24,$D$10),0)))</x:f>
        <x:v>0</x:v>
      </x:c>
      <x:c r="X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Y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Z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A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B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C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D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E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F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G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H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I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J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K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L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M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N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O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P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Q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R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S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T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U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V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W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X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Y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AZ164" s="116"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c r="BA164" s="117" t="n">
        <x:f>IF(OR(INDEX('1 Budget annuel'!$A$14:$A$43,COLUMN()-COLUMN($X$42)+1)&lt;&gt;"Oui",INDEX('1 Budget annuel'!$L$14:$L$43,COLUMN()-COLUMN($X$42)+1)="",AND(INDEX('1 Budget annuel'!$B$14:$B$43,COLUMN()-COLUMN($X$42)+1)="Sortie",INDEX('1 Budget annuel'!$M$14:$M$43,COLUMN()-COLUMN($X$42)+1)="Oui"),$L164&lt;INDEX('1 Budget annuel'!$L$14:$L$43,COLUMN()-COLUMN($X$42)+1),$L164&gt;$D$5+363),0,IF(OR(AND(INDEX('1 Budget annuel'!$E$14:$E$43,COLUMN()-COLUMN($X$42)+1)="Hebdomadaire",MOD($L164-INDEX('1 Budget annuel'!$L$14:$L$43,COLUMN()-COLUMN($X$42)+1),7)=0),AND(INDEX('1 Budget annuel'!$E$14:$E$43,COLUMN()-COLUMN($X$42)+1)="Toutes les 4 semaines",MOD($L164-INDEX('1 Budget annuel'!$L$14:$L$43,COLUMN()-COLUMN($X$42)+1),28)=0),AND(INDEX('1 Budget annuel'!$E$14:$E$43,COLUMN()-COLUMN($X$42)+1)="Mensuelle",DAY($L164)=MIN(DAY(INDEX('1 Budget annuel'!$L$14:$L$43,COLUMN()-COLUMN($X$42)+1)),DAY(EOMONTH($L164,0)))),AND(INDEX('1 Budget annuel'!$E$14:$E$43,COLUMN()-COLUMN($X$42)+1)="Trimestrielle",MOD((YEAR($L164)-YEAR(INDEX('1 Budget annuel'!$L$14:$L$43,COLUMN()-COLUMN($X$42)+1)))*12+MONTH($L164)-MONTH(INDEX('1 Budget annuel'!$L$14:$L$43,COLUMN()-COLUMN($X$42)+1)),3)=0,DAY($L164)=MIN(DAY(INDEX('1 Budget annuel'!$L$14:$L$43,COLUMN()-COLUMN($X$42)+1)),DAY(EOMONTH($L164,0)))),AND(INDEX('1 Budget annuel'!$E$14:$E$43,COLUMN()-COLUMN($X$42)+1)="Semestrielle",MOD((YEAR($L164)-YEAR(INDEX('1 Budget annuel'!$L$14:$L$43,COLUMN()-COLUMN($X$42)+1)))*12+MONTH($L164)-MONTH(INDEX('1 Budget annuel'!$L$14:$L$43,COLUMN()-COLUMN($X$42)+1)),6)=0,DAY($L164)=MIN(DAY(INDEX('1 Budget annuel'!$L$14:$L$43,COLUMN()-COLUMN($X$42)+1)),DAY(EOMONTH($L164,0)))),AND(INDEX('1 Budget annuel'!$E$14:$E$43,COLUMN()-COLUMN($X$42)+1)="Annuelle",MOD((YEAR($L164)-YEAR(INDEX('1 Budget annuel'!$L$14:$L$43,COLUMN()-COLUMN($X$42)+1)))*12+MONTH($L164)-MONTH(INDEX('1 Budget annuel'!$L$14:$L$43,COLUMN()-COLUMN($X$42)+1)),12)=0,DAY($L164)=MIN(DAY(INDEX('1 Budget annuel'!$L$14:$L$43,COLUMN()-COLUMN($X$42)+1)),DAY(EOMONTH($L164,0))))),IF(INDEX('1 Budget annuel'!$B$14:$B$43,COLUMN()-COLUMN($X$42)+1)="Entrée",INDEX('1 Budget annuel'!$I$14:$I$43,COLUMN()-COLUMN($X$42)+1),-INDEX('1 Budget annuel'!$I$14:$I$43,COLUMN()-COLUMN($X$42)+1)),0))</x:f>
        <x:v>0</x:v>
      </x:c>
    </x:row>
    <x:row r="165">
      <x:c r="L165" s="114" t="n">
        <x:f>L164+1</x:f>
        <x:v>46359</x:v>
      </x:c>
      <x:c r="M165" s="115" t="b">
        <x:f>AND(L165&gt;=$D$5,L165&lt;=$D$5+363,MOD(L165-$D$5,7)=0)</x:f>
        <x:v>0</x:v>
      </x:c>
      <x:c r="N165" s="116" t="n">
        <x:f>SUM(X165:BA165)</x:f>
        <x:v>0</x:v>
      </x:c>
      <x:c r="O165" s="116" t="n">
        <x:f>IF(M165,$D$10,0)</x:f>
        <x:v>0</x:v>
      </x:c>
      <x:c r="P165" s="116" t="n">
        <x:f>N165-O165</x:f>
        <x:v>0</x:v>
      </x:c>
      <x:c r="Q165" s="116" t="n">
        <x:f>IF(L165&lt;$D$5,0,IF(L165=$D$5,P165,Q164+P165))</x:f>
        <x:v>0</x:v>
      </x:c>
      <x:c r="R165" s="116" t="n">
        <x:f>IF(L165&lt;$D$5,"",$J$10+Q165)</x:f>
        <x:v>0</x:v>
      </x:c>
      <x:c r="S165" s="116" t="n">
        <x:f>IF($L165&lt;$D$5,"",IF($L165=$D$5,$J$10+$N165-IF($M165,IF(INT(($L165-$D$5)/7)&lt;$A$20,$B$20,$D$10),0),S164+$N165-IF($M165,IF(INT(($L165-$D$5)/7)&lt;$A$20,$B$20,$D$10),0)))</x:f>
        <x:v>0</x:v>
      </x:c>
      <x:c r="T165" s="116" t="n">
        <x:f>IF($L165&lt;$D$5,"",IF($L165=$D$5,$J$10+$N165-IF($M165,IF(INT(($L165-$D$5)/7)&lt;$A$21,$B$21,$D$10),0),T164+$N165-IF($M165,IF(INT(($L165-$D$5)/7)&lt;$A$21,$B$21,$D$10),0)))</x:f>
        <x:v>0</x:v>
      </x:c>
      <x:c r="U165" s="116" t="n">
        <x:f>IF($L165&lt;$D$5,"",IF($L165=$D$5,$J$10+$N165-IF($M165,IF(INT(($L165-$D$5)/7)&lt;$A$22,$B$22,$D$10),0),U164+$N165-IF($M165,IF(INT(($L165-$D$5)/7)&lt;$A$22,$B$22,$D$10),0)))</x:f>
        <x:v>0</x:v>
      </x:c>
      <x:c r="V165" s="116" t="n">
        <x:f>IF($L165&lt;$D$5,"",IF($L165=$D$5,$J$10+$N165-IF($M165,IF(INT(($L165-$D$5)/7)&lt;$A$23,$B$23,$D$10),0),V164+$N165-IF($M165,IF(INT(($L165-$D$5)/7)&lt;$A$23,$B$23,$D$10),0)))</x:f>
        <x:v>0</x:v>
      </x:c>
      <x:c r="W165" s="116" t="n">
        <x:f>IF($L165&lt;$D$5,"",IF($L165=$D$5,$J$10+$N165-IF($M165,IF(INT(($L165-$D$5)/7)&lt;$A$24,$B$24,$D$10),0),W164+$N165-IF($M165,IF(INT(($L165-$D$5)/7)&lt;$A$24,$B$24,$D$10),0)))</x:f>
        <x:v>0</x:v>
      </x:c>
      <x:c r="X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Y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Z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A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B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C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D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E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F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G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H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I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J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K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L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M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N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O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P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Q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R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S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T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U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V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W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X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Y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AZ165" s="116"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c r="BA165" s="117" t="n">
        <x:f>IF(OR(INDEX('1 Budget annuel'!$A$14:$A$43,COLUMN()-COLUMN($X$42)+1)&lt;&gt;"Oui",INDEX('1 Budget annuel'!$L$14:$L$43,COLUMN()-COLUMN($X$42)+1)="",AND(INDEX('1 Budget annuel'!$B$14:$B$43,COLUMN()-COLUMN($X$42)+1)="Sortie",INDEX('1 Budget annuel'!$M$14:$M$43,COLUMN()-COLUMN($X$42)+1)="Oui"),$L165&lt;INDEX('1 Budget annuel'!$L$14:$L$43,COLUMN()-COLUMN($X$42)+1),$L165&gt;$D$5+363),0,IF(OR(AND(INDEX('1 Budget annuel'!$E$14:$E$43,COLUMN()-COLUMN($X$42)+1)="Hebdomadaire",MOD($L165-INDEX('1 Budget annuel'!$L$14:$L$43,COLUMN()-COLUMN($X$42)+1),7)=0),AND(INDEX('1 Budget annuel'!$E$14:$E$43,COLUMN()-COLUMN($X$42)+1)="Toutes les 4 semaines",MOD($L165-INDEX('1 Budget annuel'!$L$14:$L$43,COLUMN()-COLUMN($X$42)+1),28)=0),AND(INDEX('1 Budget annuel'!$E$14:$E$43,COLUMN()-COLUMN($X$42)+1)="Mensuelle",DAY($L165)=MIN(DAY(INDEX('1 Budget annuel'!$L$14:$L$43,COLUMN()-COLUMN($X$42)+1)),DAY(EOMONTH($L165,0)))),AND(INDEX('1 Budget annuel'!$E$14:$E$43,COLUMN()-COLUMN($X$42)+1)="Trimestrielle",MOD((YEAR($L165)-YEAR(INDEX('1 Budget annuel'!$L$14:$L$43,COLUMN()-COLUMN($X$42)+1)))*12+MONTH($L165)-MONTH(INDEX('1 Budget annuel'!$L$14:$L$43,COLUMN()-COLUMN($X$42)+1)),3)=0,DAY($L165)=MIN(DAY(INDEX('1 Budget annuel'!$L$14:$L$43,COLUMN()-COLUMN($X$42)+1)),DAY(EOMONTH($L165,0)))),AND(INDEX('1 Budget annuel'!$E$14:$E$43,COLUMN()-COLUMN($X$42)+1)="Semestrielle",MOD((YEAR($L165)-YEAR(INDEX('1 Budget annuel'!$L$14:$L$43,COLUMN()-COLUMN($X$42)+1)))*12+MONTH($L165)-MONTH(INDEX('1 Budget annuel'!$L$14:$L$43,COLUMN()-COLUMN($X$42)+1)),6)=0,DAY($L165)=MIN(DAY(INDEX('1 Budget annuel'!$L$14:$L$43,COLUMN()-COLUMN($X$42)+1)),DAY(EOMONTH($L165,0)))),AND(INDEX('1 Budget annuel'!$E$14:$E$43,COLUMN()-COLUMN($X$42)+1)="Annuelle",MOD((YEAR($L165)-YEAR(INDEX('1 Budget annuel'!$L$14:$L$43,COLUMN()-COLUMN($X$42)+1)))*12+MONTH($L165)-MONTH(INDEX('1 Budget annuel'!$L$14:$L$43,COLUMN()-COLUMN($X$42)+1)),12)=0,DAY($L165)=MIN(DAY(INDEX('1 Budget annuel'!$L$14:$L$43,COLUMN()-COLUMN($X$42)+1)),DAY(EOMONTH($L165,0))))),IF(INDEX('1 Budget annuel'!$B$14:$B$43,COLUMN()-COLUMN($X$42)+1)="Entrée",INDEX('1 Budget annuel'!$I$14:$I$43,COLUMN()-COLUMN($X$42)+1),-INDEX('1 Budget annuel'!$I$14:$I$43,COLUMN()-COLUMN($X$42)+1)),0))</x:f>
        <x:v>0</x:v>
      </x:c>
    </x:row>
    <x:row r="166">
      <x:c r="L166" s="114" t="n">
        <x:f>L165+1</x:f>
        <x:v>46360</x:v>
      </x:c>
      <x:c r="M166" s="115" t="b">
        <x:f>AND(L166&gt;=$D$5,L166&lt;=$D$5+363,MOD(L166-$D$5,7)=0)</x:f>
        <x:v>0</x:v>
      </x:c>
      <x:c r="N166" s="116" t="n">
        <x:f>SUM(X166:BA166)</x:f>
        <x:v>0</x:v>
      </x:c>
      <x:c r="O166" s="116" t="n">
        <x:f>IF(M166,$D$10,0)</x:f>
        <x:v>0</x:v>
      </x:c>
      <x:c r="P166" s="116" t="n">
        <x:f>N166-O166</x:f>
        <x:v>0</x:v>
      </x:c>
      <x:c r="Q166" s="116" t="n">
        <x:f>IF(L166&lt;$D$5,0,IF(L166=$D$5,P166,Q165+P166))</x:f>
        <x:v>0</x:v>
      </x:c>
      <x:c r="R166" s="116" t="n">
        <x:f>IF(L166&lt;$D$5,"",$J$10+Q166)</x:f>
        <x:v>0</x:v>
      </x:c>
      <x:c r="S166" s="116" t="n">
        <x:f>IF($L166&lt;$D$5,"",IF($L166=$D$5,$J$10+$N166-IF($M166,IF(INT(($L166-$D$5)/7)&lt;$A$20,$B$20,$D$10),0),S165+$N166-IF($M166,IF(INT(($L166-$D$5)/7)&lt;$A$20,$B$20,$D$10),0)))</x:f>
        <x:v>0</x:v>
      </x:c>
      <x:c r="T166" s="116" t="n">
        <x:f>IF($L166&lt;$D$5,"",IF($L166=$D$5,$J$10+$N166-IF($M166,IF(INT(($L166-$D$5)/7)&lt;$A$21,$B$21,$D$10),0),T165+$N166-IF($M166,IF(INT(($L166-$D$5)/7)&lt;$A$21,$B$21,$D$10),0)))</x:f>
        <x:v>0</x:v>
      </x:c>
      <x:c r="U166" s="116" t="n">
        <x:f>IF($L166&lt;$D$5,"",IF($L166=$D$5,$J$10+$N166-IF($M166,IF(INT(($L166-$D$5)/7)&lt;$A$22,$B$22,$D$10),0),U165+$N166-IF($M166,IF(INT(($L166-$D$5)/7)&lt;$A$22,$B$22,$D$10),0)))</x:f>
        <x:v>0</x:v>
      </x:c>
      <x:c r="V166" s="116" t="n">
        <x:f>IF($L166&lt;$D$5,"",IF($L166=$D$5,$J$10+$N166-IF($M166,IF(INT(($L166-$D$5)/7)&lt;$A$23,$B$23,$D$10),0),V165+$N166-IF($M166,IF(INT(($L166-$D$5)/7)&lt;$A$23,$B$23,$D$10),0)))</x:f>
        <x:v>0</x:v>
      </x:c>
      <x:c r="W166" s="116" t="n">
        <x:f>IF($L166&lt;$D$5,"",IF($L166=$D$5,$J$10+$N166-IF($M166,IF(INT(($L166-$D$5)/7)&lt;$A$24,$B$24,$D$10),0),W165+$N166-IF($M166,IF(INT(($L166-$D$5)/7)&lt;$A$24,$B$24,$D$10),0)))</x:f>
        <x:v>0</x:v>
      </x:c>
      <x:c r="X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Y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Z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A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B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C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D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E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F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G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H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I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J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K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L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M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N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O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P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Q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R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S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T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U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V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W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X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Y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AZ166" s="116"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c r="BA166" s="117" t="n">
        <x:f>IF(OR(INDEX('1 Budget annuel'!$A$14:$A$43,COLUMN()-COLUMN($X$42)+1)&lt;&gt;"Oui",INDEX('1 Budget annuel'!$L$14:$L$43,COLUMN()-COLUMN($X$42)+1)="",AND(INDEX('1 Budget annuel'!$B$14:$B$43,COLUMN()-COLUMN($X$42)+1)="Sortie",INDEX('1 Budget annuel'!$M$14:$M$43,COLUMN()-COLUMN($X$42)+1)="Oui"),$L166&lt;INDEX('1 Budget annuel'!$L$14:$L$43,COLUMN()-COLUMN($X$42)+1),$L166&gt;$D$5+363),0,IF(OR(AND(INDEX('1 Budget annuel'!$E$14:$E$43,COLUMN()-COLUMN($X$42)+1)="Hebdomadaire",MOD($L166-INDEX('1 Budget annuel'!$L$14:$L$43,COLUMN()-COLUMN($X$42)+1),7)=0),AND(INDEX('1 Budget annuel'!$E$14:$E$43,COLUMN()-COLUMN($X$42)+1)="Toutes les 4 semaines",MOD($L166-INDEX('1 Budget annuel'!$L$14:$L$43,COLUMN()-COLUMN($X$42)+1),28)=0),AND(INDEX('1 Budget annuel'!$E$14:$E$43,COLUMN()-COLUMN($X$42)+1)="Mensuelle",DAY($L166)=MIN(DAY(INDEX('1 Budget annuel'!$L$14:$L$43,COLUMN()-COLUMN($X$42)+1)),DAY(EOMONTH($L166,0)))),AND(INDEX('1 Budget annuel'!$E$14:$E$43,COLUMN()-COLUMN($X$42)+1)="Trimestrielle",MOD((YEAR($L166)-YEAR(INDEX('1 Budget annuel'!$L$14:$L$43,COLUMN()-COLUMN($X$42)+1)))*12+MONTH($L166)-MONTH(INDEX('1 Budget annuel'!$L$14:$L$43,COLUMN()-COLUMN($X$42)+1)),3)=0,DAY($L166)=MIN(DAY(INDEX('1 Budget annuel'!$L$14:$L$43,COLUMN()-COLUMN($X$42)+1)),DAY(EOMONTH($L166,0)))),AND(INDEX('1 Budget annuel'!$E$14:$E$43,COLUMN()-COLUMN($X$42)+1)="Semestrielle",MOD((YEAR($L166)-YEAR(INDEX('1 Budget annuel'!$L$14:$L$43,COLUMN()-COLUMN($X$42)+1)))*12+MONTH($L166)-MONTH(INDEX('1 Budget annuel'!$L$14:$L$43,COLUMN()-COLUMN($X$42)+1)),6)=0,DAY($L166)=MIN(DAY(INDEX('1 Budget annuel'!$L$14:$L$43,COLUMN()-COLUMN($X$42)+1)),DAY(EOMONTH($L166,0)))),AND(INDEX('1 Budget annuel'!$E$14:$E$43,COLUMN()-COLUMN($X$42)+1)="Annuelle",MOD((YEAR($L166)-YEAR(INDEX('1 Budget annuel'!$L$14:$L$43,COLUMN()-COLUMN($X$42)+1)))*12+MONTH($L166)-MONTH(INDEX('1 Budget annuel'!$L$14:$L$43,COLUMN()-COLUMN($X$42)+1)),12)=0,DAY($L166)=MIN(DAY(INDEX('1 Budget annuel'!$L$14:$L$43,COLUMN()-COLUMN($X$42)+1)),DAY(EOMONTH($L166,0))))),IF(INDEX('1 Budget annuel'!$B$14:$B$43,COLUMN()-COLUMN($X$42)+1)="Entrée",INDEX('1 Budget annuel'!$I$14:$I$43,COLUMN()-COLUMN($X$42)+1),-INDEX('1 Budget annuel'!$I$14:$I$43,COLUMN()-COLUMN($X$42)+1)),0))</x:f>
        <x:v>0</x:v>
      </x:c>
    </x:row>
    <x:row r="167">
      <x:c r="L167" s="114" t="n">
        <x:f>L166+1</x:f>
        <x:v>46361</x:v>
      </x:c>
      <x:c r="M167" s="115" t="b">
        <x:f>AND(L167&gt;=$D$5,L167&lt;=$D$5+363,MOD(L167-$D$5,7)=0)</x:f>
        <x:v>1</x:v>
      </x:c>
      <x:c r="N167" s="116" t="n">
        <x:f>SUM(X167:BA167)</x:f>
        <x:v>0</x:v>
      </x:c>
      <x:c r="O167" s="116" t="n">
        <x:f>IF(M167,$D$10,0)</x:f>
        <x:v>0</x:v>
      </x:c>
      <x:c r="P167" s="116" t="n">
        <x:f>N167-O167</x:f>
        <x:v>0</x:v>
      </x:c>
      <x:c r="Q167" s="116" t="n">
        <x:f>IF(L167&lt;$D$5,0,IF(L167=$D$5,P167,Q166+P167))</x:f>
        <x:v>0</x:v>
      </x:c>
      <x:c r="R167" s="116" t="n">
        <x:f>IF(L167&lt;$D$5,"",$J$10+Q167)</x:f>
        <x:v>0</x:v>
      </x:c>
      <x:c r="S167" s="116" t="n">
        <x:f>IF($L167&lt;$D$5,"",IF($L167=$D$5,$J$10+$N167-IF($M167,IF(INT(($L167-$D$5)/7)&lt;$A$20,$B$20,$D$10),0),S166+$N167-IF($M167,IF(INT(($L167-$D$5)/7)&lt;$A$20,$B$20,$D$10),0)))</x:f>
        <x:v>0</x:v>
      </x:c>
      <x:c r="T167" s="116" t="n">
        <x:f>IF($L167&lt;$D$5,"",IF($L167=$D$5,$J$10+$N167-IF($M167,IF(INT(($L167-$D$5)/7)&lt;$A$21,$B$21,$D$10),0),T166+$N167-IF($M167,IF(INT(($L167-$D$5)/7)&lt;$A$21,$B$21,$D$10),0)))</x:f>
        <x:v>0</x:v>
      </x:c>
      <x:c r="U167" s="116" t="n">
        <x:f>IF($L167&lt;$D$5,"",IF($L167=$D$5,$J$10+$N167-IF($M167,IF(INT(($L167-$D$5)/7)&lt;$A$22,$B$22,$D$10),0),U166+$N167-IF($M167,IF(INT(($L167-$D$5)/7)&lt;$A$22,$B$22,$D$10),0)))</x:f>
        <x:v>0</x:v>
      </x:c>
      <x:c r="V167" s="116" t="n">
        <x:f>IF($L167&lt;$D$5,"",IF($L167=$D$5,$J$10+$N167-IF($M167,IF(INT(($L167-$D$5)/7)&lt;$A$23,$B$23,$D$10),0),V166+$N167-IF($M167,IF(INT(($L167-$D$5)/7)&lt;$A$23,$B$23,$D$10),0)))</x:f>
        <x:v>0</x:v>
      </x:c>
      <x:c r="W167" s="116" t="n">
        <x:f>IF($L167&lt;$D$5,"",IF($L167=$D$5,$J$10+$N167-IF($M167,IF(INT(($L167-$D$5)/7)&lt;$A$24,$B$24,$D$10),0),W166+$N167-IF($M167,IF(INT(($L167-$D$5)/7)&lt;$A$24,$B$24,$D$10),0)))</x:f>
        <x:v>0</x:v>
      </x:c>
      <x:c r="X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Y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Z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A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B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C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D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E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F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G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H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I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J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K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L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M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N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O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P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Q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R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S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T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U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V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W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X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Y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AZ167" s="116"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c r="BA167" s="117" t="n">
        <x:f>IF(OR(INDEX('1 Budget annuel'!$A$14:$A$43,COLUMN()-COLUMN($X$42)+1)&lt;&gt;"Oui",INDEX('1 Budget annuel'!$L$14:$L$43,COLUMN()-COLUMN($X$42)+1)="",AND(INDEX('1 Budget annuel'!$B$14:$B$43,COLUMN()-COLUMN($X$42)+1)="Sortie",INDEX('1 Budget annuel'!$M$14:$M$43,COLUMN()-COLUMN($X$42)+1)="Oui"),$L167&lt;INDEX('1 Budget annuel'!$L$14:$L$43,COLUMN()-COLUMN($X$42)+1),$L167&gt;$D$5+363),0,IF(OR(AND(INDEX('1 Budget annuel'!$E$14:$E$43,COLUMN()-COLUMN($X$42)+1)="Hebdomadaire",MOD($L167-INDEX('1 Budget annuel'!$L$14:$L$43,COLUMN()-COLUMN($X$42)+1),7)=0),AND(INDEX('1 Budget annuel'!$E$14:$E$43,COLUMN()-COLUMN($X$42)+1)="Toutes les 4 semaines",MOD($L167-INDEX('1 Budget annuel'!$L$14:$L$43,COLUMN()-COLUMN($X$42)+1),28)=0),AND(INDEX('1 Budget annuel'!$E$14:$E$43,COLUMN()-COLUMN($X$42)+1)="Mensuelle",DAY($L167)=MIN(DAY(INDEX('1 Budget annuel'!$L$14:$L$43,COLUMN()-COLUMN($X$42)+1)),DAY(EOMONTH($L167,0)))),AND(INDEX('1 Budget annuel'!$E$14:$E$43,COLUMN()-COLUMN($X$42)+1)="Trimestrielle",MOD((YEAR($L167)-YEAR(INDEX('1 Budget annuel'!$L$14:$L$43,COLUMN()-COLUMN($X$42)+1)))*12+MONTH($L167)-MONTH(INDEX('1 Budget annuel'!$L$14:$L$43,COLUMN()-COLUMN($X$42)+1)),3)=0,DAY($L167)=MIN(DAY(INDEX('1 Budget annuel'!$L$14:$L$43,COLUMN()-COLUMN($X$42)+1)),DAY(EOMONTH($L167,0)))),AND(INDEX('1 Budget annuel'!$E$14:$E$43,COLUMN()-COLUMN($X$42)+1)="Semestrielle",MOD((YEAR($L167)-YEAR(INDEX('1 Budget annuel'!$L$14:$L$43,COLUMN()-COLUMN($X$42)+1)))*12+MONTH($L167)-MONTH(INDEX('1 Budget annuel'!$L$14:$L$43,COLUMN()-COLUMN($X$42)+1)),6)=0,DAY($L167)=MIN(DAY(INDEX('1 Budget annuel'!$L$14:$L$43,COLUMN()-COLUMN($X$42)+1)),DAY(EOMONTH($L167,0)))),AND(INDEX('1 Budget annuel'!$E$14:$E$43,COLUMN()-COLUMN($X$42)+1)="Annuelle",MOD((YEAR($L167)-YEAR(INDEX('1 Budget annuel'!$L$14:$L$43,COLUMN()-COLUMN($X$42)+1)))*12+MONTH($L167)-MONTH(INDEX('1 Budget annuel'!$L$14:$L$43,COLUMN()-COLUMN($X$42)+1)),12)=0,DAY($L167)=MIN(DAY(INDEX('1 Budget annuel'!$L$14:$L$43,COLUMN()-COLUMN($X$42)+1)),DAY(EOMONTH($L167,0))))),IF(INDEX('1 Budget annuel'!$B$14:$B$43,COLUMN()-COLUMN($X$42)+1)="Entrée",INDEX('1 Budget annuel'!$I$14:$I$43,COLUMN()-COLUMN($X$42)+1),-INDEX('1 Budget annuel'!$I$14:$I$43,COLUMN()-COLUMN($X$42)+1)),0))</x:f>
        <x:v>0</x:v>
      </x:c>
    </x:row>
    <x:row r="168">
      <x:c r="L168" s="114" t="n">
        <x:f>L167+1</x:f>
        <x:v>46362</x:v>
      </x:c>
      <x:c r="M168" s="115" t="b">
        <x:f>AND(L168&gt;=$D$5,L168&lt;=$D$5+363,MOD(L168-$D$5,7)=0)</x:f>
        <x:v>0</x:v>
      </x:c>
      <x:c r="N168" s="116" t="n">
        <x:f>SUM(X168:BA168)</x:f>
        <x:v>0</x:v>
      </x:c>
      <x:c r="O168" s="116" t="n">
        <x:f>IF(M168,$D$10,0)</x:f>
        <x:v>0</x:v>
      </x:c>
      <x:c r="P168" s="116" t="n">
        <x:f>N168-O168</x:f>
        <x:v>0</x:v>
      </x:c>
      <x:c r="Q168" s="116" t="n">
        <x:f>IF(L168&lt;$D$5,0,IF(L168=$D$5,P168,Q167+P168))</x:f>
        <x:v>0</x:v>
      </x:c>
      <x:c r="R168" s="116" t="n">
        <x:f>IF(L168&lt;$D$5,"",$J$10+Q168)</x:f>
        <x:v>0</x:v>
      </x:c>
      <x:c r="S168" s="116" t="n">
        <x:f>IF($L168&lt;$D$5,"",IF($L168=$D$5,$J$10+$N168-IF($M168,IF(INT(($L168-$D$5)/7)&lt;$A$20,$B$20,$D$10),0),S167+$N168-IF($M168,IF(INT(($L168-$D$5)/7)&lt;$A$20,$B$20,$D$10),0)))</x:f>
        <x:v>0</x:v>
      </x:c>
      <x:c r="T168" s="116" t="n">
        <x:f>IF($L168&lt;$D$5,"",IF($L168=$D$5,$J$10+$N168-IF($M168,IF(INT(($L168-$D$5)/7)&lt;$A$21,$B$21,$D$10),0),T167+$N168-IF($M168,IF(INT(($L168-$D$5)/7)&lt;$A$21,$B$21,$D$10),0)))</x:f>
        <x:v>0</x:v>
      </x:c>
      <x:c r="U168" s="116" t="n">
        <x:f>IF($L168&lt;$D$5,"",IF($L168=$D$5,$J$10+$N168-IF($M168,IF(INT(($L168-$D$5)/7)&lt;$A$22,$B$22,$D$10),0),U167+$N168-IF($M168,IF(INT(($L168-$D$5)/7)&lt;$A$22,$B$22,$D$10),0)))</x:f>
        <x:v>0</x:v>
      </x:c>
      <x:c r="V168" s="116" t="n">
        <x:f>IF($L168&lt;$D$5,"",IF($L168=$D$5,$J$10+$N168-IF($M168,IF(INT(($L168-$D$5)/7)&lt;$A$23,$B$23,$D$10),0),V167+$N168-IF($M168,IF(INT(($L168-$D$5)/7)&lt;$A$23,$B$23,$D$10),0)))</x:f>
        <x:v>0</x:v>
      </x:c>
      <x:c r="W168" s="116" t="n">
        <x:f>IF($L168&lt;$D$5,"",IF($L168=$D$5,$J$10+$N168-IF($M168,IF(INT(($L168-$D$5)/7)&lt;$A$24,$B$24,$D$10),0),W167+$N168-IF($M168,IF(INT(($L168-$D$5)/7)&lt;$A$24,$B$24,$D$10),0)))</x:f>
        <x:v>0</x:v>
      </x:c>
      <x:c r="X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Y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Z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A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B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C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D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E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F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G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H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I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J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K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L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M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N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O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P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Q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R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S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T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U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V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W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X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Y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AZ168" s="116"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c r="BA168" s="117" t="n">
        <x:f>IF(OR(INDEX('1 Budget annuel'!$A$14:$A$43,COLUMN()-COLUMN($X$42)+1)&lt;&gt;"Oui",INDEX('1 Budget annuel'!$L$14:$L$43,COLUMN()-COLUMN($X$42)+1)="",AND(INDEX('1 Budget annuel'!$B$14:$B$43,COLUMN()-COLUMN($X$42)+1)="Sortie",INDEX('1 Budget annuel'!$M$14:$M$43,COLUMN()-COLUMN($X$42)+1)="Oui"),$L168&lt;INDEX('1 Budget annuel'!$L$14:$L$43,COLUMN()-COLUMN($X$42)+1),$L168&gt;$D$5+363),0,IF(OR(AND(INDEX('1 Budget annuel'!$E$14:$E$43,COLUMN()-COLUMN($X$42)+1)="Hebdomadaire",MOD($L168-INDEX('1 Budget annuel'!$L$14:$L$43,COLUMN()-COLUMN($X$42)+1),7)=0),AND(INDEX('1 Budget annuel'!$E$14:$E$43,COLUMN()-COLUMN($X$42)+1)="Toutes les 4 semaines",MOD($L168-INDEX('1 Budget annuel'!$L$14:$L$43,COLUMN()-COLUMN($X$42)+1),28)=0),AND(INDEX('1 Budget annuel'!$E$14:$E$43,COLUMN()-COLUMN($X$42)+1)="Mensuelle",DAY($L168)=MIN(DAY(INDEX('1 Budget annuel'!$L$14:$L$43,COLUMN()-COLUMN($X$42)+1)),DAY(EOMONTH($L168,0)))),AND(INDEX('1 Budget annuel'!$E$14:$E$43,COLUMN()-COLUMN($X$42)+1)="Trimestrielle",MOD((YEAR($L168)-YEAR(INDEX('1 Budget annuel'!$L$14:$L$43,COLUMN()-COLUMN($X$42)+1)))*12+MONTH($L168)-MONTH(INDEX('1 Budget annuel'!$L$14:$L$43,COLUMN()-COLUMN($X$42)+1)),3)=0,DAY($L168)=MIN(DAY(INDEX('1 Budget annuel'!$L$14:$L$43,COLUMN()-COLUMN($X$42)+1)),DAY(EOMONTH($L168,0)))),AND(INDEX('1 Budget annuel'!$E$14:$E$43,COLUMN()-COLUMN($X$42)+1)="Semestrielle",MOD((YEAR($L168)-YEAR(INDEX('1 Budget annuel'!$L$14:$L$43,COLUMN()-COLUMN($X$42)+1)))*12+MONTH($L168)-MONTH(INDEX('1 Budget annuel'!$L$14:$L$43,COLUMN()-COLUMN($X$42)+1)),6)=0,DAY($L168)=MIN(DAY(INDEX('1 Budget annuel'!$L$14:$L$43,COLUMN()-COLUMN($X$42)+1)),DAY(EOMONTH($L168,0)))),AND(INDEX('1 Budget annuel'!$E$14:$E$43,COLUMN()-COLUMN($X$42)+1)="Annuelle",MOD((YEAR($L168)-YEAR(INDEX('1 Budget annuel'!$L$14:$L$43,COLUMN()-COLUMN($X$42)+1)))*12+MONTH($L168)-MONTH(INDEX('1 Budget annuel'!$L$14:$L$43,COLUMN()-COLUMN($X$42)+1)),12)=0,DAY($L168)=MIN(DAY(INDEX('1 Budget annuel'!$L$14:$L$43,COLUMN()-COLUMN($X$42)+1)),DAY(EOMONTH($L168,0))))),IF(INDEX('1 Budget annuel'!$B$14:$B$43,COLUMN()-COLUMN($X$42)+1)="Entrée",INDEX('1 Budget annuel'!$I$14:$I$43,COLUMN()-COLUMN($X$42)+1),-INDEX('1 Budget annuel'!$I$14:$I$43,COLUMN()-COLUMN($X$42)+1)),0))</x:f>
        <x:v>0</x:v>
      </x:c>
    </x:row>
    <x:row r="169">
      <x:c r="L169" s="114" t="n">
        <x:f>L168+1</x:f>
        <x:v>46363</x:v>
      </x:c>
      <x:c r="M169" s="115" t="b">
        <x:f>AND(L169&gt;=$D$5,L169&lt;=$D$5+363,MOD(L169-$D$5,7)=0)</x:f>
        <x:v>0</x:v>
      </x:c>
      <x:c r="N169" s="116" t="n">
        <x:f>SUM(X169:BA169)</x:f>
        <x:v>0</x:v>
      </x:c>
      <x:c r="O169" s="116" t="n">
        <x:f>IF(M169,$D$10,0)</x:f>
        <x:v>0</x:v>
      </x:c>
      <x:c r="P169" s="116" t="n">
        <x:f>N169-O169</x:f>
        <x:v>0</x:v>
      </x:c>
      <x:c r="Q169" s="116" t="n">
        <x:f>IF(L169&lt;$D$5,0,IF(L169=$D$5,P169,Q168+P169))</x:f>
        <x:v>0</x:v>
      </x:c>
      <x:c r="R169" s="116" t="n">
        <x:f>IF(L169&lt;$D$5,"",$J$10+Q169)</x:f>
        <x:v>0</x:v>
      </x:c>
      <x:c r="S169" s="116" t="n">
        <x:f>IF($L169&lt;$D$5,"",IF($L169=$D$5,$J$10+$N169-IF($M169,IF(INT(($L169-$D$5)/7)&lt;$A$20,$B$20,$D$10),0),S168+$N169-IF($M169,IF(INT(($L169-$D$5)/7)&lt;$A$20,$B$20,$D$10),0)))</x:f>
        <x:v>0</x:v>
      </x:c>
      <x:c r="T169" s="116" t="n">
        <x:f>IF($L169&lt;$D$5,"",IF($L169=$D$5,$J$10+$N169-IF($M169,IF(INT(($L169-$D$5)/7)&lt;$A$21,$B$21,$D$10),0),T168+$N169-IF($M169,IF(INT(($L169-$D$5)/7)&lt;$A$21,$B$21,$D$10),0)))</x:f>
        <x:v>0</x:v>
      </x:c>
      <x:c r="U169" s="116" t="n">
        <x:f>IF($L169&lt;$D$5,"",IF($L169=$D$5,$J$10+$N169-IF($M169,IF(INT(($L169-$D$5)/7)&lt;$A$22,$B$22,$D$10),0),U168+$N169-IF($M169,IF(INT(($L169-$D$5)/7)&lt;$A$22,$B$22,$D$10),0)))</x:f>
        <x:v>0</x:v>
      </x:c>
      <x:c r="V169" s="116" t="n">
        <x:f>IF($L169&lt;$D$5,"",IF($L169=$D$5,$J$10+$N169-IF($M169,IF(INT(($L169-$D$5)/7)&lt;$A$23,$B$23,$D$10),0),V168+$N169-IF($M169,IF(INT(($L169-$D$5)/7)&lt;$A$23,$B$23,$D$10),0)))</x:f>
        <x:v>0</x:v>
      </x:c>
      <x:c r="W169" s="116" t="n">
        <x:f>IF($L169&lt;$D$5,"",IF($L169=$D$5,$J$10+$N169-IF($M169,IF(INT(($L169-$D$5)/7)&lt;$A$24,$B$24,$D$10),0),W168+$N169-IF($M169,IF(INT(($L169-$D$5)/7)&lt;$A$24,$B$24,$D$10),0)))</x:f>
        <x:v>0</x:v>
      </x:c>
      <x:c r="X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Y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Z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A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B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C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D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E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F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G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H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I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J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K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L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M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N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O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P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Q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R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S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T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U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V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W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X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Y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AZ169" s="116"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c r="BA169" s="117" t="n">
        <x:f>IF(OR(INDEX('1 Budget annuel'!$A$14:$A$43,COLUMN()-COLUMN($X$42)+1)&lt;&gt;"Oui",INDEX('1 Budget annuel'!$L$14:$L$43,COLUMN()-COLUMN($X$42)+1)="",AND(INDEX('1 Budget annuel'!$B$14:$B$43,COLUMN()-COLUMN($X$42)+1)="Sortie",INDEX('1 Budget annuel'!$M$14:$M$43,COLUMN()-COLUMN($X$42)+1)="Oui"),$L169&lt;INDEX('1 Budget annuel'!$L$14:$L$43,COLUMN()-COLUMN($X$42)+1),$L169&gt;$D$5+363),0,IF(OR(AND(INDEX('1 Budget annuel'!$E$14:$E$43,COLUMN()-COLUMN($X$42)+1)="Hebdomadaire",MOD($L169-INDEX('1 Budget annuel'!$L$14:$L$43,COLUMN()-COLUMN($X$42)+1),7)=0),AND(INDEX('1 Budget annuel'!$E$14:$E$43,COLUMN()-COLUMN($X$42)+1)="Toutes les 4 semaines",MOD($L169-INDEX('1 Budget annuel'!$L$14:$L$43,COLUMN()-COLUMN($X$42)+1),28)=0),AND(INDEX('1 Budget annuel'!$E$14:$E$43,COLUMN()-COLUMN($X$42)+1)="Mensuelle",DAY($L169)=MIN(DAY(INDEX('1 Budget annuel'!$L$14:$L$43,COLUMN()-COLUMN($X$42)+1)),DAY(EOMONTH($L169,0)))),AND(INDEX('1 Budget annuel'!$E$14:$E$43,COLUMN()-COLUMN($X$42)+1)="Trimestrielle",MOD((YEAR($L169)-YEAR(INDEX('1 Budget annuel'!$L$14:$L$43,COLUMN()-COLUMN($X$42)+1)))*12+MONTH($L169)-MONTH(INDEX('1 Budget annuel'!$L$14:$L$43,COLUMN()-COLUMN($X$42)+1)),3)=0,DAY($L169)=MIN(DAY(INDEX('1 Budget annuel'!$L$14:$L$43,COLUMN()-COLUMN($X$42)+1)),DAY(EOMONTH($L169,0)))),AND(INDEX('1 Budget annuel'!$E$14:$E$43,COLUMN()-COLUMN($X$42)+1)="Semestrielle",MOD((YEAR($L169)-YEAR(INDEX('1 Budget annuel'!$L$14:$L$43,COLUMN()-COLUMN($X$42)+1)))*12+MONTH($L169)-MONTH(INDEX('1 Budget annuel'!$L$14:$L$43,COLUMN()-COLUMN($X$42)+1)),6)=0,DAY($L169)=MIN(DAY(INDEX('1 Budget annuel'!$L$14:$L$43,COLUMN()-COLUMN($X$42)+1)),DAY(EOMONTH($L169,0)))),AND(INDEX('1 Budget annuel'!$E$14:$E$43,COLUMN()-COLUMN($X$42)+1)="Annuelle",MOD((YEAR($L169)-YEAR(INDEX('1 Budget annuel'!$L$14:$L$43,COLUMN()-COLUMN($X$42)+1)))*12+MONTH($L169)-MONTH(INDEX('1 Budget annuel'!$L$14:$L$43,COLUMN()-COLUMN($X$42)+1)),12)=0,DAY($L169)=MIN(DAY(INDEX('1 Budget annuel'!$L$14:$L$43,COLUMN()-COLUMN($X$42)+1)),DAY(EOMONTH($L169,0))))),IF(INDEX('1 Budget annuel'!$B$14:$B$43,COLUMN()-COLUMN($X$42)+1)="Entrée",INDEX('1 Budget annuel'!$I$14:$I$43,COLUMN()-COLUMN($X$42)+1),-INDEX('1 Budget annuel'!$I$14:$I$43,COLUMN()-COLUMN($X$42)+1)),0))</x:f>
        <x:v>0</x:v>
      </x:c>
    </x:row>
    <x:row r="170">
      <x:c r="L170" s="114" t="n">
        <x:f>L169+1</x:f>
        <x:v>46364</x:v>
      </x:c>
      <x:c r="M170" s="115" t="b">
        <x:f>AND(L170&gt;=$D$5,L170&lt;=$D$5+363,MOD(L170-$D$5,7)=0)</x:f>
        <x:v>0</x:v>
      </x:c>
      <x:c r="N170" s="116" t="n">
        <x:f>SUM(X170:BA170)</x:f>
        <x:v>0</x:v>
      </x:c>
      <x:c r="O170" s="116" t="n">
        <x:f>IF(M170,$D$10,0)</x:f>
        <x:v>0</x:v>
      </x:c>
      <x:c r="P170" s="116" t="n">
        <x:f>N170-O170</x:f>
        <x:v>0</x:v>
      </x:c>
      <x:c r="Q170" s="116" t="n">
        <x:f>IF(L170&lt;$D$5,0,IF(L170=$D$5,P170,Q169+P170))</x:f>
        <x:v>0</x:v>
      </x:c>
      <x:c r="R170" s="116" t="n">
        <x:f>IF(L170&lt;$D$5,"",$J$10+Q170)</x:f>
        <x:v>0</x:v>
      </x:c>
      <x:c r="S170" s="116" t="n">
        <x:f>IF($L170&lt;$D$5,"",IF($L170=$D$5,$J$10+$N170-IF($M170,IF(INT(($L170-$D$5)/7)&lt;$A$20,$B$20,$D$10),0),S169+$N170-IF($M170,IF(INT(($L170-$D$5)/7)&lt;$A$20,$B$20,$D$10),0)))</x:f>
        <x:v>0</x:v>
      </x:c>
      <x:c r="T170" s="116" t="n">
        <x:f>IF($L170&lt;$D$5,"",IF($L170=$D$5,$J$10+$N170-IF($M170,IF(INT(($L170-$D$5)/7)&lt;$A$21,$B$21,$D$10),0),T169+$N170-IF($M170,IF(INT(($L170-$D$5)/7)&lt;$A$21,$B$21,$D$10),0)))</x:f>
        <x:v>0</x:v>
      </x:c>
      <x:c r="U170" s="116" t="n">
        <x:f>IF($L170&lt;$D$5,"",IF($L170=$D$5,$J$10+$N170-IF($M170,IF(INT(($L170-$D$5)/7)&lt;$A$22,$B$22,$D$10),0),U169+$N170-IF($M170,IF(INT(($L170-$D$5)/7)&lt;$A$22,$B$22,$D$10),0)))</x:f>
        <x:v>0</x:v>
      </x:c>
      <x:c r="V170" s="116" t="n">
        <x:f>IF($L170&lt;$D$5,"",IF($L170=$D$5,$J$10+$N170-IF($M170,IF(INT(($L170-$D$5)/7)&lt;$A$23,$B$23,$D$10),0),V169+$N170-IF($M170,IF(INT(($L170-$D$5)/7)&lt;$A$23,$B$23,$D$10),0)))</x:f>
        <x:v>0</x:v>
      </x:c>
      <x:c r="W170" s="116" t="n">
        <x:f>IF($L170&lt;$D$5,"",IF($L170=$D$5,$J$10+$N170-IF($M170,IF(INT(($L170-$D$5)/7)&lt;$A$24,$B$24,$D$10),0),W169+$N170-IF($M170,IF(INT(($L170-$D$5)/7)&lt;$A$24,$B$24,$D$10),0)))</x:f>
        <x:v>0</x:v>
      </x:c>
      <x:c r="X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Y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Z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A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B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C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D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E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F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G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H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I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J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K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L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M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N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O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P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Q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R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S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T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U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V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W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X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Y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AZ170" s="116"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c r="BA170" s="117" t="n">
        <x:f>IF(OR(INDEX('1 Budget annuel'!$A$14:$A$43,COLUMN()-COLUMN($X$42)+1)&lt;&gt;"Oui",INDEX('1 Budget annuel'!$L$14:$L$43,COLUMN()-COLUMN($X$42)+1)="",AND(INDEX('1 Budget annuel'!$B$14:$B$43,COLUMN()-COLUMN($X$42)+1)="Sortie",INDEX('1 Budget annuel'!$M$14:$M$43,COLUMN()-COLUMN($X$42)+1)="Oui"),$L170&lt;INDEX('1 Budget annuel'!$L$14:$L$43,COLUMN()-COLUMN($X$42)+1),$L170&gt;$D$5+363),0,IF(OR(AND(INDEX('1 Budget annuel'!$E$14:$E$43,COLUMN()-COLUMN($X$42)+1)="Hebdomadaire",MOD($L170-INDEX('1 Budget annuel'!$L$14:$L$43,COLUMN()-COLUMN($X$42)+1),7)=0),AND(INDEX('1 Budget annuel'!$E$14:$E$43,COLUMN()-COLUMN($X$42)+1)="Toutes les 4 semaines",MOD($L170-INDEX('1 Budget annuel'!$L$14:$L$43,COLUMN()-COLUMN($X$42)+1),28)=0),AND(INDEX('1 Budget annuel'!$E$14:$E$43,COLUMN()-COLUMN($X$42)+1)="Mensuelle",DAY($L170)=MIN(DAY(INDEX('1 Budget annuel'!$L$14:$L$43,COLUMN()-COLUMN($X$42)+1)),DAY(EOMONTH($L170,0)))),AND(INDEX('1 Budget annuel'!$E$14:$E$43,COLUMN()-COLUMN($X$42)+1)="Trimestrielle",MOD((YEAR($L170)-YEAR(INDEX('1 Budget annuel'!$L$14:$L$43,COLUMN()-COLUMN($X$42)+1)))*12+MONTH($L170)-MONTH(INDEX('1 Budget annuel'!$L$14:$L$43,COLUMN()-COLUMN($X$42)+1)),3)=0,DAY($L170)=MIN(DAY(INDEX('1 Budget annuel'!$L$14:$L$43,COLUMN()-COLUMN($X$42)+1)),DAY(EOMONTH($L170,0)))),AND(INDEX('1 Budget annuel'!$E$14:$E$43,COLUMN()-COLUMN($X$42)+1)="Semestrielle",MOD((YEAR($L170)-YEAR(INDEX('1 Budget annuel'!$L$14:$L$43,COLUMN()-COLUMN($X$42)+1)))*12+MONTH($L170)-MONTH(INDEX('1 Budget annuel'!$L$14:$L$43,COLUMN()-COLUMN($X$42)+1)),6)=0,DAY($L170)=MIN(DAY(INDEX('1 Budget annuel'!$L$14:$L$43,COLUMN()-COLUMN($X$42)+1)),DAY(EOMONTH($L170,0)))),AND(INDEX('1 Budget annuel'!$E$14:$E$43,COLUMN()-COLUMN($X$42)+1)="Annuelle",MOD((YEAR($L170)-YEAR(INDEX('1 Budget annuel'!$L$14:$L$43,COLUMN()-COLUMN($X$42)+1)))*12+MONTH($L170)-MONTH(INDEX('1 Budget annuel'!$L$14:$L$43,COLUMN()-COLUMN($X$42)+1)),12)=0,DAY($L170)=MIN(DAY(INDEX('1 Budget annuel'!$L$14:$L$43,COLUMN()-COLUMN($X$42)+1)),DAY(EOMONTH($L170,0))))),IF(INDEX('1 Budget annuel'!$B$14:$B$43,COLUMN()-COLUMN($X$42)+1)="Entrée",INDEX('1 Budget annuel'!$I$14:$I$43,COLUMN()-COLUMN($X$42)+1),-INDEX('1 Budget annuel'!$I$14:$I$43,COLUMN()-COLUMN($X$42)+1)),0))</x:f>
        <x:v>0</x:v>
      </x:c>
    </x:row>
    <x:row r="171">
      <x:c r="L171" s="114" t="n">
        <x:f>L170+1</x:f>
        <x:v>46365</x:v>
      </x:c>
      <x:c r="M171" s="115" t="b">
        <x:f>AND(L171&gt;=$D$5,L171&lt;=$D$5+363,MOD(L171-$D$5,7)=0)</x:f>
        <x:v>0</x:v>
      </x:c>
      <x:c r="N171" s="116" t="n">
        <x:f>SUM(X171:BA171)</x:f>
        <x:v>0</x:v>
      </x:c>
      <x:c r="O171" s="116" t="n">
        <x:f>IF(M171,$D$10,0)</x:f>
        <x:v>0</x:v>
      </x:c>
      <x:c r="P171" s="116" t="n">
        <x:f>N171-O171</x:f>
        <x:v>0</x:v>
      </x:c>
      <x:c r="Q171" s="116" t="n">
        <x:f>IF(L171&lt;$D$5,0,IF(L171=$D$5,P171,Q170+P171))</x:f>
        <x:v>0</x:v>
      </x:c>
      <x:c r="R171" s="116" t="n">
        <x:f>IF(L171&lt;$D$5,"",$J$10+Q171)</x:f>
        <x:v>0</x:v>
      </x:c>
      <x:c r="S171" s="116" t="n">
        <x:f>IF($L171&lt;$D$5,"",IF($L171=$D$5,$J$10+$N171-IF($M171,IF(INT(($L171-$D$5)/7)&lt;$A$20,$B$20,$D$10),0),S170+$N171-IF($M171,IF(INT(($L171-$D$5)/7)&lt;$A$20,$B$20,$D$10),0)))</x:f>
        <x:v>0</x:v>
      </x:c>
      <x:c r="T171" s="116" t="n">
        <x:f>IF($L171&lt;$D$5,"",IF($L171=$D$5,$J$10+$N171-IF($M171,IF(INT(($L171-$D$5)/7)&lt;$A$21,$B$21,$D$10),0),T170+$N171-IF($M171,IF(INT(($L171-$D$5)/7)&lt;$A$21,$B$21,$D$10),0)))</x:f>
        <x:v>0</x:v>
      </x:c>
      <x:c r="U171" s="116" t="n">
        <x:f>IF($L171&lt;$D$5,"",IF($L171=$D$5,$J$10+$N171-IF($M171,IF(INT(($L171-$D$5)/7)&lt;$A$22,$B$22,$D$10),0),U170+$N171-IF($M171,IF(INT(($L171-$D$5)/7)&lt;$A$22,$B$22,$D$10),0)))</x:f>
        <x:v>0</x:v>
      </x:c>
      <x:c r="V171" s="116" t="n">
        <x:f>IF($L171&lt;$D$5,"",IF($L171=$D$5,$J$10+$N171-IF($M171,IF(INT(($L171-$D$5)/7)&lt;$A$23,$B$23,$D$10),0),V170+$N171-IF($M171,IF(INT(($L171-$D$5)/7)&lt;$A$23,$B$23,$D$10),0)))</x:f>
        <x:v>0</x:v>
      </x:c>
      <x:c r="W171" s="116" t="n">
        <x:f>IF($L171&lt;$D$5,"",IF($L171=$D$5,$J$10+$N171-IF($M171,IF(INT(($L171-$D$5)/7)&lt;$A$24,$B$24,$D$10),0),W170+$N171-IF($M171,IF(INT(($L171-$D$5)/7)&lt;$A$24,$B$24,$D$10),0)))</x:f>
        <x:v>0</x:v>
      </x:c>
      <x:c r="X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Y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Z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A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B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C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D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E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F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G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H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I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J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K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L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M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N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O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P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Q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R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S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T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U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V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W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X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Y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AZ171" s="116"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c r="BA171" s="117" t="n">
        <x:f>IF(OR(INDEX('1 Budget annuel'!$A$14:$A$43,COLUMN()-COLUMN($X$42)+1)&lt;&gt;"Oui",INDEX('1 Budget annuel'!$L$14:$L$43,COLUMN()-COLUMN($X$42)+1)="",AND(INDEX('1 Budget annuel'!$B$14:$B$43,COLUMN()-COLUMN($X$42)+1)="Sortie",INDEX('1 Budget annuel'!$M$14:$M$43,COLUMN()-COLUMN($X$42)+1)="Oui"),$L171&lt;INDEX('1 Budget annuel'!$L$14:$L$43,COLUMN()-COLUMN($X$42)+1),$L171&gt;$D$5+363),0,IF(OR(AND(INDEX('1 Budget annuel'!$E$14:$E$43,COLUMN()-COLUMN($X$42)+1)="Hebdomadaire",MOD($L171-INDEX('1 Budget annuel'!$L$14:$L$43,COLUMN()-COLUMN($X$42)+1),7)=0),AND(INDEX('1 Budget annuel'!$E$14:$E$43,COLUMN()-COLUMN($X$42)+1)="Toutes les 4 semaines",MOD($L171-INDEX('1 Budget annuel'!$L$14:$L$43,COLUMN()-COLUMN($X$42)+1),28)=0),AND(INDEX('1 Budget annuel'!$E$14:$E$43,COLUMN()-COLUMN($X$42)+1)="Mensuelle",DAY($L171)=MIN(DAY(INDEX('1 Budget annuel'!$L$14:$L$43,COLUMN()-COLUMN($X$42)+1)),DAY(EOMONTH($L171,0)))),AND(INDEX('1 Budget annuel'!$E$14:$E$43,COLUMN()-COLUMN($X$42)+1)="Trimestrielle",MOD((YEAR($L171)-YEAR(INDEX('1 Budget annuel'!$L$14:$L$43,COLUMN()-COLUMN($X$42)+1)))*12+MONTH($L171)-MONTH(INDEX('1 Budget annuel'!$L$14:$L$43,COLUMN()-COLUMN($X$42)+1)),3)=0,DAY($L171)=MIN(DAY(INDEX('1 Budget annuel'!$L$14:$L$43,COLUMN()-COLUMN($X$42)+1)),DAY(EOMONTH($L171,0)))),AND(INDEX('1 Budget annuel'!$E$14:$E$43,COLUMN()-COLUMN($X$42)+1)="Semestrielle",MOD((YEAR($L171)-YEAR(INDEX('1 Budget annuel'!$L$14:$L$43,COLUMN()-COLUMN($X$42)+1)))*12+MONTH($L171)-MONTH(INDEX('1 Budget annuel'!$L$14:$L$43,COLUMN()-COLUMN($X$42)+1)),6)=0,DAY($L171)=MIN(DAY(INDEX('1 Budget annuel'!$L$14:$L$43,COLUMN()-COLUMN($X$42)+1)),DAY(EOMONTH($L171,0)))),AND(INDEX('1 Budget annuel'!$E$14:$E$43,COLUMN()-COLUMN($X$42)+1)="Annuelle",MOD((YEAR($L171)-YEAR(INDEX('1 Budget annuel'!$L$14:$L$43,COLUMN()-COLUMN($X$42)+1)))*12+MONTH($L171)-MONTH(INDEX('1 Budget annuel'!$L$14:$L$43,COLUMN()-COLUMN($X$42)+1)),12)=0,DAY($L171)=MIN(DAY(INDEX('1 Budget annuel'!$L$14:$L$43,COLUMN()-COLUMN($X$42)+1)),DAY(EOMONTH($L171,0))))),IF(INDEX('1 Budget annuel'!$B$14:$B$43,COLUMN()-COLUMN($X$42)+1)="Entrée",INDEX('1 Budget annuel'!$I$14:$I$43,COLUMN()-COLUMN($X$42)+1),-INDEX('1 Budget annuel'!$I$14:$I$43,COLUMN()-COLUMN($X$42)+1)),0))</x:f>
        <x:v>0</x:v>
      </x:c>
    </x:row>
    <x:row r="172">
      <x:c r="L172" s="114" t="n">
        <x:f>L171+1</x:f>
        <x:v>46366</x:v>
      </x:c>
      <x:c r="M172" s="115" t="b">
        <x:f>AND(L172&gt;=$D$5,L172&lt;=$D$5+363,MOD(L172-$D$5,7)=0)</x:f>
        <x:v>0</x:v>
      </x:c>
      <x:c r="N172" s="116" t="n">
        <x:f>SUM(X172:BA172)</x:f>
        <x:v>0</x:v>
      </x:c>
      <x:c r="O172" s="116" t="n">
        <x:f>IF(M172,$D$10,0)</x:f>
        <x:v>0</x:v>
      </x:c>
      <x:c r="P172" s="116" t="n">
        <x:f>N172-O172</x:f>
        <x:v>0</x:v>
      </x:c>
      <x:c r="Q172" s="116" t="n">
        <x:f>IF(L172&lt;$D$5,0,IF(L172=$D$5,P172,Q171+P172))</x:f>
        <x:v>0</x:v>
      </x:c>
      <x:c r="R172" s="116" t="n">
        <x:f>IF(L172&lt;$D$5,"",$J$10+Q172)</x:f>
        <x:v>0</x:v>
      </x:c>
      <x:c r="S172" s="116" t="n">
        <x:f>IF($L172&lt;$D$5,"",IF($L172=$D$5,$J$10+$N172-IF($M172,IF(INT(($L172-$D$5)/7)&lt;$A$20,$B$20,$D$10),0),S171+$N172-IF($M172,IF(INT(($L172-$D$5)/7)&lt;$A$20,$B$20,$D$10),0)))</x:f>
        <x:v>0</x:v>
      </x:c>
      <x:c r="T172" s="116" t="n">
        <x:f>IF($L172&lt;$D$5,"",IF($L172=$D$5,$J$10+$N172-IF($M172,IF(INT(($L172-$D$5)/7)&lt;$A$21,$B$21,$D$10),0),T171+$N172-IF($M172,IF(INT(($L172-$D$5)/7)&lt;$A$21,$B$21,$D$10),0)))</x:f>
        <x:v>0</x:v>
      </x:c>
      <x:c r="U172" s="116" t="n">
        <x:f>IF($L172&lt;$D$5,"",IF($L172=$D$5,$J$10+$N172-IF($M172,IF(INT(($L172-$D$5)/7)&lt;$A$22,$B$22,$D$10),0),U171+$N172-IF($M172,IF(INT(($L172-$D$5)/7)&lt;$A$22,$B$22,$D$10),0)))</x:f>
        <x:v>0</x:v>
      </x:c>
      <x:c r="V172" s="116" t="n">
        <x:f>IF($L172&lt;$D$5,"",IF($L172=$D$5,$J$10+$N172-IF($M172,IF(INT(($L172-$D$5)/7)&lt;$A$23,$B$23,$D$10),0),V171+$N172-IF($M172,IF(INT(($L172-$D$5)/7)&lt;$A$23,$B$23,$D$10),0)))</x:f>
        <x:v>0</x:v>
      </x:c>
      <x:c r="W172" s="116" t="n">
        <x:f>IF($L172&lt;$D$5,"",IF($L172=$D$5,$J$10+$N172-IF($M172,IF(INT(($L172-$D$5)/7)&lt;$A$24,$B$24,$D$10),0),W171+$N172-IF($M172,IF(INT(($L172-$D$5)/7)&lt;$A$24,$B$24,$D$10),0)))</x:f>
        <x:v>0</x:v>
      </x:c>
      <x:c r="X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Y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Z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A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B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C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D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E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F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G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H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I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J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K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L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M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N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O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P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Q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R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S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T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U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V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W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X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Y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AZ172" s="116"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c r="BA172" s="117" t="n">
        <x:f>IF(OR(INDEX('1 Budget annuel'!$A$14:$A$43,COLUMN()-COLUMN($X$42)+1)&lt;&gt;"Oui",INDEX('1 Budget annuel'!$L$14:$L$43,COLUMN()-COLUMN($X$42)+1)="",AND(INDEX('1 Budget annuel'!$B$14:$B$43,COLUMN()-COLUMN($X$42)+1)="Sortie",INDEX('1 Budget annuel'!$M$14:$M$43,COLUMN()-COLUMN($X$42)+1)="Oui"),$L172&lt;INDEX('1 Budget annuel'!$L$14:$L$43,COLUMN()-COLUMN($X$42)+1),$L172&gt;$D$5+363),0,IF(OR(AND(INDEX('1 Budget annuel'!$E$14:$E$43,COLUMN()-COLUMN($X$42)+1)="Hebdomadaire",MOD($L172-INDEX('1 Budget annuel'!$L$14:$L$43,COLUMN()-COLUMN($X$42)+1),7)=0),AND(INDEX('1 Budget annuel'!$E$14:$E$43,COLUMN()-COLUMN($X$42)+1)="Toutes les 4 semaines",MOD($L172-INDEX('1 Budget annuel'!$L$14:$L$43,COLUMN()-COLUMN($X$42)+1),28)=0),AND(INDEX('1 Budget annuel'!$E$14:$E$43,COLUMN()-COLUMN($X$42)+1)="Mensuelle",DAY($L172)=MIN(DAY(INDEX('1 Budget annuel'!$L$14:$L$43,COLUMN()-COLUMN($X$42)+1)),DAY(EOMONTH($L172,0)))),AND(INDEX('1 Budget annuel'!$E$14:$E$43,COLUMN()-COLUMN($X$42)+1)="Trimestrielle",MOD((YEAR($L172)-YEAR(INDEX('1 Budget annuel'!$L$14:$L$43,COLUMN()-COLUMN($X$42)+1)))*12+MONTH($L172)-MONTH(INDEX('1 Budget annuel'!$L$14:$L$43,COLUMN()-COLUMN($X$42)+1)),3)=0,DAY($L172)=MIN(DAY(INDEX('1 Budget annuel'!$L$14:$L$43,COLUMN()-COLUMN($X$42)+1)),DAY(EOMONTH($L172,0)))),AND(INDEX('1 Budget annuel'!$E$14:$E$43,COLUMN()-COLUMN($X$42)+1)="Semestrielle",MOD((YEAR($L172)-YEAR(INDEX('1 Budget annuel'!$L$14:$L$43,COLUMN()-COLUMN($X$42)+1)))*12+MONTH($L172)-MONTH(INDEX('1 Budget annuel'!$L$14:$L$43,COLUMN()-COLUMN($X$42)+1)),6)=0,DAY($L172)=MIN(DAY(INDEX('1 Budget annuel'!$L$14:$L$43,COLUMN()-COLUMN($X$42)+1)),DAY(EOMONTH($L172,0)))),AND(INDEX('1 Budget annuel'!$E$14:$E$43,COLUMN()-COLUMN($X$42)+1)="Annuelle",MOD((YEAR($L172)-YEAR(INDEX('1 Budget annuel'!$L$14:$L$43,COLUMN()-COLUMN($X$42)+1)))*12+MONTH($L172)-MONTH(INDEX('1 Budget annuel'!$L$14:$L$43,COLUMN()-COLUMN($X$42)+1)),12)=0,DAY($L172)=MIN(DAY(INDEX('1 Budget annuel'!$L$14:$L$43,COLUMN()-COLUMN($X$42)+1)),DAY(EOMONTH($L172,0))))),IF(INDEX('1 Budget annuel'!$B$14:$B$43,COLUMN()-COLUMN($X$42)+1)="Entrée",INDEX('1 Budget annuel'!$I$14:$I$43,COLUMN()-COLUMN($X$42)+1),-INDEX('1 Budget annuel'!$I$14:$I$43,COLUMN()-COLUMN($X$42)+1)),0))</x:f>
        <x:v>0</x:v>
      </x:c>
    </x:row>
    <x:row r="173">
      <x:c r="L173" s="114" t="n">
        <x:f>L172+1</x:f>
        <x:v>46367</x:v>
      </x:c>
      <x:c r="M173" s="115" t="b">
        <x:f>AND(L173&gt;=$D$5,L173&lt;=$D$5+363,MOD(L173-$D$5,7)=0)</x:f>
        <x:v>0</x:v>
      </x:c>
      <x:c r="N173" s="116" t="n">
        <x:f>SUM(X173:BA173)</x:f>
        <x:v>0</x:v>
      </x:c>
      <x:c r="O173" s="116" t="n">
        <x:f>IF(M173,$D$10,0)</x:f>
        <x:v>0</x:v>
      </x:c>
      <x:c r="P173" s="116" t="n">
        <x:f>N173-O173</x:f>
        <x:v>0</x:v>
      </x:c>
      <x:c r="Q173" s="116" t="n">
        <x:f>IF(L173&lt;$D$5,0,IF(L173=$D$5,P173,Q172+P173))</x:f>
        <x:v>0</x:v>
      </x:c>
      <x:c r="R173" s="116" t="n">
        <x:f>IF(L173&lt;$D$5,"",$J$10+Q173)</x:f>
        <x:v>0</x:v>
      </x:c>
      <x:c r="S173" s="116" t="n">
        <x:f>IF($L173&lt;$D$5,"",IF($L173=$D$5,$J$10+$N173-IF($M173,IF(INT(($L173-$D$5)/7)&lt;$A$20,$B$20,$D$10),0),S172+$N173-IF($M173,IF(INT(($L173-$D$5)/7)&lt;$A$20,$B$20,$D$10),0)))</x:f>
        <x:v>0</x:v>
      </x:c>
      <x:c r="T173" s="116" t="n">
        <x:f>IF($L173&lt;$D$5,"",IF($L173=$D$5,$J$10+$N173-IF($M173,IF(INT(($L173-$D$5)/7)&lt;$A$21,$B$21,$D$10),0),T172+$N173-IF($M173,IF(INT(($L173-$D$5)/7)&lt;$A$21,$B$21,$D$10),0)))</x:f>
        <x:v>0</x:v>
      </x:c>
      <x:c r="U173" s="116" t="n">
        <x:f>IF($L173&lt;$D$5,"",IF($L173=$D$5,$J$10+$N173-IF($M173,IF(INT(($L173-$D$5)/7)&lt;$A$22,$B$22,$D$10),0),U172+$N173-IF($M173,IF(INT(($L173-$D$5)/7)&lt;$A$22,$B$22,$D$10),0)))</x:f>
        <x:v>0</x:v>
      </x:c>
      <x:c r="V173" s="116" t="n">
        <x:f>IF($L173&lt;$D$5,"",IF($L173=$D$5,$J$10+$N173-IF($M173,IF(INT(($L173-$D$5)/7)&lt;$A$23,$B$23,$D$10),0),V172+$N173-IF($M173,IF(INT(($L173-$D$5)/7)&lt;$A$23,$B$23,$D$10),0)))</x:f>
        <x:v>0</x:v>
      </x:c>
      <x:c r="W173" s="116" t="n">
        <x:f>IF($L173&lt;$D$5,"",IF($L173=$D$5,$J$10+$N173-IF($M173,IF(INT(($L173-$D$5)/7)&lt;$A$24,$B$24,$D$10),0),W172+$N173-IF($M173,IF(INT(($L173-$D$5)/7)&lt;$A$24,$B$24,$D$10),0)))</x:f>
        <x:v>0</x:v>
      </x:c>
      <x:c r="X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Y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Z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A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B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C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D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E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F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G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H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I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J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K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L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M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N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O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P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Q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R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S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T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U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V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W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X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Y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AZ173" s="116"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c r="BA173" s="117" t="n">
        <x:f>IF(OR(INDEX('1 Budget annuel'!$A$14:$A$43,COLUMN()-COLUMN($X$42)+1)&lt;&gt;"Oui",INDEX('1 Budget annuel'!$L$14:$L$43,COLUMN()-COLUMN($X$42)+1)="",AND(INDEX('1 Budget annuel'!$B$14:$B$43,COLUMN()-COLUMN($X$42)+1)="Sortie",INDEX('1 Budget annuel'!$M$14:$M$43,COLUMN()-COLUMN($X$42)+1)="Oui"),$L173&lt;INDEX('1 Budget annuel'!$L$14:$L$43,COLUMN()-COLUMN($X$42)+1),$L173&gt;$D$5+363),0,IF(OR(AND(INDEX('1 Budget annuel'!$E$14:$E$43,COLUMN()-COLUMN($X$42)+1)="Hebdomadaire",MOD($L173-INDEX('1 Budget annuel'!$L$14:$L$43,COLUMN()-COLUMN($X$42)+1),7)=0),AND(INDEX('1 Budget annuel'!$E$14:$E$43,COLUMN()-COLUMN($X$42)+1)="Toutes les 4 semaines",MOD($L173-INDEX('1 Budget annuel'!$L$14:$L$43,COLUMN()-COLUMN($X$42)+1),28)=0),AND(INDEX('1 Budget annuel'!$E$14:$E$43,COLUMN()-COLUMN($X$42)+1)="Mensuelle",DAY($L173)=MIN(DAY(INDEX('1 Budget annuel'!$L$14:$L$43,COLUMN()-COLUMN($X$42)+1)),DAY(EOMONTH($L173,0)))),AND(INDEX('1 Budget annuel'!$E$14:$E$43,COLUMN()-COLUMN($X$42)+1)="Trimestrielle",MOD((YEAR($L173)-YEAR(INDEX('1 Budget annuel'!$L$14:$L$43,COLUMN()-COLUMN($X$42)+1)))*12+MONTH($L173)-MONTH(INDEX('1 Budget annuel'!$L$14:$L$43,COLUMN()-COLUMN($X$42)+1)),3)=0,DAY($L173)=MIN(DAY(INDEX('1 Budget annuel'!$L$14:$L$43,COLUMN()-COLUMN($X$42)+1)),DAY(EOMONTH($L173,0)))),AND(INDEX('1 Budget annuel'!$E$14:$E$43,COLUMN()-COLUMN($X$42)+1)="Semestrielle",MOD((YEAR($L173)-YEAR(INDEX('1 Budget annuel'!$L$14:$L$43,COLUMN()-COLUMN($X$42)+1)))*12+MONTH($L173)-MONTH(INDEX('1 Budget annuel'!$L$14:$L$43,COLUMN()-COLUMN($X$42)+1)),6)=0,DAY($L173)=MIN(DAY(INDEX('1 Budget annuel'!$L$14:$L$43,COLUMN()-COLUMN($X$42)+1)),DAY(EOMONTH($L173,0)))),AND(INDEX('1 Budget annuel'!$E$14:$E$43,COLUMN()-COLUMN($X$42)+1)="Annuelle",MOD((YEAR($L173)-YEAR(INDEX('1 Budget annuel'!$L$14:$L$43,COLUMN()-COLUMN($X$42)+1)))*12+MONTH($L173)-MONTH(INDEX('1 Budget annuel'!$L$14:$L$43,COLUMN()-COLUMN($X$42)+1)),12)=0,DAY($L173)=MIN(DAY(INDEX('1 Budget annuel'!$L$14:$L$43,COLUMN()-COLUMN($X$42)+1)),DAY(EOMONTH($L173,0))))),IF(INDEX('1 Budget annuel'!$B$14:$B$43,COLUMN()-COLUMN($X$42)+1)="Entrée",INDEX('1 Budget annuel'!$I$14:$I$43,COLUMN()-COLUMN($X$42)+1),-INDEX('1 Budget annuel'!$I$14:$I$43,COLUMN()-COLUMN($X$42)+1)),0))</x:f>
        <x:v>0</x:v>
      </x:c>
    </x:row>
    <x:row r="174">
      <x:c r="L174" s="114" t="n">
        <x:f>L173+1</x:f>
        <x:v>46368</x:v>
      </x:c>
      <x:c r="M174" s="115" t="b">
        <x:f>AND(L174&gt;=$D$5,L174&lt;=$D$5+363,MOD(L174-$D$5,7)=0)</x:f>
        <x:v>1</x:v>
      </x:c>
      <x:c r="N174" s="116" t="n">
        <x:f>SUM(X174:BA174)</x:f>
        <x:v>0</x:v>
      </x:c>
      <x:c r="O174" s="116" t="n">
        <x:f>IF(M174,$D$10,0)</x:f>
        <x:v>0</x:v>
      </x:c>
      <x:c r="P174" s="116" t="n">
        <x:f>N174-O174</x:f>
        <x:v>0</x:v>
      </x:c>
      <x:c r="Q174" s="116" t="n">
        <x:f>IF(L174&lt;$D$5,0,IF(L174=$D$5,P174,Q173+P174))</x:f>
        <x:v>0</x:v>
      </x:c>
      <x:c r="R174" s="116" t="n">
        <x:f>IF(L174&lt;$D$5,"",$J$10+Q174)</x:f>
        <x:v>0</x:v>
      </x:c>
      <x:c r="S174" s="116" t="n">
        <x:f>IF($L174&lt;$D$5,"",IF($L174=$D$5,$J$10+$N174-IF($M174,IF(INT(($L174-$D$5)/7)&lt;$A$20,$B$20,$D$10),0),S173+$N174-IF($M174,IF(INT(($L174-$D$5)/7)&lt;$A$20,$B$20,$D$10),0)))</x:f>
        <x:v>0</x:v>
      </x:c>
      <x:c r="T174" s="116" t="n">
        <x:f>IF($L174&lt;$D$5,"",IF($L174=$D$5,$J$10+$N174-IF($M174,IF(INT(($L174-$D$5)/7)&lt;$A$21,$B$21,$D$10),0),T173+$N174-IF($M174,IF(INT(($L174-$D$5)/7)&lt;$A$21,$B$21,$D$10),0)))</x:f>
        <x:v>0</x:v>
      </x:c>
      <x:c r="U174" s="116" t="n">
        <x:f>IF($L174&lt;$D$5,"",IF($L174=$D$5,$J$10+$N174-IF($M174,IF(INT(($L174-$D$5)/7)&lt;$A$22,$B$22,$D$10),0),U173+$N174-IF($M174,IF(INT(($L174-$D$5)/7)&lt;$A$22,$B$22,$D$10),0)))</x:f>
        <x:v>0</x:v>
      </x:c>
      <x:c r="V174" s="116" t="n">
        <x:f>IF($L174&lt;$D$5,"",IF($L174=$D$5,$J$10+$N174-IF($M174,IF(INT(($L174-$D$5)/7)&lt;$A$23,$B$23,$D$10),0),V173+$N174-IF($M174,IF(INT(($L174-$D$5)/7)&lt;$A$23,$B$23,$D$10),0)))</x:f>
        <x:v>0</x:v>
      </x:c>
      <x:c r="W174" s="116" t="n">
        <x:f>IF($L174&lt;$D$5,"",IF($L174=$D$5,$J$10+$N174-IF($M174,IF(INT(($L174-$D$5)/7)&lt;$A$24,$B$24,$D$10),0),W173+$N174-IF($M174,IF(INT(($L174-$D$5)/7)&lt;$A$24,$B$24,$D$10),0)))</x:f>
        <x:v>0</x:v>
      </x:c>
      <x:c r="X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Y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Z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A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B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C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D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E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F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G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H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I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J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K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L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M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N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O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P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Q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R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S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T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U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V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W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X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Y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AZ174" s="116"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c r="BA174" s="117" t="n">
        <x:f>IF(OR(INDEX('1 Budget annuel'!$A$14:$A$43,COLUMN()-COLUMN($X$42)+1)&lt;&gt;"Oui",INDEX('1 Budget annuel'!$L$14:$L$43,COLUMN()-COLUMN($X$42)+1)="",AND(INDEX('1 Budget annuel'!$B$14:$B$43,COLUMN()-COLUMN($X$42)+1)="Sortie",INDEX('1 Budget annuel'!$M$14:$M$43,COLUMN()-COLUMN($X$42)+1)="Oui"),$L174&lt;INDEX('1 Budget annuel'!$L$14:$L$43,COLUMN()-COLUMN($X$42)+1),$L174&gt;$D$5+363),0,IF(OR(AND(INDEX('1 Budget annuel'!$E$14:$E$43,COLUMN()-COLUMN($X$42)+1)="Hebdomadaire",MOD($L174-INDEX('1 Budget annuel'!$L$14:$L$43,COLUMN()-COLUMN($X$42)+1),7)=0),AND(INDEX('1 Budget annuel'!$E$14:$E$43,COLUMN()-COLUMN($X$42)+1)="Toutes les 4 semaines",MOD($L174-INDEX('1 Budget annuel'!$L$14:$L$43,COLUMN()-COLUMN($X$42)+1),28)=0),AND(INDEX('1 Budget annuel'!$E$14:$E$43,COLUMN()-COLUMN($X$42)+1)="Mensuelle",DAY($L174)=MIN(DAY(INDEX('1 Budget annuel'!$L$14:$L$43,COLUMN()-COLUMN($X$42)+1)),DAY(EOMONTH($L174,0)))),AND(INDEX('1 Budget annuel'!$E$14:$E$43,COLUMN()-COLUMN($X$42)+1)="Trimestrielle",MOD((YEAR($L174)-YEAR(INDEX('1 Budget annuel'!$L$14:$L$43,COLUMN()-COLUMN($X$42)+1)))*12+MONTH($L174)-MONTH(INDEX('1 Budget annuel'!$L$14:$L$43,COLUMN()-COLUMN($X$42)+1)),3)=0,DAY($L174)=MIN(DAY(INDEX('1 Budget annuel'!$L$14:$L$43,COLUMN()-COLUMN($X$42)+1)),DAY(EOMONTH($L174,0)))),AND(INDEX('1 Budget annuel'!$E$14:$E$43,COLUMN()-COLUMN($X$42)+1)="Semestrielle",MOD((YEAR($L174)-YEAR(INDEX('1 Budget annuel'!$L$14:$L$43,COLUMN()-COLUMN($X$42)+1)))*12+MONTH($L174)-MONTH(INDEX('1 Budget annuel'!$L$14:$L$43,COLUMN()-COLUMN($X$42)+1)),6)=0,DAY($L174)=MIN(DAY(INDEX('1 Budget annuel'!$L$14:$L$43,COLUMN()-COLUMN($X$42)+1)),DAY(EOMONTH($L174,0)))),AND(INDEX('1 Budget annuel'!$E$14:$E$43,COLUMN()-COLUMN($X$42)+1)="Annuelle",MOD((YEAR($L174)-YEAR(INDEX('1 Budget annuel'!$L$14:$L$43,COLUMN()-COLUMN($X$42)+1)))*12+MONTH($L174)-MONTH(INDEX('1 Budget annuel'!$L$14:$L$43,COLUMN()-COLUMN($X$42)+1)),12)=0,DAY($L174)=MIN(DAY(INDEX('1 Budget annuel'!$L$14:$L$43,COLUMN()-COLUMN($X$42)+1)),DAY(EOMONTH($L174,0))))),IF(INDEX('1 Budget annuel'!$B$14:$B$43,COLUMN()-COLUMN($X$42)+1)="Entrée",INDEX('1 Budget annuel'!$I$14:$I$43,COLUMN()-COLUMN($X$42)+1),-INDEX('1 Budget annuel'!$I$14:$I$43,COLUMN()-COLUMN($X$42)+1)),0))</x:f>
        <x:v>0</x:v>
      </x:c>
    </x:row>
    <x:row r="175">
      <x:c r="L175" s="114" t="n">
        <x:f>L174+1</x:f>
        <x:v>46369</x:v>
      </x:c>
      <x:c r="M175" s="115" t="b">
        <x:f>AND(L175&gt;=$D$5,L175&lt;=$D$5+363,MOD(L175-$D$5,7)=0)</x:f>
        <x:v>0</x:v>
      </x:c>
      <x:c r="N175" s="116" t="n">
        <x:f>SUM(X175:BA175)</x:f>
        <x:v>0</x:v>
      </x:c>
      <x:c r="O175" s="116" t="n">
        <x:f>IF(M175,$D$10,0)</x:f>
        <x:v>0</x:v>
      </x:c>
      <x:c r="P175" s="116" t="n">
        <x:f>N175-O175</x:f>
        <x:v>0</x:v>
      </x:c>
      <x:c r="Q175" s="116" t="n">
        <x:f>IF(L175&lt;$D$5,0,IF(L175=$D$5,P175,Q174+P175))</x:f>
        <x:v>0</x:v>
      </x:c>
      <x:c r="R175" s="116" t="n">
        <x:f>IF(L175&lt;$D$5,"",$J$10+Q175)</x:f>
        <x:v>0</x:v>
      </x:c>
      <x:c r="S175" s="116" t="n">
        <x:f>IF($L175&lt;$D$5,"",IF($L175=$D$5,$J$10+$N175-IF($M175,IF(INT(($L175-$D$5)/7)&lt;$A$20,$B$20,$D$10),0),S174+$N175-IF($M175,IF(INT(($L175-$D$5)/7)&lt;$A$20,$B$20,$D$10),0)))</x:f>
        <x:v>0</x:v>
      </x:c>
      <x:c r="T175" s="116" t="n">
        <x:f>IF($L175&lt;$D$5,"",IF($L175=$D$5,$J$10+$N175-IF($M175,IF(INT(($L175-$D$5)/7)&lt;$A$21,$B$21,$D$10),0),T174+$N175-IF($M175,IF(INT(($L175-$D$5)/7)&lt;$A$21,$B$21,$D$10),0)))</x:f>
        <x:v>0</x:v>
      </x:c>
      <x:c r="U175" s="116" t="n">
        <x:f>IF($L175&lt;$D$5,"",IF($L175=$D$5,$J$10+$N175-IF($M175,IF(INT(($L175-$D$5)/7)&lt;$A$22,$B$22,$D$10),0),U174+$N175-IF($M175,IF(INT(($L175-$D$5)/7)&lt;$A$22,$B$22,$D$10),0)))</x:f>
        <x:v>0</x:v>
      </x:c>
      <x:c r="V175" s="116" t="n">
        <x:f>IF($L175&lt;$D$5,"",IF($L175=$D$5,$J$10+$N175-IF($M175,IF(INT(($L175-$D$5)/7)&lt;$A$23,$B$23,$D$10),0),V174+$N175-IF($M175,IF(INT(($L175-$D$5)/7)&lt;$A$23,$B$23,$D$10),0)))</x:f>
        <x:v>0</x:v>
      </x:c>
      <x:c r="W175" s="116" t="n">
        <x:f>IF($L175&lt;$D$5,"",IF($L175=$D$5,$J$10+$N175-IF($M175,IF(INT(($L175-$D$5)/7)&lt;$A$24,$B$24,$D$10),0),W174+$N175-IF($M175,IF(INT(($L175-$D$5)/7)&lt;$A$24,$B$24,$D$10),0)))</x:f>
        <x:v>0</x:v>
      </x:c>
      <x:c r="X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Y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Z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A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B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C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D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E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F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G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H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I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J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K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L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M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N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O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P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Q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R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S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T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U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V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W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X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Y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AZ175" s="116"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c r="BA175" s="117" t="n">
        <x:f>IF(OR(INDEX('1 Budget annuel'!$A$14:$A$43,COLUMN()-COLUMN($X$42)+1)&lt;&gt;"Oui",INDEX('1 Budget annuel'!$L$14:$L$43,COLUMN()-COLUMN($X$42)+1)="",AND(INDEX('1 Budget annuel'!$B$14:$B$43,COLUMN()-COLUMN($X$42)+1)="Sortie",INDEX('1 Budget annuel'!$M$14:$M$43,COLUMN()-COLUMN($X$42)+1)="Oui"),$L175&lt;INDEX('1 Budget annuel'!$L$14:$L$43,COLUMN()-COLUMN($X$42)+1),$L175&gt;$D$5+363),0,IF(OR(AND(INDEX('1 Budget annuel'!$E$14:$E$43,COLUMN()-COLUMN($X$42)+1)="Hebdomadaire",MOD($L175-INDEX('1 Budget annuel'!$L$14:$L$43,COLUMN()-COLUMN($X$42)+1),7)=0),AND(INDEX('1 Budget annuel'!$E$14:$E$43,COLUMN()-COLUMN($X$42)+1)="Toutes les 4 semaines",MOD($L175-INDEX('1 Budget annuel'!$L$14:$L$43,COLUMN()-COLUMN($X$42)+1),28)=0),AND(INDEX('1 Budget annuel'!$E$14:$E$43,COLUMN()-COLUMN($X$42)+1)="Mensuelle",DAY($L175)=MIN(DAY(INDEX('1 Budget annuel'!$L$14:$L$43,COLUMN()-COLUMN($X$42)+1)),DAY(EOMONTH($L175,0)))),AND(INDEX('1 Budget annuel'!$E$14:$E$43,COLUMN()-COLUMN($X$42)+1)="Trimestrielle",MOD((YEAR($L175)-YEAR(INDEX('1 Budget annuel'!$L$14:$L$43,COLUMN()-COLUMN($X$42)+1)))*12+MONTH($L175)-MONTH(INDEX('1 Budget annuel'!$L$14:$L$43,COLUMN()-COLUMN($X$42)+1)),3)=0,DAY($L175)=MIN(DAY(INDEX('1 Budget annuel'!$L$14:$L$43,COLUMN()-COLUMN($X$42)+1)),DAY(EOMONTH($L175,0)))),AND(INDEX('1 Budget annuel'!$E$14:$E$43,COLUMN()-COLUMN($X$42)+1)="Semestrielle",MOD((YEAR($L175)-YEAR(INDEX('1 Budget annuel'!$L$14:$L$43,COLUMN()-COLUMN($X$42)+1)))*12+MONTH($L175)-MONTH(INDEX('1 Budget annuel'!$L$14:$L$43,COLUMN()-COLUMN($X$42)+1)),6)=0,DAY($L175)=MIN(DAY(INDEX('1 Budget annuel'!$L$14:$L$43,COLUMN()-COLUMN($X$42)+1)),DAY(EOMONTH($L175,0)))),AND(INDEX('1 Budget annuel'!$E$14:$E$43,COLUMN()-COLUMN($X$42)+1)="Annuelle",MOD((YEAR($L175)-YEAR(INDEX('1 Budget annuel'!$L$14:$L$43,COLUMN()-COLUMN($X$42)+1)))*12+MONTH($L175)-MONTH(INDEX('1 Budget annuel'!$L$14:$L$43,COLUMN()-COLUMN($X$42)+1)),12)=0,DAY($L175)=MIN(DAY(INDEX('1 Budget annuel'!$L$14:$L$43,COLUMN()-COLUMN($X$42)+1)),DAY(EOMONTH($L175,0))))),IF(INDEX('1 Budget annuel'!$B$14:$B$43,COLUMN()-COLUMN($X$42)+1)="Entrée",INDEX('1 Budget annuel'!$I$14:$I$43,COLUMN()-COLUMN($X$42)+1),-INDEX('1 Budget annuel'!$I$14:$I$43,COLUMN()-COLUMN($X$42)+1)),0))</x:f>
        <x:v>0</x:v>
      </x:c>
    </x:row>
    <x:row r="176">
      <x:c r="L176" s="114" t="n">
        <x:f>L175+1</x:f>
        <x:v>46370</x:v>
      </x:c>
      <x:c r="M176" s="115" t="b">
        <x:f>AND(L176&gt;=$D$5,L176&lt;=$D$5+363,MOD(L176-$D$5,7)=0)</x:f>
        <x:v>0</x:v>
      </x:c>
      <x:c r="N176" s="116" t="n">
        <x:f>SUM(X176:BA176)</x:f>
        <x:v>0</x:v>
      </x:c>
      <x:c r="O176" s="116" t="n">
        <x:f>IF(M176,$D$10,0)</x:f>
        <x:v>0</x:v>
      </x:c>
      <x:c r="P176" s="116" t="n">
        <x:f>N176-O176</x:f>
        <x:v>0</x:v>
      </x:c>
      <x:c r="Q176" s="116" t="n">
        <x:f>IF(L176&lt;$D$5,0,IF(L176=$D$5,P176,Q175+P176))</x:f>
        <x:v>0</x:v>
      </x:c>
      <x:c r="R176" s="116" t="n">
        <x:f>IF(L176&lt;$D$5,"",$J$10+Q176)</x:f>
        <x:v>0</x:v>
      </x:c>
      <x:c r="S176" s="116" t="n">
        <x:f>IF($L176&lt;$D$5,"",IF($L176=$D$5,$J$10+$N176-IF($M176,IF(INT(($L176-$D$5)/7)&lt;$A$20,$B$20,$D$10),0),S175+$N176-IF($M176,IF(INT(($L176-$D$5)/7)&lt;$A$20,$B$20,$D$10),0)))</x:f>
        <x:v>0</x:v>
      </x:c>
      <x:c r="T176" s="116" t="n">
        <x:f>IF($L176&lt;$D$5,"",IF($L176=$D$5,$J$10+$N176-IF($M176,IF(INT(($L176-$D$5)/7)&lt;$A$21,$B$21,$D$10),0),T175+$N176-IF($M176,IF(INT(($L176-$D$5)/7)&lt;$A$21,$B$21,$D$10),0)))</x:f>
        <x:v>0</x:v>
      </x:c>
      <x:c r="U176" s="116" t="n">
        <x:f>IF($L176&lt;$D$5,"",IF($L176=$D$5,$J$10+$N176-IF($M176,IF(INT(($L176-$D$5)/7)&lt;$A$22,$B$22,$D$10),0),U175+$N176-IF($M176,IF(INT(($L176-$D$5)/7)&lt;$A$22,$B$22,$D$10),0)))</x:f>
        <x:v>0</x:v>
      </x:c>
      <x:c r="V176" s="116" t="n">
        <x:f>IF($L176&lt;$D$5,"",IF($L176=$D$5,$J$10+$N176-IF($M176,IF(INT(($L176-$D$5)/7)&lt;$A$23,$B$23,$D$10),0),V175+$N176-IF($M176,IF(INT(($L176-$D$5)/7)&lt;$A$23,$B$23,$D$10),0)))</x:f>
        <x:v>0</x:v>
      </x:c>
      <x:c r="W176" s="116" t="n">
        <x:f>IF($L176&lt;$D$5,"",IF($L176=$D$5,$J$10+$N176-IF($M176,IF(INT(($L176-$D$5)/7)&lt;$A$24,$B$24,$D$10),0),W175+$N176-IF($M176,IF(INT(($L176-$D$5)/7)&lt;$A$24,$B$24,$D$10),0)))</x:f>
        <x:v>0</x:v>
      </x:c>
      <x:c r="X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Y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Z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A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B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C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D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E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F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G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H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I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J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K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L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M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N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O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P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Q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R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S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T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U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V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W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X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Y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AZ176" s="116"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c r="BA176" s="117" t="n">
        <x:f>IF(OR(INDEX('1 Budget annuel'!$A$14:$A$43,COLUMN()-COLUMN($X$42)+1)&lt;&gt;"Oui",INDEX('1 Budget annuel'!$L$14:$L$43,COLUMN()-COLUMN($X$42)+1)="",AND(INDEX('1 Budget annuel'!$B$14:$B$43,COLUMN()-COLUMN($X$42)+1)="Sortie",INDEX('1 Budget annuel'!$M$14:$M$43,COLUMN()-COLUMN($X$42)+1)="Oui"),$L176&lt;INDEX('1 Budget annuel'!$L$14:$L$43,COLUMN()-COLUMN($X$42)+1),$L176&gt;$D$5+363),0,IF(OR(AND(INDEX('1 Budget annuel'!$E$14:$E$43,COLUMN()-COLUMN($X$42)+1)="Hebdomadaire",MOD($L176-INDEX('1 Budget annuel'!$L$14:$L$43,COLUMN()-COLUMN($X$42)+1),7)=0),AND(INDEX('1 Budget annuel'!$E$14:$E$43,COLUMN()-COLUMN($X$42)+1)="Toutes les 4 semaines",MOD($L176-INDEX('1 Budget annuel'!$L$14:$L$43,COLUMN()-COLUMN($X$42)+1),28)=0),AND(INDEX('1 Budget annuel'!$E$14:$E$43,COLUMN()-COLUMN($X$42)+1)="Mensuelle",DAY($L176)=MIN(DAY(INDEX('1 Budget annuel'!$L$14:$L$43,COLUMN()-COLUMN($X$42)+1)),DAY(EOMONTH($L176,0)))),AND(INDEX('1 Budget annuel'!$E$14:$E$43,COLUMN()-COLUMN($X$42)+1)="Trimestrielle",MOD((YEAR($L176)-YEAR(INDEX('1 Budget annuel'!$L$14:$L$43,COLUMN()-COLUMN($X$42)+1)))*12+MONTH($L176)-MONTH(INDEX('1 Budget annuel'!$L$14:$L$43,COLUMN()-COLUMN($X$42)+1)),3)=0,DAY($L176)=MIN(DAY(INDEX('1 Budget annuel'!$L$14:$L$43,COLUMN()-COLUMN($X$42)+1)),DAY(EOMONTH($L176,0)))),AND(INDEX('1 Budget annuel'!$E$14:$E$43,COLUMN()-COLUMN($X$42)+1)="Semestrielle",MOD((YEAR($L176)-YEAR(INDEX('1 Budget annuel'!$L$14:$L$43,COLUMN()-COLUMN($X$42)+1)))*12+MONTH($L176)-MONTH(INDEX('1 Budget annuel'!$L$14:$L$43,COLUMN()-COLUMN($X$42)+1)),6)=0,DAY($L176)=MIN(DAY(INDEX('1 Budget annuel'!$L$14:$L$43,COLUMN()-COLUMN($X$42)+1)),DAY(EOMONTH($L176,0)))),AND(INDEX('1 Budget annuel'!$E$14:$E$43,COLUMN()-COLUMN($X$42)+1)="Annuelle",MOD((YEAR($L176)-YEAR(INDEX('1 Budget annuel'!$L$14:$L$43,COLUMN()-COLUMN($X$42)+1)))*12+MONTH($L176)-MONTH(INDEX('1 Budget annuel'!$L$14:$L$43,COLUMN()-COLUMN($X$42)+1)),12)=0,DAY($L176)=MIN(DAY(INDEX('1 Budget annuel'!$L$14:$L$43,COLUMN()-COLUMN($X$42)+1)),DAY(EOMONTH($L176,0))))),IF(INDEX('1 Budget annuel'!$B$14:$B$43,COLUMN()-COLUMN($X$42)+1)="Entrée",INDEX('1 Budget annuel'!$I$14:$I$43,COLUMN()-COLUMN($X$42)+1),-INDEX('1 Budget annuel'!$I$14:$I$43,COLUMN()-COLUMN($X$42)+1)),0))</x:f>
        <x:v>0</x:v>
      </x:c>
    </x:row>
    <x:row r="177">
      <x:c r="L177" s="114" t="n">
        <x:f>L176+1</x:f>
        <x:v>46371</x:v>
      </x:c>
      <x:c r="M177" s="115" t="b">
        <x:f>AND(L177&gt;=$D$5,L177&lt;=$D$5+363,MOD(L177-$D$5,7)=0)</x:f>
        <x:v>0</x:v>
      </x:c>
      <x:c r="N177" s="116" t="n">
        <x:f>SUM(X177:BA177)</x:f>
        <x:v>0</x:v>
      </x:c>
      <x:c r="O177" s="116" t="n">
        <x:f>IF(M177,$D$10,0)</x:f>
        <x:v>0</x:v>
      </x:c>
      <x:c r="P177" s="116" t="n">
        <x:f>N177-O177</x:f>
        <x:v>0</x:v>
      </x:c>
      <x:c r="Q177" s="116" t="n">
        <x:f>IF(L177&lt;$D$5,0,IF(L177=$D$5,P177,Q176+P177))</x:f>
        <x:v>0</x:v>
      </x:c>
      <x:c r="R177" s="116" t="n">
        <x:f>IF(L177&lt;$D$5,"",$J$10+Q177)</x:f>
        <x:v>0</x:v>
      </x:c>
      <x:c r="S177" s="116" t="n">
        <x:f>IF($L177&lt;$D$5,"",IF($L177=$D$5,$J$10+$N177-IF($M177,IF(INT(($L177-$D$5)/7)&lt;$A$20,$B$20,$D$10),0),S176+$N177-IF($M177,IF(INT(($L177-$D$5)/7)&lt;$A$20,$B$20,$D$10),0)))</x:f>
        <x:v>0</x:v>
      </x:c>
      <x:c r="T177" s="116" t="n">
        <x:f>IF($L177&lt;$D$5,"",IF($L177=$D$5,$J$10+$N177-IF($M177,IF(INT(($L177-$D$5)/7)&lt;$A$21,$B$21,$D$10),0),T176+$N177-IF($M177,IF(INT(($L177-$D$5)/7)&lt;$A$21,$B$21,$D$10),0)))</x:f>
        <x:v>0</x:v>
      </x:c>
      <x:c r="U177" s="116" t="n">
        <x:f>IF($L177&lt;$D$5,"",IF($L177=$D$5,$J$10+$N177-IF($M177,IF(INT(($L177-$D$5)/7)&lt;$A$22,$B$22,$D$10),0),U176+$N177-IF($M177,IF(INT(($L177-$D$5)/7)&lt;$A$22,$B$22,$D$10),0)))</x:f>
        <x:v>0</x:v>
      </x:c>
      <x:c r="V177" s="116" t="n">
        <x:f>IF($L177&lt;$D$5,"",IF($L177=$D$5,$J$10+$N177-IF($M177,IF(INT(($L177-$D$5)/7)&lt;$A$23,$B$23,$D$10),0),V176+$N177-IF($M177,IF(INT(($L177-$D$5)/7)&lt;$A$23,$B$23,$D$10),0)))</x:f>
        <x:v>0</x:v>
      </x:c>
      <x:c r="W177" s="116" t="n">
        <x:f>IF($L177&lt;$D$5,"",IF($L177=$D$5,$J$10+$N177-IF($M177,IF(INT(($L177-$D$5)/7)&lt;$A$24,$B$24,$D$10),0),W176+$N177-IF($M177,IF(INT(($L177-$D$5)/7)&lt;$A$24,$B$24,$D$10),0)))</x:f>
        <x:v>0</x:v>
      </x:c>
      <x:c r="X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Y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Z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A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B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C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D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E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F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G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H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I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J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K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L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M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N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O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P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Q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R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S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T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U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V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W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X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Y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AZ177" s="116"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c r="BA177" s="117" t="n">
        <x:f>IF(OR(INDEX('1 Budget annuel'!$A$14:$A$43,COLUMN()-COLUMN($X$42)+1)&lt;&gt;"Oui",INDEX('1 Budget annuel'!$L$14:$L$43,COLUMN()-COLUMN($X$42)+1)="",AND(INDEX('1 Budget annuel'!$B$14:$B$43,COLUMN()-COLUMN($X$42)+1)="Sortie",INDEX('1 Budget annuel'!$M$14:$M$43,COLUMN()-COLUMN($X$42)+1)="Oui"),$L177&lt;INDEX('1 Budget annuel'!$L$14:$L$43,COLUMN()-COLUMN($X$42)+1),$L177&gt;$D$5+363),0,IF(OR(AND(INDEX('1 Budget annuel'!$E$14:$E$43,COLUMN()-COLUMN($X$42)+1)="Hebdomadaire",MOD($L177-INDEX('1 Budget annuel'!$L$14:$L$43,COLUMN()-COLUMN($X$42)+1),7)=0),AND(INDEX('1 Budget annuel'!$E$14:$E$43,COLUMN()-COLUMN($X$42)+1)="Toutes les 4 semaines",MOD($L177-INDEX('1 Budget annuel'!$L$14:$L$43,COLUMN()-COLUMN($X$42)+1),28)=0),AND(INDEX('1 Budget annuel'!$E$14:$E$43,COLUMN()-COLUMN($X$42)+1)="Mensuelle",DAY($L177)=MIN(DAY(INDEX('1 Budget annuel'!$L$14:$L$43,COLUMN()-COLUMN($X$42)+1)),DAY(EOMONTH($L177,0)))),AND(INDEX('1 Budget annuel'!$E$14:$E$43,COLUMN()-COLUMN($X$42)+1)="Trimestrielle",MOD((YEAR($L177)-YEAR(INDEX('1 Budget annuel'!$L$14:$L$43,COLUMN()-COLUMN($X$42)+1)))*12+MONTH($L177)-MONTH(INDEX('1 Budget annuel'!$L$14:$L$43,COLUMN()-COLUMN($X$42)+1)),3)=0,DAY($L177)=MIN(DAY(INDEX('1 Budget annuel'!$L$14:$L$43,COLUMN()-COLUMN($X$42)+1)),DAY(EOMONTH($L177,0)))),AND(INDEX('1 Budget annuel'!$E$14:$E$43,COLUMN()-COLUMN($X$42)+1)="Semestrielle",MOD((YEAR($L177)-YEAR(INDEX('1 Budget annuel'!$L$14:$L$43,COLUMN()-COLUMN($X$42)+1)))*12+MONTH($L177)-MONTH(INDEX('1 Budget annuel'!$L$14:$L$43,COLUMN()-COLUMN($X$42)+1)),6)=0,DAY($L177)=MIN(DAY(INDEX('1 Budget annuel'!$L$14:$L$43,COLUMN()-COLUMN($X$42)+1)),DAY(EOMONTH($L177,0)))),AND(INDEX('1 Budget annuel'!$E$14:$E$43,COLUMN()-COLUMN($X$42)+1)="Annuelle",MOD((YEAR($L177)-YEAR(INDEX('1 Budget annuel'!$L$14:$L$43,COLUMN()-COLUMN($X$42)+1)))*12+MONTH($L177)-MONTH(INDEX('1 Budget annuel'!$L$14:$L$43,COLUMN()-COLUMN($X$42)+1)),12)=0,DAY($L177)=MIN(DAY(INDEX('1 Budget annuel'!$L$14:$L$43,COLUMN()-COLUMN($X$42)+1)),DAY(EOMONTH($L177,0))))),IF(INDEX('1 Budget annuel'!$B$14:$B$43,COLUMN()-COLUMN($X$42)+1)="Entrée",INDEX('1 Budget annuel'!$I$14:$I$43,COLUMN()-COLUMN($X$42)+1),-INDEX('1 Budget annuel'!$I$14:$I$43,COLUMN()-COLUMN($X$42)+1)),0))</x:f>
        <x:v>0</x:v>
      </x:c>
    </x:row>
    <x:row r="178">
      <x:c r="L178" s="114" t="n">
        <x:f>L177+1</x:f>
        <x:v>46372</x:v>
      </x:c>
      <x:c r="M178" s="115" t="b">
        <x:f>AND(L178&gt;=$D$5,L178&lt;=$D$5+363,MOD(L178-$D$5,7)=0)</x:f>
        <x:v>0</x:v>
      </x:c>
      <x:c r="N178" s="116" t="n">
        <x:f>SUM(X178:BA178)</x:f>
        <x:v>0</x:v>
      </x:c>
      <x:c r="O178" s="116" t="n">
        <x:f>IF(M178,$D$10,0)</x:f>
        <x:v>0</x:v>
      </x:c>
      <x:c r="P178" s="116" t="n">
        <x:f>N178-O178</x:f>
        <x:v>0</x:v>
      </x:c>
      <x:c r="Q178" s="116" t="n">
        <x:f>IF(L178&lt;$D$5,0,IF(L178=$D$5,P178,Q177+P178))</x:f>
        <x:v>0</x:v>
      </x:c>
      <x:c r="R178" s="116" t="n">
        <x:f>IF(L178&lt;$D$5,"",$J$10+Q178)</x:f>
        <x:v>0</x:v>
      </x:c>
      <x:c r="S178" s="116" t="n">
        <x:f>IF($L178&lt;$D$5,"",IF($L178=$D$5,$J$10+$N178-IF($M178,IF(INT(($L178-$D$5)/7)&lt;$A$20,$B$20,$D$10),0),S177+$N178-IF($M178,IF(INT(($L178-$D$5)/7)&lt;$A$20,$B$20,$D$10),0)))</x:f>
        <x:v>0</x:v>
      </x:c>
      <x:c r="T178" s="116" t="n">
        <x:f>IF($L178&lt;$D$5,"",IF($L178=$D$5,$J$10+$N178-IF($M178,IF(INT(($L178-$D$5)/7)&lt;$A$21,$B$21,$D$10),0),T177+$N178-IF($M178,IF(INT(($L178-$D$5)/7)&lt;$A$21,$B$21,$D$10),0)))</x:f>
        <x:v>0</x:v>
      </x:c>
      <x:c r="U178" s="116" t="n">
        <x:f>IF($L178&lt;$D$5,"",IF($L178=$D$5,$J$10+$N178-IF($M178,IF(INT(($L178-$D$5)/7)&lt;$A$22,$B$22,$D$10),0),U177+$N178-IF($M178,IF(INT(($L178-$D$5)/7)&lt;$A$22,$B$22,$D$10),0)))</x:f>
        <x:v>0</x:v>
      </x:c>
      <x:c r="V178" s="116" t="n">
        <x:f>IF($L178&lt;$D$5,"",IF($L178=$D$5,$J$10+$N178-IF($M178,IF(INT(($L178-$D$5)/7)&lt;$A$23,$B$23,$D$10),0),V177+$N178-IF($M178,IF(INT(($L178-$D$5)/7)&lt;$A$23,$B$23,$D$10),0)))</x:f>
        <x:v>0</x:v>
      </x:c>
      <x:c r="W178" s="116" t="n">
        <x:f>IF($L178&lt;$D$5,"",IF($L178=$D$5,$J$10+$N178-IF($M178,IF(INT(($L178-$D$5)/7)&lt;$A$24,$B$24,$D$10),0),W177+$N178-IF($M178,IF(INT(($L178-$D$5)/7)&lt;$A$24,$B$24,$D$10),0)))</x:f>
        <x:v>0</x:v>
      </x:c>
      <x:c r="X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Y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Z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A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B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C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D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E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F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G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H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I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J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K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L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M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N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O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P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Q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R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S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T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U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V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W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X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Y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AZ178" s="116"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c r="BA178" s="117" t="n">
        <x:f>IF(OR(INDEX('1 Budget annuel'!$A$14:$A$43,COLUMN()-COLUMN($X$42)+1)&lt;&gt;"Oui",INDEX('1 Budget annuel'!$L$14:$L$43,COLUMN()-COLUMN($X$42)+1)="",AND(INDEX('1 Budget annuel'!$B$14:$B$43,COLUMN()-COLUMN($X$42)+1)="Sortie",INDEX('1 Budget annuel'!$M$14:$M$43,COLUMN()-COLUMN($X$42)+1)="Oui"),$L178&lt;INDEX('1 Budget annuel'!$L$14:$L$43,COLUMN()-COLUMN($X$42)+1),$L178&gt;$D$5+363),0,IF(OR(AND(INDEX('1 Budget annuel'!$E$14:$E$43,COLUMN()-COLUMN($X$42)+1)="Hebdomadaire",MOD($L178-INDEX('1 Budget annuel'!$L$14:$L$43,COLUMN()-COLUMN($X$42)+1),7)=0),AND(INDEX('1 Budget annuel'!$E$14:$E$43,COLUMN()-COLUMN($X$42)+1)="Toutes les 4 semaines",MOD($L178-INDEX('1 Budget annuel'!$L$14:$L$43,COLUMN()-COLUMN($X$42)+1),28)=0),AND(INDEX('1 Budget annuel'!$E$14:$E$43,COLUMN()-COLUMN($X$42)+1)="Mensuelle",DAY($L178)=MIN(DAY(INDEX('1 Budget annuel'!$L$14:$L$43,COLUMN()-COLUMN($X$42)+1)),DAY(EOMONTH($L178,0)))),AND(INDEX('1 Budget annuel'!$E$14:$E$43,COLUMN()-COLUMN($X$42)+1)="Trimestrielle",MOD((YEAR($L178)-YEAR(INDEX('1 Budget annuel'!$L$14:$L$43,COLUMN()-COLUMN($X$42)+1)))*12+MONTH($L178)-MONTH(INDEX('1 Budget annuel'!$L$14:$L$43,COLUMN()-COLUMN($X$42)+1)),3)=0,DAY($L178)=MIN(DAY(INDEX('1 Budget annuel'!$L$14:$L$43,COLUMN()-COLUMN($X$42)+1)),DAY(EOMONTH($L178,0)))),AND(INDEX('1 Budget annuel'!$E$14:$E$43,COLUMN()-COLUMN($X$42)+1)="Semestrielle",MOD((YEAR($L178)-YEAR(INDEX('1 Budget annuel'!$L$14:$L$43,COLUMN()-COLUMN($X$42)+1)))*12+MONTH($L178)-MONTH(INDEX('1 Budget annuel'!$L$14:$L$43,COLUMN()-COLUMN($X$42)+1)),6)=0,DAY($L178)=MIN(DAY(INDEX('1 Budget annuel'!$L$14:$L$43,COLUMN()-COLUMN($X$42)+1)),DAY(EOMONTH($L178,0)))),AND(INDEX('1 Budget annuel'!$E$14:$E$43,COLUMN()-COLUMN($X$42)+1)="Annuelle",MOD((YEAR($L178)-YEAR(INDEX('1 Budget annuel'!$L$14:$L$43,COLUMN()-COLUMN($X$42)+1)))*12+MONTH($L178)-MONTH(INDEX('1 Budget annuel'!$L$14:$L$43,COLUMN()-COLUMN($X$42)+1)),12)=0,DAY($L178)=MIN(DAY(INDEX('1 Budget annuel'!$L$14:$L$43,COLUMN()-COLUMN($X$42)+1)),DAY(EOMONTH($L178,0))))),IF(INDEX('1 Budget annuel'!$B$14:$B$43,COLUMN()-COLUMN($X$42)+1)="Entrée",INDEX('1 Budget annuel'!$I$14:$I$43,COLUMN()-COLUMN($X$42)+1),-INDEX('1 Budget annuel'!$I$14:$I$43,COLUMN()-COLUMN($X$42)+1)),0))</x:f>
        <x:v>0</x:v>
      </x:c>
    </x:row>
    <x:row r="179">
      <x:c r="L179" s="114" t="n">
        <x:f>L178+1</x:f>
        <x:v>46373</x:v>
      </x:c>
      <x:c r="M179" s="115" t="b">
        <x:f>AND(L179&gt;=$D$5,L179&lt;=$D$5+363,MOD(L179-$D$5,7)=0)</x:f>
        <x:v>0</x:v>
      </x:c>
      <x:c r="N179" s="116" t="n">
        <x:f>SUM(X179:BA179)</x:f>
        <x:v>0</x:v>
      </x:c>
      <x:c r="O179" s="116" t="n">
        <x:f>IF(M179,$D$10,0)</x:f>
        <x:v>0</x:v>
      </x:c>
      <x:c r="P179" s="116" t="n">
        <x:f>N179-O179</x:f>
        <x:v>0</x:v>
      </x:c>
      <x:c r="Q179" s="116" t="n">
        <x:f>IF(L179&lt;$D$5,0,IF(L179=$D$5,P179,Q178+P179))</x:f>
        <x:v>0</x:v>
      </x:c>
      <x:c r="R179" s="116" t="n">
        <x:f>IF(L179&lt;$D$5,"",$J$10+Q179)</x:f>
        <x:v>0</x:v>
      </x:c>
      <x:c r="S179" s="116" t="n">
        <x:f>IF($L179&lt;$D$5,"",IF($L179=$D$5,$J$10+$N179-IF($M179,IF(INT(($L179-$D$5)/7)&lt;$A$20,$B$20,$D$10),0),S178+$N179-IF($M179,IF(INT(($L179-$D$5)/7)&lt;$A$20,$B$20,$D$10),0)))</x:f>
        <x:v>0</x:v>
      </x:c>
      <x:c r="T179" s="116" t="n">
        <x:f>IF($L179&lt;$D$5,"",IF($L179=$D$5,$J$10+$N179-IF($M179,IF(INT(($L179-$D$5)/7)&lt;$A$21,$B$21,$D$10),0),T178+$N179-IF($M179,IF(INT(($L179-$D$5)/7)&lt;$A$21,$B$21,$D$10),0)))</x:f>
        <x:v>0</x:v>
      </x:c>
      <x:c r="U179" s="116" t="n">
        <x:f>IF($L179&lt;$D$5,"",IF($L179=$D$5,$J$10+$N179-IF($M179,IF(INT(($L179-$D$5)/7)&lt;$A$22,$B$22,$D$10),0),U178+$N179-IF($M179,IF(INT(($L179-$D$5)/7)&lt;$A$22,$B$22,$D$10),0)))</x:f>
        <x:v>0</x:v>
      </x:c>
      <x:c r="V179" s="116" t="n">
        <x:f>IF($L179&lt;$D$5,"",IF($L179=$D$5,$J$10+$N179-IF($M179,IF(INT(($L179-$D$5)/7)&lt;$A$23,$B$23,$D$10),0),V178+$N179-IF($M179,IF(INT(($L179-$D$5)/7)&lt;$A$23,$B$23,$D$10),0)))</x:f>
        <x:v>0</x:v>
      </x:c>
      <x:c r="W179" s="116" t="n">
        <x:f>IF($L179&lt;$D$5,"",IF($L179=$D$5,$J$10+$N179-IF($M179,IF(INT(($L179-$D$5)/7)&lt;$A$24,$B$24,$D$10),0),W178+$N179-IF($M179,IF(INT(($L179-$D$5)/7)&lt;$A$24,$B$24,$D$10),0)))</x:f>
        <x:v>0</x:v>
      </x:c>
      <x:c r="X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Y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Z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A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B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C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D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E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F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G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H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I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J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K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L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M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N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O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P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Q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R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S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T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U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V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W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X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Y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AZ179" s="116"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c r="BA179" s="117" t="n">
        <x:f>IF(OR(INDEX('1 Budget annuel'!$A$14:$A$43,COLUMN()-COLUMN($X$42)+1)&lt;&gt;"Oui",INDEX('1 Budget annuel'!$L$14:$L$43,COLUMN()-COLUMN($X$42)+1)="",AND(INDEX('1 Budget annuel'!$B$14:$B$43,COLUMN()-COLUMN($X$42)+1)="Sortie",INDEX('1 Budget annuel'!$M$14:$M$43,COLUMN()-COLUMN($X$42)+1)="Oui"),$L179&lt;INDEX('1 Budget annuel'!$L$14:$L$43,COLUMN()-COLUMN($X$42)+1),$L179&gt;$D$5+363),0,IF(OR(AND(INDEX('1 Budget annuel'!$E$14:$E$43,COLUMN()-COLUMN($X$42)+1)="Hebdomadaire",MOD($L179-INDEX('1 Budget annuel'!$L$14:$L$43,COLUMN()-COLUMN($X$42)+1),7)=0),AND(INDEX('1 Budget annuel'!$E$14:$E$43,COLUMN()-COLUMN($X$42)+1)="Toutes les 4 semaines",MOD($L179-INDEX('1 Budget annuel'!$L$14:$L$43,COLUMN()-COLUMN($X$42)+1),28)=0),AND(INDEX('1 Budget annuel'!$E$14:$E$43,COLUMN()-COLUMN($X$42)+1)="Mensuelle",DAY($L179)=MIN(DAY(INDEX('1 Budget annuel'!$L$14:$L$43,COLUMN()-COLUMN($X$42)+1)),DAY(EOMONTH($L179,0)))),AND(INDEX('1 Budget annuel'!$E$14:$E$43,COLUMN()-COLUMN($X$42)+1)="Trimestrielle",MOD((YEAR($L179)-YEAR(INDEX('1 Budget annuel'!$L$14:$L$43,COLUMN()-COLUMN($X$42)+1)))*12+MONTH($L179)-MONTH(INDEX('1 Budget annuel'!$L$14:$L$43,COLUMN()-COLUMN($X$42)+1)),3)=0,DAY($L179)=MIN(DAY(INDEX('1 Budget annuel'!$L$14:$L$43,COLUMN()-COLUMN($X$42)+1)),DAY(EOMONTH($L179,0)))),AND(INDEX('1 Budget annuel'!$E$14:$E$43,COLUMN()-COLUMN($X$42)+1)="Semestrielle",MOD((YEAR($L179)-YEAR(INDEX('1 Budget annuel'!$L$14:$L$43,COLUMN()-COLUMN($X$42)+1)))*12+MONTH($L179)-MONTH(INDEX('1 Budget annuel'!$L$14:$L$43,COLUMN()-COLUMN($X$42)+1)),6)=0,DAY($L179)=MIN(DAY(INDEX('1 Budget annuel'!$L$14:$L$43,COLUMN()-COLUMN($X$42)+1)),DAY(EOMONTH($L179,0)))),AND(INDEX('1 Budget annuel'!$E$14:$E$43,COLUMN()-COLUMN($X$42)+1)="Annuelle",MOD((YEAR($L179)-YEAR(INDEX('1 Budget annuel'!$L$14:$L$43,COLUMN()-COLUMN($X$42)+1)))*12+MONTH($L179)-MONTH(INDEX('1 Budget annuel'!$L$14:$L$43,COLUMN()-COLUMN($X$42)+1)),12)=0,DAY($L179)=MIN(DAY(INDEX('1 Budget annuel'!$L$14:$L$43,COLUMN()-COLUMN($X$42)+1)),DAY(EOMONTH($L179,0))))),IF(INDEX('1 Budget annuel'!$B$14:$B$43,COLUMN()-COLUMN($X$42)+1)="Entrée",INDEX('1 Budget annuel'!$I$14:$I$43,COLUMN()-COLUMN($X$42)+1),-INDEX('1 Budget annuel'!$I$14:$I$43,COLUMN()-COLUMN($X$42)+1)),0))</x:f>
        <x:v>0</x:v>
      </x:c>
    </x:row>
    <x:row r="180">
      <x:c r="L180" s="114" t="n">
        <x:f>L179+1</x:f>
        <x:v>46374</x:v>
      </x:c>
      <x:c r="M180" s="115" t="b">
        <x:f>AND(L180&gt;=$D$5,L180&lt;=$D$5+363,MOD(L180-$D$5,7)=0)</x:f>
        <x:v>0</x:v>
      </x:c>
      <x:c r="N180" s="116" t="n">
        <x:f>SUM(X180:BA180)</x:f>
        <x:v>0</x:v>
      </x:c>
      <x:c r="O180" s="116" t="n">
        <x:f>IF(M180,$D$10,0)</x:f>
        <x:v>0</x:v>
      </x:c>
      <x:c r="P180" s="116" t="n">
        <x:f>N180-O180</x:f>
        <x:v>0</x:v>
      </x:c>
      <x:c r="Q180" s="116" t="n">
        <x:f>IF(L180&lt;$D$5,0,IF(L180=$D$5,P180,Q179+P180))</x:f>
        <x:v>0</x:v>
      </x:c>
      <x:c r="R180" s="116" t="n">
        <x:f>IF(L180&lt;$D$5,"",$J$10+Q180)</x:f>
        <x:v>0</x:v>
      </x:c>
      <x:c r="S180" s="116" t="n">
        <x:f>IF($L180&lt;$D$5,"",IF($L180=$D$5,$J$10+$N180-IF($M180,IF(INT(($L180-$D$5)/7)&lt;$A$20,$B$20,$D$10),0),S179+$N180-IF($M180,IF(INT(($L180-$D$5)/7)&lt;$A$20,$B$20,$D$10),0)))</x:f>
        <x:v>0</x:v>
      </x:c>
      <x:c r="T180" s="116" t="n">
        <x:f>IF($L180&lt;$D$5,"",IF($L180=$D$5,$J$10+$N180-IF($M180,IF(INT(($L180-$D$5)/7)&lt;$A$21,$B$21,$D$10),0),T179+$N180-IF($M180,IF(INT(($L180-$D$5)/7)&lt;$A$21,$B$21,$D$10),0)))</x:f>
        <x:v>0</x:v>
      </x:c>
      <x:c r="U180" s="116" t="n">
        <x:f>IF($L180&lt;$D$5,"",IF($L180=$D$5,$J$10+$N180-IF($M180,IF(INT(($L180-$D$5)/7)&lt;$A$22,$B$22,$D$10),0),U179+$N180-IF($M180,IF(INT(($L180-$D$5)/7)&lt;$A$22,$B$22,$D$10),0)))</x:f>
        <x:v>0</x:v>
      </x:c>
      <x:c r="V180" s="116" t="n">
        <x:f>IF($L180&lt;$D$5,"",IF($L180=$D$5,$J$10+$N180-IF($M180,IF(INT(($L180-$D$5)/7)&lt;$A$23,$B$23,$D$10),0),V179+$N180-IF($M180,IF(INT(($L180-$D$5)/7)&lt;$A$23,$B$23,$D$10),0)))</x:f>
        <x:v>0</x:v>
      </x:c>
      <x:c r="W180" s="116" t="n">
        <x:f>IF($L180&lt;$D$5,"",IF($L180=$D$5,$J$10+$N180-IF($M180,IF(INT(($L180-$D$5)/7)&lt;$A$24,$B$24,$D$10),0),W179+$N180-IF($M180,IF(INT(($L180-$D$5)/7)&lt;$A$24,$B$24,$D$10),0)))</x:f>
        <x:v>0</x:v>
      </x:c>
      <x:c r="X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Y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Z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A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B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C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D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E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F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G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H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I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J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K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L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M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N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O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P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Q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R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S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T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U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V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W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X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Y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AZ180" s="116"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c r="BA180" s="117" t="n">
        <x:f>IF(OR(INDEX('1 Budget annuel'!$A$14:$A$43,COLUMN()-COLUMN($X$42)+1)&lt;&gt;"Oui",INDEX('1 Budget annuel'!$L$14:$L$43,COLUMN()-COLUMN($X$42)+1)="",AND(INDEX('1 Budget annuel'!$B$14:$B$43,COLUMN()-COLUMN($X$42)+1)="Sortie",INDEX('1 Budget annuel'!$M$14:$M$43,COLUMN()-COLUMN($X$42)+1)="Oui"),$L180&lt;INDEX('1 Budget annuel'!$L$14:$L$43,COLUMN()-COLUMN($X$42)+1),$L180&gt;$D$5+363),0,IF(OR(AND(INDEX('1 Budget annuel'!$E$14:$E$43,COLUMN()-COLUMN($X$42)+1)="Hebdomadaire",MOD($L180-INDEX('1 Budget annuel'!$L$14:$L$43,COLUMN()-COLUMN($X$42)+1),7)=0),AND(INDEX('1 Budget annuel'!$E$14:$E$43,COLUMN()-COLUMN($X$42)+1)="Toutes les 4 semaines",MOD($L180-INDEX('1 Budget annuel'!$L$14:$L$43,COLUMN()-COLUMN($X$42)+1),28)=0),AND(INDEX('1 Budget annuel'!$E$14:$E$43,COLUMN()-COLUMN($X$42)+1)="Mensuelle",DAY($L180)=MIN(DAY(INDEX('1 Budget annuel'!$L$14:$L$43,COLUMN()-COLUMN($X$42)+1)),DAY(EOMONTH($L180,0)))),AND(INDEX('1 Budget annuel'!$E$14:$E$43,COLUMN()-COLUMN($X$42)+1)="Trimestrielle",MOD((YEAR($L180)-YEAR(INDEX('1 Budget annuel'!$L$14:$L$43,COLUMN()-COLUMN($X$42)+1)))*12+MONTH($L180)-MONTH(INDEX('1 Budget annuel'!$L$14:$L$43,COLUMN()-COLUMN($X$42)+1)),3)=0,DAY($L180)=MIN(DAY(INDEX('1 Budget annuel'!$L$14:$L$43,COLUMN()-COLUMN($X$42)+1)),DAY(EOMONTH($L180,0)))),AND(INDEX('1 Budget annuel'!$E$14:$E$43,COLUMN()-COLUMN($X$42)+1)="Semestrielle",MOD((YEAR($L180)-YEAR(INDEX('1 Budget annuel'!$L$14:$L$43,COLUMN()-COLUMN($X$42)+1)))*12+MONTH($L180)-MONTH(INDEX('1 Budget annuel'!$L$14:$L$43,COLUMN()-COLUMN($X$42)+1)),6)=0,DAY($L180)=MIN(DAY(INDEX('1 Budget annuel'!$L$14:$L$43,COLUMN()-COLUMN($X$42)+1)),DAY(EOMONTH($L180,0)))),AND(INDEX('1 Budget annuel'!$E$14:$E$43,COLUMN()-COLUMN($X$42)+1)="Annuelle",MOD((YEAR($L180)-YEAR(INDEX('1 Budget annuel'!$L$14:$L$43,COLUMN()-COLUMN($X$42)+1)))*12+MONTH($L180)-MONTH(INDEX('1 Budget annuel'!$L$14:$L$43,COLUMN()-COLUMN($X$42)+1)),12)=0,DAY($L180)=MIN(DAY(INDEX('1 Budget annuel'!$L$14:$L$43,COLUMN()-COLUMN($X$42)+1)),DAY(EOMONTH($L180,0))))),IF(INDEX('1 Budget annuel'!$B$14:$B$43,COLUMN()-COLUMN($X$42)+1)="Entrée",INDEX('1 Budget annuel'!$I$14:$I$43,COLUMN()-COLUMN($X$42)+1),-INDEX('1 Budget annuel'!$I$14:$I$43,COLUMN()-COLUMN($X$42)+1)),0))</x:f>
        <x:v>0</x:v>
      </x:c>
    </x:row>
    <x:row r="181">
      <x:c r="L181" s="114" t="n">
        <x:f>L180+1</x:f>
        <x:v>46375</x:v>
      </x:c>
      <x:c r="M181" s="115" t="b">
        <x:f>AND(L181&gt;=$D$5,L181&lt;=$D$5+363,MOD(L181-$D$5,7)=0)</x:f>
        <x:v>1</x:v>
      </x:c>
      <x:c r="N181" s="116" t="n">
        <x:f>SUM(X181:BA181)</x:f>
        <x:v>0</x:v>
      </x:c>
      <x:c r="O181" s="116" t="n">
        <x:f>IF(M181,$D$10,0)</x:f>
        <x:v>0</x:v>
      </x:c>
      <x:c r="P181" s="116" t="n">
        <x:f>N181-O181</x:f>
        <x:v>0</x:v>
      </x:c>
      <x:c r="Q181" s="116" t="n">
        <x:f>IF(L181&lt;$D$5,0,IF(L181=$D$5,P181,Q180+P181))</x:f>
        <x:v>0</x:v>
      </x:c>
      <x:c r="R181" s="116" t="n">
        <x:f>IF(L181&lt;$D$5,"",$J$10+Q181)</x:f>
        <x:v>0</x:v>
      </x:c>
      <x:c r="S181" s="116" t="n">
        <x:f>IF($L181&lt;$D$5,"",IF($L181=$D$5,$J$10+$N181-IF($M181,IF(INT(($L181-$D$5)/7)&lt;$A$20,$B$20,$D$10),0),S180+$N181-IF($M181,IF(INT(($L181-$D$5)/7)&lt;$A$20,$B$20,$D$10),0)))</x:f>
        <x:v>0</x:v>
      </x:c>
      <x:c r="T181" s="116" t="n">
        <x:f>IF($L181&lt;$D$5,"",IF($L181=$D$5,$J$10+$N181-IF($M181,IF(INT(($L181-$D$5)/7)&lt;$A$21,$B$21,$D$10),0),T180+$N181-IF($M181,IF(INT(($L181-$D$5)/7)&lt;$A$21,$B$21,$D$10),0)))</x:f>
        <x:v>0</x:v>
      </x:c>
      <x:c r="U181" s="116" t="n">
        <x:f>IF($L181&lt;$D$5,"",IF($L181=$D$5,$J$10+$N181-IF($M181,IF(INT(($L181-$D$5)/7)&lt;$A$22,$B$22,$D$10),0),U180+$N181-IF($M181,IF(INT(($L181-$D$5)/7)&lt;$A$22,$B$22,$D$10),0)))</x:f>
        <x:v>0</x:v>
      </x:c>
      <x:c r="V181" s="116" t="n">
        <x:f>IF($L181&lt;$D$5,"",IF($L181=$D$5,$J$10+$N181-IF($M181,IF(INT(($L181-$D$5)/7)&lt;$A$23,$B$23,$D$10),0),V180+$N181-IF($M181,IF(INT(($L181-$D$5)/7)&lt;$A$23,$B$23,$D$10),0)))</x:f>
        <x:v>0</x:v>
      </x:c>
      <x:c r="W181" s="116" t="n">
        <x:f>IF($L181&lt;$D$5,"",IF($L181=$D$5,$J$10+$N181-IF($M181,IF(INT(($L181-$D$5)/7)&lt;$A$24,$B$24,$D$10),0),W180+$N181-IF($M181,IF(INT(($L181-$D$5)/7)&lt;$A$24,$B$24,$D$10),0)))</x:f>
        <x:v>0</x:v>
      </x:c>
      <x:c r="X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Y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Z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A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B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C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D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E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F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G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H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I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J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K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L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M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N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O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P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Q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R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S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T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U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V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W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X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Y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AZ181" s="116"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c r="BA181" s="117" t="n">
        <x:f>IF(OR(INDEX('1 Budget annuel'!$A$14:$A$43,COLUMN()-COLUMN($X$42)+1)&lt;&gt;"Oui",INDEX('1 Budget annuel'!$L$14:$L$43,COLUMN()-COLUMN($X$42)+1)="",AND(INDEX('1 Budget annuel'!$B$14:$B$43,COLUMN()-COLUMN($X$42)+1)="Sortie",INDEX('1 Budget annuel'!$M$14:$M$43,COLUMN()-COLUMN($X$42)+1)="Oui"),$L181&lt;INDEX('1 Budget annuel'!$L$14:$L$43,COLUMN()-COLUMN($X$42)+1),$L181&gt;$D$5+363),0,IF(OR(AND(INDEX('1 Budget annuel'!$E$14:$E$43,COLUMN()-COLUMN($X$42)+1)="Hebdomadaire",MOD($L181-INDEX('1 Budget annuel'!$L$14:$L$43,COLUMN()-COLUMN($X$42)+1),7)=0),AND(INDEX('1 Budget annuel'!$E$14:$E$43,COLUMN()-COLUMN($X$42)+1)="Toutes les 4 semaines",MOD($L181-INDEX('1 Budget annuel'!$L$14:$L$43,COLUMN()-COLUMN($X$42)+1),28)=0),AND(INDEX('1 Budget annuel'!$E$14:$E$43,COLUMN()-COLUMN($X$42)+1)="Mensuelle",DAY($L181)=MIN(DAY(INDEX('1 Budget annuel'!$L$14:$L$43,COLUMN()-COLUMN($X$42)+1)),DAY(EOMONTH($L181,0)))),AND(INDEX('1 Budget annuel'!$E$14:$E$43,COLUMN()-COLUMN($X$42)+1)="Trimestrielle",MOD((YEAR($L181)-YEAR(INDEX('1 Budget annuel'!$L$14:$L$43,COLUMN()-COLUMN($X$42)+1)))*12+MONTH($L181)-MONTH(INDEX('1 Budget annuel'!$L$14:$L$43,COLUMN()-COLUMN($X$42)+1)),3)=0,DAY($L181)=MIN(DAY(INDEX('1 Budget annuel'!$L$14:$L$43,COLUMN()-COLUMN($X$42)+1)),DAY(EOMONTH($L181,0)))),AND(INDEX('1 Budget annuel'!$E$14:$E$43,COLUMN()-COLUMN($X$42)+1)="Semestrielle",MOD((YEAR($L181)-YEAR(INDEX('1 Budget annuel'!$L$14:$L$43,COLUMN()-COLUMN($X$42)+1)))*12+MONTH($L181)-MONTH(INDEX('1 Budget annuel'!$L$14:$L$43,COLUMN()-COLUMN($X$42)+1)),6)=0,DAY($L181)=MIN(DAY(INDEX('1 Budget annuel'!$L$14:$L$43,COLUMN()-COLUMN($X$42)+1)),DAY(EOMONTH($L181,0)))),AND(INDEX('1 Budget annuel'!$E$14:$E$43,COLUMN()-COLUMN($X$42)+1)="Annuelle",MOD((YEAR($L181)-YEAR(INDEX('1 Budget annuel'!$L$14:$L$43,COLUMN()-COLUMN($X$42)+1)))*12+MONTH($L181)-MONTH(INDEX('1 Budget annuel'!$L$14:$L$43,COLUMN()-COLUMN($X$42)+1)),12)=0,DAY($L181)=MIN(DAY(INDEX('1 Budget annuel'!$L$14:$L$43,COLUMN()-COLUMN($X$42)+1)),DAY(EOMONTH($L181,0))))),IF(INDEX('1 Budget annuel'!$B$14:$B$43,COLUMN()-COLUMN($X$42)+1)="Entrée",INDEX('1 Budget annuel'!$I$14:$I$43,COLUMN()-COLUMN($X$42)+1),-INDEX('1 Budget annuel'!$I$14:$I$43,COLUMN()-COLUMN($X$42)+1)),0))</x:f>
        <x:v>0</x:v>
      </x:c>
    </x:row>
    <x:row r="182">
      <x:c r="L182" s="114" t="n">
        <x:f>L181+1</x:f>
        <x:v>46376</x:v>
      </x:c>
      <x:c r="M182" s="115" t="b">
        <x:f>AND(L182&gt;=$D$5,L182&lt;=$D$5+363,MOD(L182-$D$5,7)=0)</x:f>
        <x:v>0</x:v>
      </x:c>
      <x:c r="N182" s="116" t="n">
        <x:f>SUM(X182:BA182)</x:f>
        <x:v>0</x:v>
      </x:c>
      <x:c r="O182" s="116" t="n">
        <x:f>IF(M182,$D$10,0)</x:f>
        <x:v>0</x:v>
      </x:c>
      <x:c r="P182" s="116" t="n">
        <x:f>N182-O182</x:f>
        <x:v>0</x:v>
      </x:c>
      <x:c r="Q182" s="116" t="n">
        <x:f>IF(L182&lt;$D$5,0,IF(L182=$D$5,P182,Q181+P182))</x:f>
        <x:v>0</x:v>
      </x:c>
      <x:c r="R182" s="116" t="n">
        <x:f>IF(L182&lt;$D$5,"",$J$10+Q182)</x:f>
        <x:v>0</x:v>
      </x:c>
      <x:c r="S182" s="116" t="n">
        <x:f>IF($L182&lt;$D$5,"",IF($L182=$D$5,$J$10+$N182-IF($M182,IF(INT(($L182-$D$5)/7)&lt;$A$20,$B$20,$D$10),0),S181+$N182-IF($M182,IF(INT(($L182-$D$5)/7)&lt;$A$20,$B$20,$D$10),0)))</x:f>
        <x:v>0</x:v>
      </x:c>
      <x:c r="T182" s="116" t="n">
        <x:f>IF($L182&lt;$D$5,"",IF($L182=$D$5,$J$10+$N182-IF($M182,IF(INT(($L182-$D$5)/7)&lt;$A$21,$B$21,$D$10),0),T181+$N182-IF($M182,IF(INT(($L182-$D$5)/7)&lt;$A$21,$B$21,$D$10),0)))</x:f>
        <x:v>0</x:v>
      </x:c>
      <x:c r="U182" s="116" t="n">
        <x:f>IF($L182&lt;$D$5,"",IF($L182=$D$5,$J$10+$N182-IF($M182,IF(INT(($L182-$D$5)/7)&lt;$A$22,$B$22,$D$10),0),U181+$N182-IF($M182,IF(INT(($L182-$D$5)/7)&lt;$A$22,$B$22,$D$10),0)))</x:f>
        <x:v>0</x:v>
      </x:c>
      <x:c r="V182" s="116" t="n">
        <x:f>IF($L182&lt;$D$5,"",IF($L182=$D$5,$J$10+$N182-IF($M182,IF(INT(($L182-$D$5)/7)&lt;$A$23,$B$23,$D$10),0),V181+$N182-IF($M182,IF(INT(($L182-$D$5)/7)&lt;$A$23,$B$23,$D$10),0)))</x:f>
        <x:v>0</x:v>
      </x:c>
      <x:c r="W182" s="116" t="n">
        <x:f>IF($L182&lt;$D$5,"",IF($L182=$D$5,$J$10+$N182-IF($M182,IF(INT(($L182-$D$5)/7)&lt;$A$24,$B$24,$D$10),0),W181+$N182-IF($M182,IF(INT(($L182-$D$5)/7)&lt;$A$24,$B$24,$D$10),0)))</x:f>
        <x:v>0</x:v>
      </x:c>
      <x:c r="X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Y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Z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A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B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C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D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E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F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G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H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I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J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K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L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M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N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O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P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Q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R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S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T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U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V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W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X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Y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AZ182" s="116"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c r="BA182" s="117" t="n">
        <x:f>IF(OR(INDEX('1 Budget annuel'!$A$14:$A$43,COLUMN()-COLUMN($X$42)+1)&lt;&gt;"Oui",INDEX('1 Budget annuel'!$L$14:$L$43,COLUMN()-COLUMN($X$42)+1)="",AND(INDEX('1 Budget annuel'!$B$14:$B$43,COLUMN()-COLUMN($X$42)+1)="Sortie",INDEX('1 Budget annuel'!$M$14:$M$43,COLUMN()-COLUMN($X$42)+1)="Oui"),$L182&lt;INDEX('1 Budget annuel'!$L$14:$L$43,COLUMN()-COLUMN($X$42)+1),$L182&gt;$D$5+363),0,IF(OR(AND(INDEX('1 Budget annuel'!$E$14:$E$43,COLUMN()-COLUMN($X$42)+1)="Hebdomadaire",MOD($L182-INDEX('1 Budget annuel'!$L$14:$L$43,COLUMN()-COLUMN($X$42)+1),7)=0),AND(INDEX('1 Budget annuel'!$E$14:$E$43,COLUMN()-COLUMN($X$42)+1)="Toutes les 4 semaines",MOD($L182-INDEX('1 Budget annuel'!$L$14:$L$43,COLUMN()-COLUMN($X$42)+1),28)=0),AND(INDEX('1 Budget annuel'!$E$14:$E$43,COLUMN()-COLUMN($X$42)+1)="Mensuelle",DAY($L182)=MIN(DAY(INDEX('1 Budget annuel'!$L$14:$L$43,COLUMN()-COLUMN($X$42)+1)),DAY(EOMONTH($L182,0)))),AND(INDEX('1 Budget annuel'!$E$14:$E$43,COLUMN()-COLUMN($X$42)+1)="Trimestrielle",MOD((YEAR($L182)-YEAR(INDEX('1 Budget annuel'!$L$14:$L$43,COLUMN()-COLUMN($X$42)+1)))*12+MONTH($L182)-MONTH(INDEX('1 Budget annuel'!$L$14:$L$43,COLUMN()-COLUMN($X$42)+1)),3)=0,DAY($L182)=MIN(DAY(INDEX('1 Budget annuel'!$L$14:$L$43,COLUMN()-COLUMN($X$42)+1)),DAY(EOMONTH($L182,0)))),AND(INDEX('1 Budget annuel'!$E$14:$E$43,COLUMN()-COLUMN($X$42)+1)="Semestrielle",MOD((YEAR($L182)-YEAR(INDEX('1 Budget annuel'!$L$14:$L$43,COLUMN()-COLUMN($X$42)+1)))*12+MONTH($L182)-MONTH(INDEX('1 Budget annuel'!$L$14:$L$43,COLUMN()-COLUMN($X$42)+1)),6)=0,DAY($L182)=MIN(DAY(INDEX('1 Budget annuel'!$L$14:$L$43,COLUMN()-COLUMN($X$42)+1)),DAY(EOMONTH($L182,0)))),AND(INDEX('1 Budget annuel'!$E$14:$E$43,COLUMN()-COLUMN($X$42)+1)="Annuelle",MOD((YEAR($L182)-YEAR(INDEX('1 Budget annuel'!$L$14:$L$43,COLUMN()-COLUMN($X$42)+1)))*12+MONTH($L182)-MONTH(INDEX('1 Budget annuel'!$L$14:$L$43,COLUMN()-COLUMN($X$42)+1)),12)=0,DAY($L182)=MIN(DAY(INDEX('1 Budget annuel'!$L$14:$L$43,COLUMN()-COLUMN($X$42)+1)),DAY(EOMONTH($L182,0))))),IF(INDEX('1 Budget annuel'!$B$14:$B$43,COLUMN()-COLUMN($X$42)+1)="Entrée",INDEX('1 Budget annuel'!$I$14:$I$43,COLUMN()-COLUMN($X$42)+1),-INDEX('1 Budget annuel'!$I$14:$I$43,COLUMN()-COLUMN($X$42)+1)),0))</x:f>
        <x:v>0</x:v>
      </x:c>
    </x:row>
    <x:row r="183">
      <x:c r="L183" s="114" t="n">
        <x:f>L182+1</x:f>
        <x:v>46377</x:v>
      </x:c>
      <x:c r="M183" s="115" t="b">
        <x:f>AND(L183&gt;=$D$5,L183&lt;=$D$5+363,MOD(L183-$D$5,7)=0)</x:f>
        <x:v>0</x:v>
      </x:c>
      <x:c r="N183" s="116" t="n">
        <x:f>SUM(X183:BA183)</x:f>
        <x:v>0</x:v>
      </x:c>
      <x:c r="O183" s="116" t="n">
        <x:f>IF(M183,$D$10,0)</x:f>
        <x:v>0</x:v>
      </x:c>
      <x:c r="P183" s="116" t="n">
        <x:f>N183-O183</x:f>
        <x:v>0</x:v>
      </x:c>
      <x:c r="Q183" s="116" t="n">
        <x:f>IF(L183&lt;$D$5,0,IF(L183=$D$5,P183,Q182+P183))</x:f>
        <x:v>0</x:v>
      </x:c>
      <x:c r="R183" s="116" t="n">
        <x:f>IF(L183&lt;$D$5,"",$J$10+Q183)</x:f>
        <x:v>0</x:v>
      </x:c>
      <x:c r="S183" s="116" t="n">
        <x:f>IF($L183&lt;$D$5,"",IF($L183=$D$5,$J$10+$N183-IF($M183,IF(INT(($L183-$D$5)/7)&lt;$A$20,$B$20,$D$10),0),S182+$N183-IF($M183,IF(INT(($L183-$D$5)/7)&lt;$A$20,$B$20,$D$10),0)))</x:f>
        <x:v>0</x:v>
      </x:c>
      <x:c r="T183" s="116" t="n">
        <x:f>IF($L183&lt;$D$5,"",IF($L183=$D$5,$J$10+$N183-IF($M183,IF(INT(($L183-$D$5)/7)&lt;$A$21,$B$21,$D$10),0),T182+$N183-IF($M183,IF(INT(($L183-$D$5)/7)&lt;$A$21,$B$21,$D$10),0)))</x:f>
        <x:v>0</x:v>
      </x:c>
      <x:c r="U183" s="116" t="n">
        <x:f>IF($L183&lt;$D$5,"",IF($L183=$D$5,$J$10+$N183-IF($M183,IF(INT(($L183-$D$5)/7)&lt;$A$22,$B$22,$D$10),0),U182+$N183-IF($M183,IF(INT(($L183-$D$5)/7)&lt;$A$22,$B$22,$D$10),0)))</x:f>
        <x:v>0</x:v>
      </x:c>
      <x:c r="V183" s="116" t="n">
        <x:f>IF($L183&lt;$D$5,"",IF($L183=$D$5,$J$10+$N183-IF($M183,IF(INT(($L183-$D$5)/7)&lt;$A$23,$B$23,$D$10),0),V182+$N183-IF($M183,IF(INT(($L183-$D$5)/7)&lt;$A$23,$B$23,$D$10),0)))</x:f>
        <x:v>0</x:v>
      </x:c>
      <x:c r="W183" s="116" t="n">
        <x:f>IF($L183&lt;$D$5,"",IF($L183=$D$5,$J$10+$N183-IF($M183,IF(INT(($L183-$D$5)/7)&lt;$A$24,$B$24,$D$10),0),W182+$N183-IF($M183,IF(INT(($L183-$D$5)/7)&lt;$A$24,$B$24,$D$10),0)))</x:f>
        <x:v>0</x:v>
      </x:c>
      <x:c r="X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Y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Z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A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B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C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D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E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F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G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H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I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J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K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L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M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N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O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P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Q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R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S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T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U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V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W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X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Y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AZ183" s="116"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c r="BA183" s="117" t="n">
        <x:f>IF(OR(INDEX('1 Budget annuel'!$A$14:$A$43,COLUMN()-COLUMN($X$42)+1)&lt;&gt;"Oui",INDEX('1 Budget annuel'!$L$14:$L$43,COLUMN()-COLUMN($X$42)+1)="",AND(INDEX('1 Budget annuel'!$B$14:$B$43,COLUMN()-COLUMN($X$42)+1)="Sortie",INDEX('1 Budget annuel'!$M$14:$M$43,COLUMN()-COLUMN($X$42)+1)="Oui"),$L183&lt;INDEX('1 Budget annuel'!$L$14:$L$43,COLUMN()-COLUMN($X$42)+1),$L183&gt;$D$5+363),0,IF(OR(AND(INDEX('1 Budget annuel'!$E$14:$E$43,COLUMN()-COLUMN($X$42)+1)="Hebdomadaire",MOD($L183-INDEX('1 Budget annuel'!$L$14:$L$43,COLUMN()-COLUMN($X$42)+1),7)=0),AND(INDEX('1 Budget annuel'!$E$14:$E$43,COLUMN()-COLUMN($X$42)+1)="Toutes les 4 semaines",MOD($L183-INDEX('1 Budget annuel'!$L$14:$L$43,COLUMN()-COLUMN($X$42)+1),28)=0),AND(INDEX('1 Budget annuel'!$E$14:$E$43,COLUMN()-COLUMN($X$42)+1)="Mensuelle",DAY($L183)=MIN(DAY(INDEX('1 Budget annuel'!$L$14:$L$43,COLUMN()-COLUMN($X$42)+1)),DAY(EOMONTH($L183,0)))),AND(INDEX('1 Budget annuel'!$E$14:$E$43,COLUMN()-COLUMN($X$42)+1)="Trimestrielle",MOD((YEAR($L183)-YEAR(INDEX('1 Budget annuel'!$L$14:$L$43,COLUMN()-COLUMN($X$42)+1)))*12+MONTH($L183)-MONTH(INDEX('1 Budget annuel'!$L$14:$L$43,COLUMN()-COLUMN($X$42)+1)),3)=0,DAY($L183)=MIN(DAY(INDEX('1 Budget annuel'!$L$14:$L$43,COLUMN()-COLUMN($X$42)+1)),DAY(EOMONTH($L183,0)))),AND(INDEX('1 Budget annuel'!$E$14:$E$43,COLUMN()-COLUMN($X$42)+1)="Semestrielle",MOD((YEAR($L183)-YEAR(INDEX('1 Budget annuel'!$L$14:$L$43,COLUMN()-COLUMN($X$42)+1)))*12+MONTH($L183)-MONTH(INDEX('1 Budget annuel'!$L$14:$L$43,COLUMN()-COLUMN($X$42)+1)),6)=0,DAY($L183)=MIN(DAY(INDEX('1 Budget annuel'!$L$14:$L$43,COLUMN()-COLUMN($X$42)+1)),DAY(EOMONTH($L183,0)))),AND(INDEX('1 Budget annuel'!$E$14:$E$43,COLUMN()-COLUMN($X$42)+1)="Annuelle",MOD((YEAR($L183)-YEAR(INDEX('1 Budget annuel'!$L$14:$L$43,COLUMN()-COLUMN($X$42)+1)))*12+MONTH($L183)-MONTH(INDEX('1 Budget annuel'!$L$14:$L$43,COLUMN()-COLUMN($X$42)+1)),12)=0,DAY($L183)=MIN(DAY(INDEX('1 Budget annuel'!$L$14:$L$43,COLUMN()-COLUMN($X$42)+1)),DAY(EOMONTH($L183,0))))),IF(INDEX('1 Budget annuel'!$B$14:$B$43,COLUMN()-COLUMN($X$42)+1)="Entrée",INDEX('1 Budget annuel'!$I$14:$I$43,COLUMN()-COLUMN($X$42)+1),-INDEX('1 Budget annuel'!$I$14:$I$43,COLUMN()-COLUMN($X$42)+1)),0))</x:f>
        <x:v>0</x:v>
      </x:c>
    </x:row>
    <x:row r="184">
      <x:c r="L184" s="114" t="n">
        <x:f>L183+1</x:f>
        <x:v>46378</x:v>
      </x:c>
      <x:c r="M184" s="115" t="b">
        <x:f>AND(L184&gt;=$D$5,L184&lt;=$D$5+363,MOD(L184-$D$5,7)=0)</x:f>
        <x:v>0</x:v>
      </x:c>
      <x:c r="N184" s="116" t="n">
        <x:f>SUM(X184:BA184)</x:f>
        <x:v>0</x:v>
      </x:c>
      <x:c r="O184" s="116" t="n">
        <x:f>IF(M184,$D$10,0)</x:f>
        <x:v>0</x:v>
      </x:c>
      <x:c r="P184" s="116" t="n">
        <x:f>N184-O184</x:f>
        <x:v>0</x:v>
      </x:c>
      <x:c r="Q184" s="116" t="n">
        <x:f>IF(L184&lt;$D$5,0,IF(L184=$D$5,P184,Q183+P184))</x:f>
        <x:v>0</x:v>
      </x:c>
      <x:c r="R184" s="116" t="n">
        <x:f>IF(L184&lt;$D$5,"",$J$10+Q184)</x:f>
        <x:v>0</x:v>
      </x:c>
      <x:c r="S184" s="116" t="n">
        <x:f>IF($L184&lt;$D$5,"",IF($L184=$D$5,$J$10+$N184-IF($M184,IF(INT(($L184-$D$5)/7)&lt;$A$20,$B$20,$D$10),0),S183+$N184-IF($M184,IF(INT(($L184-$D$5)/7)&lt;$A$20,$B$20,$D$10),0)))</x:f>
        <x:v>0</x:v>
      </x:c>
      <x:c r="T184" s="116" t="n">
        <x:f>IF($L184&lt;$D$5,"",IF($L184=$D$5,$J$10+$N184-IF($M184,IF(INT(($L184-$D$5)/7)&lt;$A$21,$B$21,$D$10),0),T183+$N184-IF($M184,IF(INT(($L184-$D$5)/7)&lt;$A$21,$B$21,$D$10),0)))</x:f>
        <x:v>0</x:v>
      </x:c>
      <x:c r="U184" s="116" t="n">
        <x:f>IF($L184&lt;$D$5,"",IF($L184=$D$5,$J$10+$N184-IF($M184,IF(INT(($L184-$D$5)/7)&lt;$A$22,$B$22,$D$10),0),U183+$N184-IF($M184,IF(INT(($L184-$D$5)/7)&lt;$A$22,$B$22,$D$10),0)))</x:f>
        <x:v>0</x:v>
      </x:c>
      <x:c r="V184" s="116" t="n">
        <x:f>IF($L184&lt;$D$5,"",IF($L184=$D$5,$J$10+$N184-IF($M184,IF(INT(($L184-$D$5)/7)&lt;$A$23,$B$23,$D$10),0),V183+$N184-IF($M184,IF(INT(($L184-$D$5)/7)&lt;$A$23,$B$23,$D$10),0)))</x:f>
        <x:v>0</x:v>
      </x:c>
      <x:c r="W184" s="116" t="n">
        <x:f>IF($L184&lt;$D$5,"",IF($L184=$D$5,$J$10+$N184-IF($M184,IF(INT(($L184-$D$5)/7)&lt;$A$24,$B$24,$D$10),0),W183+$N184-IF($M184,IF(INT(($L184-$D$5)/7)&lt;$A$24,$B$24,$D$10),0)))</x:f>
        <x:v>0</x:v>
      </x:c>
      <x:c r="X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Y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Z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A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B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C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D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E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F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G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H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I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J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K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L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M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N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O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P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Q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R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S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T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U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V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W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X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Y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AZ184" s="116"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c r="BA184" s="117" t="n">
        <x:f>IF(OR(INDEX('1 Budget annuel'!$A$14:$A$43,COLUMN()-COLUMN($X$42)+1)&lt;&gt;"Oui",INDEX('1 Budget annuel'!$L$14:$L$43,COLUMN()-COLUMN($X$42)+1)="",AND(INDEX('1 Budget annuel'!$B$14:$B$43,COLUMN()-COLUMN($X$42)+1)="Sortie",INDEX('1 Budget annuel'!$M$14:$M$43,COLUMN()-COLUMN($X$42)+1)="Oui"),$L184&lt;INDEX('1 Budget annuel'!$L$14:$L$43,COLUMN()-COLUMN($X$42)+1),$L184&gt;$D$5+363),0,IF(OR(AND(INDEX('1 Budget annuel'!$E$14:$E$43,COLUMN()-COLUMN($X$42)+1)="Hebdomadaire",MOD($L184-INDEX('1 Budget annuel'!$L$14:$L$43,COLUMN()-COLUMN($X$42)+1),7)=0),AND(INDEX('1 Budget annuel'!$E$14:$E$43,COLUMN()-COLUMN($X$42)+1)="Toutes les 4 semaines",MOD($L184-INDEX('1 Budget annuel'!$L$14:$L$43,COLUMN()-COLUMN($X$42)+1),28)=0),AND(INDEX('1 Budget annuel'!$E$14:$E$43,COLUMN()-COLUMN($X$42)+1)="Mensuelle",DAY($L184)=MIN(DAY(INDEX('1 Budget annuel'!$L$14:$L$43,COLUMN()-COLUMN($X$42)+1)),DAY(EOMONTH($L184,0)))),AND(INDEX('1 Budget annuel'!$E$14:$E$43,COLUMN()-COLUMN($X$42)+1)="Trimestrielle",MOD((YEAR($L184)-YEAR(INDEX('1 Budget annuel'!$L$14:$L$43,COLUMN()-COLUMN($X$42)+1)))*12+MONTH($L184)-MONTH(INDEX('1 Budget annuel'!$L$14:$L$43,COLUMN()-COLUMN($X$42)+1)),3)=0,DAY($L184)=MIN(DAY(INDEX('1 Budget annuel'!$L$14:$L$43,COLUMN()-COLUMN($X$42)+1)),DAY(EOMONTH($L184,0)))),AND(INDEX('1 Budget annuel'!$E$14:$E$43,COLUMN()-COLUMN($X$42)+1)="Semestrielle",MOD((YEAR($L184)-YEAR(INDEX('1 Budget annuel'!$L$14:$L$43,COLUMN()-COLUMN($X$42)+1)))*12+MONTH($L184)-MONTH(INDEX('1 Budget annuel'!$L$14:$L$43,COLUMN()-COLUMN($X$42)+1)),6)=0,DAY($L184)=MIN(DAY(INDEX('1 Budget annuel'!$L$14:$L$43,COLUMN()-COLUMN($X$42)+1)),DAY(EOMONTH($L184,0)))),AND(INDEX('1 Budget annuel'!$E$14:$E$43,COLUMN()-COLUMN($X$42)+1)="Annuelle",MOD((YEAR($L184)-YEAR(INDEX('1 Budget annuel'!$L$14:$L$43,COLUMN()-COLUMN($X$42)+1)))*12+MONTH($L184)-MONTH(INDEX('1 Budget annuel'!$L$14:$L$43,COLUMN()-COLUMN($X$42)+1)),12)=0,DAY($L184)=MIN(DAY(INDEX('1 Budget annuel'!$L$14:$L$43,COLUMN()-COLUMN($X$42)+1)),DAY(EOMONTH($L184,0))))),IF(INDEX('1 Budget annuel'!$B$14:$B$43,COLUMN()-COLUMN($X$42)+1)="Entrée",INDEX('1 Budget annuel'!$I$14:$I$43,COLUMN()-COLUMN($X$42)+1),-INDEX('1 Budget annuel'!$I$14:$I$43,COLUMN()-COLUMN($X$42)+1)),0))</x:f>
        <x:v>0</x:v>
      </x:c>
    </x:row>
    <x:row r="185">
      <x:c r="L185" s="114" t="n">
        <x:f>L184+1</x:f>
        <x:v>46379</x:v>
      </x:c>
      <x:c r="M185" s="115" t="b">
        <x:f>AND(L185&gt;=$D$5,L185&lt;=$D$5+363,MOD(L185-$D$5,7)=0)</x:f>
        <x:v>0</x:v>
      </x:c>
      <x:c r="N185" s="116" t="n">
        <x:f>SUM(X185:BA185)</x:f>
        <x:v>0</x:v>
      </x:c>
      <x:c r="O185" s="116" t="n">
        <x:f>IF(M185,$D$10,0)</x:f>
        <x:v>0</x:v>
      </x:c>
      <x:c r="P185" s="116" t="n">
        <x:f>N185-O185</x:f>
        <x:v>0</x:v>
      </x:c>
      <x:c r="Q185" s="116" t="n">
        <x:f>IF(L185&lt;$D$5,0,IF(L185=$D$5,P185,Q184+P185))</x:f>
        <x:v>0</x:v>
      </x:c>
      <x:c r="R185" s="116" t="n">
        <x:f>IF(L185&lt;$D$5,"",$J$10+Q185)</x:f>
        <x:v>0</x:v>
      </x:c>
      <x:c r="S185" s="116" t="n">
        <x:f>IF($L185&lt;$D$5,"",IF($L185=$D$5,$J$10+$N185-IF($M185,IF(INT(($L185-$D$5)/7)&lt;$A$20,$B$20,$D$10),0),S184+$N185-IF($M185,IF(INT(($L185-$D$5)/7)&lt;$A$20,$B$20,$D$10),0)))</x:f>
        <x:v>0</x:v>
      </x:c>
      <x:c r="T185" s="116" t="n">
        <x:f>IF($L185&lt;$D$5,"",IF($L185=$D$5,$J$10+$N185-IF($M185,IF(INT(($L185-$D$5)/7)&lt;$A$21,$B$21,$D$10),0),T184+$N185-IF($M185,IF(INT(($L185-$D$5)/7)&lt;$A$21,$B$21,$D$10),0)))</x:f>
        <x:v>0</x:v>
      </x:c>
      <x:c r="U185" s="116" t="n">
        <x:f>IF($L185&lt;$D$5,"",IF($L185=$D$5,$J$10+$N185-IF($M185,IF(INT(($L185-$D$5)/7)&lt;$A$22,$B$22,$D$10),0),U184+$N185-IF($M185,IF(INT(($L185-$D$5)/7)&lt;$A$22,$B$22,$D$10),0)))</x:f>
        <x:v>0</x:v>
      </x:c>
      <x:c r="V185" s="116" t="n">
        <x:f>IF($L185&lt;$D$5,"",IF($L185=$D$5,$J$10+$N185-IF($M185,IF(INT(($L185-$D$5)/7)&lt;$A$23,$B$23,$D$10),0),V184+$N185-IF($M185,IF(INT(($L185-$D$5)/7)&lt;$A$23,$B$23,$D$10),0)))</x:f>
        <x:v>0</x:v>
      </x:c>
      <x:c r="W185" s="116" t="n">
        <x:f>IF($L185&lt;$D$5,"",IF($L185=$D$5,$J$10+$N185-IF($M185,IF(INT(($L185-$D$5)/7)&lt;$A$24,$B$24,$D$10),0),W184+$N185-IF($M185,IF(INT(($L185-$D$5)/7)&lt;$A$24,$B$24,$D$10),0)))</x:f>
        <x:v>0</x:v>
      </x:c>
      <x:c r="X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Y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Z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A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B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C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D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E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F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G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H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I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J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K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L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M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N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O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P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Q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R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S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T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U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V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W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X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Y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AZ185" s="116"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c r="BA185" s="117" t="n">
        <x:f>IF(OR(INDEX('1 Budget annuel'!$A$14:$A$43,COLUMN()-COLUMN($X$42)+1)&lt;&gt;"Oui",INDEX('1 Budget annuel'!$L$14:$L$43,COLUMN()-COLUMN($X$42)+1)="",AND(INDEX('1 Budget annuel'!$B$14:$B$43,COLUMN()-COLUMN($X$42)+1)="Sortie",INDEX('1 Budget annuel'!$M$14:$M$43,COLUMN()-COLUMN($X$42)+1)="Oui"),$L185&lt;INDEX('1 Budget annuel'!$L$14:$L$43,COLUMN()-COLUMN($X$42)+1),$L185&gt;$D$5+363),0,IF(OR(AND(INDEX('1 Budget annuel'!$E$14:$E$43,COLUMN()-COLUMN($X$42)+1)="Hebdomadaire",MOD($L185-INDEX('1 Budget annuel'!$L$14:$L$43,COLUMN()-COLUMN($X$42)+1),7)=0),AND(INDEX('1 Budget annuel'!$E$14:$E$43,COLUMN()-COLUMN($X$42)+1)="Toutes les 4 semaines",MOD($L185-INDEX('1 Budget annuel'!$L$14:$L$43,COLUMN()-COLUMN($X$42)+1),28)=0),AND(INDEX('1 Budget annuel'!$E$14:$E$43,COLUMN()-COLUMN($X$42)+1)="Mensuelle",DAY($L185)=MIN(DAY(INDEX('1 Budget annuel'!$L$14:$L$43,COLUMN()-COLUMN($X$42)+1)),DAY(EOMONTH($L185,0)))),AND(INDEX('1 Budget annuel'!$E$14:$E$43,COLUMN()-COLUMN($X$42)+1)="Trimestrielle",MOD((YEAR($L185)-YEAR(INDEX('1 Budget annuel'!$L$14:$L$43,COLUMN()-COLUMN($X$42)+1)))*12+MONTH($L185)-MONTH(INDEX('1 Budget annuel'!$L$14:$L$43,COLUMN()-COLUMN($X$42)+1)),3)=0,DAY($L185)=MIN(DAY(INDEX('1 Budget annuel'!$L$14:$L$43,COLUMN()-COLUMN($X$42)+1)),DAY(EOMONTH($L185,0)))),AND(INDEX('1 Budget annuel'!$E$14:$E$43,COLUMN()-COLUMN($X$42)+1)="Semestrielle",MOD((YEAR($L185)-YEAR(INDEX('1 Budget annuel'!$L$14:$L$43,COLUMN()-COLUMN($X$42)+1)))*12+MONTH($L185)-MONTH(INDEX('1 Budget annuel'!$L$14:$L$43,COLUMN()-COLUMN($X$42)+1)),6)=0,DAY($L185)=MIN(DAY(INDEX('1 Budget annuel'!$L$14:$L$43,COLUMN()-COLUMN($X$42)+1)),DAY(EOMONTH($L185,0)))),AND(INDEX('1 Budget annuel'!$E$14:$E$43,COLUMN()-COLUMN($X$42)+1)="Annuelle",MOD((YEAR($L185)-YEAR(INDEX('1 Budget annuel'!$L$14:$L$43,COLUMN()-COLUMN($X$42)+1)))*12+MONTH($L185)-MONTH(INDEX('1 Budget annuel'!$L$14:$L$43,COLUMN()-COLUMN($X$42)+1)),12)=0,DAY($L185)=MIN(DAY(INDEX('1 Budget annuel'!$L$14:$L$43,COLUMN()-COLUMN($X$42)+1)),DAY(EOMONTH($L185,0))))),IF(INDEX('1 Budget annuel'!$B$14:$B$43,COLUMN()-COLUMN($X$42)+1)="Entrée",INDEX('1 Budget annuel'!$I$14:$I$43,COLUMN()-COLUMN($X$42)+1),-INDEX('1 Budget annuel'!$I$14:$I$43,COLUMN()-COLUMN($X$42)+1)),0))</x:f>
        <x:v>0</x:v>
      </x:c>
    </x:row>
    <x:row r="186">
      <x:c r="L186" s="114" t="n">
        <x:f>L185+1</x:f>
        <x:v>46380</x:v>
      </x:c>
      <x:c r="M186" s="115" t="b">
        <x:f>AND(L186&gt;=$D$5,L186&lt;=$D$5+363,MOD(L186-$D$5,7)=0)</x:f>
        <x:v>0</x:v>
      </x:c>
      <x:c r="N186" s="116" t="n">
        <x:f>SUM(X186:BA186)</x:f>
        <x:v>0</x:v>
      </x:c>
      <x:c r="O186" s="116" t="n">
        <x:f>IF(M186,$D$10,0)</x:f>
        <x:v>0</x:v>
      </x:c>
      <x:c r="P186" s="116" t="n">
        <x:f>N186-O186</x:f>
        <x:v>0</x:v>
      </x:c>
      <x:c r="Q186" s="116" t="n">
        <x:f>IF(L186&lt;$D$5,0,IF(L186=$D$5,P186,Q185+P186))</x:f>
        <x:v>0</x:v>
      </x:c>
      <x:c r="R186" s="116" t="n">
        <x:f>IF(L186&lt;$D$5,"",$J$10+Q186)</x:f>
        <x:v>0</x:v>
      </x:c>
      <x:c r="S186" s="116" t="n">
        <x:f>IF($L186&lt;$D$5,"",IF($L186=$D$5,$J$10+$N186-IF($M186,IF(INT(($L186-$D$5)/7)&lt;$A$20,$B$20,$D$10),0),S185+$N186-IF($M186,IF(INT(($L186-$D$5)/7)&lt;$A$20,$B$20,$D$10),0)))</x:f>
        <x:v>0</x:v>
      </x:c>
      <x:c r="T186" s="116" t="n">
        <x:f>IF($L186&lt;$D$5,"",IF($L186=$D$5,$J$10+$N186-IF($M186,IF(INT(($L186-$D$5)/7)&lt;$A$21,$B$21,$D$10),0),T185+$N186-IF($M186,IF(INT(($L186-$D$5)/7)&lt;$A$21,$B$21,$D$10),0)))</x:f>
        <x:v>0</x:v>
      </x:c>
      <x:c r="U186" s="116" t="n">
        <x:f>IF($L186&lt;$D$5,"",IF($L186=$D$5,$J$10+$N186-IF($M186,IF(INT(($L186-$D$5)/7)&lt;$A$22,$B$22,$D$10),0),U185+$N186-IF($M186,IF(INT(($L186-$D$5)/7)&lt;$A$22,$B$22,$D$10),0)))</x:f>
        <x:v>0</x:v>
      </x:c>
      <x:c r="V186" s="116" t="n">
        <x:f>IF($L186&lt;$D$5,"",IF($L186=$D$5,$J$10+$N186-IF($M186,IF(INT(($L186-$D$5)/7)&lt;$A$23,$B$23,$D$10),0),V185+$N186-IF($M186,IF(INT(($L186-$D$5)/7)&lt;$A$23,$B$23,$D$10),0)))</x:f>
        <x:v>0</x:v>
      </x:c>
      <x:c r="W186" s="116" t="n">
        <x:f>IF($L186&lt;$D$5,"",IF($L186=$D$5,$J$10+$N186-IF($M186,IF(INT(($L186-$D$5)/7)&lt;$A$24,$B$24,$D$10),0),W185+$N186-IF($M186,IF(INT(($L186-$D$5)/7)&lt;$A$24,$B$24,$D$10),0)))</x:f>
        <x:v>0</x:v>
      </x:c>
      <x:c r="X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Y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Z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A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B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C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D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E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F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G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H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I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J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K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L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M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N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O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P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Q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R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S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T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U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V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W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X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Y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AZ186" s="116"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c r="BA186" s="117" t="n">
        <x:f>IF(OR(INDEX('1 Budget annuel'!$A$14:$A$43,COLUMN()-COLUMN($X$42)+1)&lt;&gt;"Oui",INDEX('1 Budget annuel'!$L$14:$L$43,COLUMN()-COLUMN($X$42)+1)="",AND(INDEX('1 Budget annuel'!$B$14:$B$43,COLUMN()-COLUMN($X$42)+1)="Sortie",INDEX('1 Budget annuel'!$M$14:$M$43,COLUMN()-COLUMN($X$42)+1)="Oui"),$L186&lt;INDEX('1 Budget annuel'!$L$14:$L$43,COLUMN()-COLUMN($X$42)+1),$L186&gt;$D$5+363),0,IF(OR(AND(INDEX('1 Budget annuel'!$E$14:$E$43,COLUMN()-COLUMN($X$42)+1)="Hebdomadaire",MOD($L186-INDEX('1 Budget annuel'!$L$14:$L$43,COLUMN()-COLUMN($X$42)+1),7)=0),AND(INDEX('1 Budget annuel'!$E$14:$E$43,COLUMN()-COLUMN($X$42)+1)="Toutes les 4 semaines",MOD($L186-INDEX('1 Budget annuel'!$L$14:$L$43,COLUMN()-COLUMN($X$42)+1),28)=0),AND(INDEX('1 Budget annuel'!$E$14:$E$43,COLUMN()-COLUMN($X$42)+1)="Mensuelle",DAY($L186)=MIN(DAY(INDEX('1 Budget annuel'!$L$14:$L$43,COLUMN()-COLUMN($X$42)+1)),DAY(EOMONTH($L186,0)))),AND(INDEX('1 Budget annuel'!$E$14:$E$43,COLUMN()-COLUMN($X$42)+1)="Trimestrielle",MOD((YEAR($L186)-YEAR(INDEX('1 Budget annuel'!$L$14:$L$43,COLUMN()-COLUMN($X$42)+1)))*12+MONTH($L186)-MONTH(INDEX('1 Budget annuel'!$L$14:$L$43,COLUMN()-COLUMN($X$42)+1)),3)=0,DAY($L186)=MIN(DAY(INDEX('1 Budget annuel'!$L$14:$L$43,COLUMN()-COLUMN($X$42)+1)),DAY(EOMONTH($L186,0)))),AND(INDEX('1 Budget annuel'!$E$14:$E$43,COLUMN()-COLUMN($X$42)+1)="Semestrielle",MOD((YEAR($L186)-YEAR(INDEX('1 Budget annuel'!$L$14:$L$43,COLUMN()-COLUMN($X$42)+1)))*12+MONTH($L186)-MONTH(INDEX('1 Budget annuel'!$L$14:$L$43,COLUMN()-COLUMN($X$42)+1)),6)=0,DAY($L186)=MIN(DAY(INDEX('1 Budget annuel'!$L$14:$L$43,COLUMN()-COLUMN($X$42)+1)),DAY(EOMONTH($L186,0)))),AND(INDEX('1 Budget annuel'!$E$14:$E$43,COLUMN()-COLUMN($X$42)+1)="Annuelle",MOD((YEAR($L186)-YEAR(INDEX('1 Budget annuel'!$L$14:$L$43,COLUMN()-COLUMN($X$42)+1)))*12+MONTH($L186)-MONTH(INDEX('1 Budget annuel'!$L$14:$L$43,COLUMN()-COLUMN($X$42)+1)),12)=0,DAY($L186)=MIN(DAY(INDEX('1 Budget annuel'!$L$14:$L$43,COLUMN()-COLUMN($X$42)+1)),DAY(EOMONTH($L186,0))))),IF(INDEX('1 Budget annuel'!$B$14:$B$43,COLUMN()-COLUMN($X$42)+1)="Entrée",INDEX('1 Budget annuel'!$I$14:$I$43,COLUMN()-COLUMN($X$42)+1),-INDEX('1 Budget annuel'!$I$14:$I$43,COLUMN()-COLUMN($X$42)+1)),0))</x:f>
        <x:v>0</x:v>
      </x:c>
    </x:row>
    <x:row r="187">
      <x:c r="L187" s="114" t="n">
        <x:f>L186+1</x:f>
        <x:v>46381</x:v>
      </x:c>
      <x:c r="M187" s="115" t="b">
        <x:f>AND(L187&gt;=$D$5,L187&lt;=$D$5+363,MOD(L187-$D$5,7)=0)</x:f>
        <x:v>0</x:v>
      </x:c>
      <x:c r="N187" s="116" t="n">
        <x:f>SUM(X187:BA187)</x:f>
        <x:v>0</x:v>
      </x:c>
      <x:c r="O187" s="116" t="n">
        <x:f>IF(M187,$D$10,0)</x:f>
        <x:v>0</x:v>
      </x:c>
      <x:c r="P187" s="116" t="n">
        <x:f>N187-O187</x:f>
        <x:v>0</x:v>
      </x:c>
      <x:c r="Q187" s="116" t="n">
        <x:f>IF(L187&lt;$D$5,0,IF(L187=$D$5,P187,Q186+P187))</x:f>
        <x:v>0</x:v>
      </x:c>
      <x:c r="R187" s="116" t="n">
        <x:f>IF(L187&lt;$D$5,"",$J$10+Q187)</x:f>
        <x:v>0</x:v>
      </x:c>
      <x:c r="S187" s="116" t="n">
        <x:f>IF($L187&lt;$D$5,"",IF($L187=$D$5,$J$10+$N187-IF($M187,IF(INT(($L187-$D$5)/7)&lt;$A$20,$B$20,$D$10),0),S186+$N187-IF($M187,IF(INT(($L187-$D$5)/7)&lt;$A$20,$B$20,$D$10),0)))</x:f>
        <x:v>0</x:v>
      </x:c>
      <x:c r="T187" s="116" t="n">
        <x:f>IF($L187&lt;$D$5,"",IF($L187=$D$5,$J$10+$N187-IF($M187,IF(INT(($L187-$D$5)/7)&lt;$A$21,$B$21,$D$10),0),T186+$N187-IF($M187,IF(INT(($L187-$D$5)/7)&lt;$A$21,$B$21,$D$10),0)))</x:f>
        <x:v>0</x:v>
      </x:c>
      <x:c r="U187" s="116" t="n">
        <x:f>IF($L187&lt;$D$5,"",IF($L187=$D$5,$J$10+$N187-IF($M187,IF(INT(($L187-$D$5)/7)&lt;$A$22,$B$22,$D$10),0),U186+$N187-IF($M187,IF(INT(($L187-$D$5)/7)&lt;$A$22,$B$22,$D$10),0)))</x:f>
        <x:v>0</x:v>
      </x:c>
      <x:c r="V187" s="116" t="n">
        <x:f>IF($L187&lt;$D$5,"",IF($L187=$D$5,$J$10+$N187-IF($M187,IF(INT(($L187-$D$5)/7)&lt;$A$23,$B$23,$D$10),0),V186+$N187-IF($M187,IF(INT(($L187-$D$5)/7)&lt;$A$23,$B$23,$D$10),0)))</x:f>
        <x:v>0</x:v>
      </x:c>
      <x:c r="W187" s="116" t="n">
        <x:f>IF($L187&lt;$D$5,"",IF($L187=$D$5,$J$10+$N187-IF($M187,IF(INT(($L187-$D$5)/7)&lt;$A$24,$B$24,$D$10),0),W186+$N187-IF($M187,IF(INT(($L187-$D$5)/7)&lt;$A$24,$B$24,$D$10),0)))</x:f>
        <x:v>0</x:v>
      </x:c>
      <x:c r="X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Y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Z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A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B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C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D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E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F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G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H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I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J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K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L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M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N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O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P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Q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R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S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T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U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V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W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X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Y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AZ187" s="116"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c r="BA187" s="117" t="n">
        <x:f>IF(OR(INDEX('1 Budget annuel'!$A$14:$A$43,COLUMN()-COLUMN($X$42)+1)&lt;&gt;"Oui",INDEX('1 Budget annuel'!$L$14:$L$43,COLUMN()-COLUMN($X$42)+1)="",AND(INDEX('1 Budget annuel'!$B$14:$B$43,COLUMN()-COLUMN($X$42)+1)="Sortie",INDEX('1 Budget annuel'!$M$14:$M$43,COLUMN()-COLUMN($X$42)+1)="Oui"),$L187&lt;INDEX('1 Budget annuel'!$L$14:$L$43,COLUMN()-COLUMN($X$42)+1),$L187&gt;$D$5+363),0,IF(OR(AND(INDEX('1 Budget annuel'!$E$14:$E$43,COLUMN()-COLUMN($X$42)+1)="Hebdomadaire",MOD($L187-INDEX('1 Budget annuel'!$L$14:$L$43,COLUMN()-COLUMN($X$42)+1),7)=0),AND(INDEX('1 Budget annuel'!$E$14:$E$43,COLUMN()-COLUMN($X$42)+1)="Toutes les 4 semaines",MOD($L187-INDEX('1 Budget annuel'!$L$14:$L$43,COLUMN()-COLUMN($X$42)+1),28)=0),AND(INDEX('1 Budget annuel'!$E$14:$E$43,COLUMN()-COLUMN($X$42)+1)="Mensuelle",DAY($L187)=MIN(DAY(INDEX('1 Budget annuel'!$L$14:$L$43,COLUMN()-COLUMN($X$42)+1)),DAY(EOMONTH($L187,0)))),AND(INDEX('1 Budget annuel'!$E$14:$E$43,COLUMN()-COLUMN($X$42)+1)="Trimestrielle",MOD((YEAR($L187)-YEAR(INDEX('1 Budget annuel'!$L$14:$L$43,COLUMN()-COLUMN($X$42)+1)))*12+MONTH($L187)-MONTH(INDEX('1 Budget annuel'!$L$14:$L$43,COLUMN()-COLUMN($X$42)+1)),3)=0,DAY($L187)=MIN(DAY(INDEX('1 Budget annuel'!$L$14:$L$43,COLUMN()-COLUMN($X$42)+1)),DAY(EOMONTH($L187,0)))),AND(INDEX('1 Budget annuel'!$E$14:$E$43,COLUMN()-COLUMN($X$42)+1)="Semestrielle",MOD((YEAR($L187)-YEAR(INDEX('1 Budget annuel'!$L$14:$L$43,COLUMN()-COLUMN($X$42)+1)))*12+MONTH($L187)-MONTH(INDEX('1 Budget annuel'!$L$14:$L$43,COLUMN()-COLUMN($X$42)+1)),6)=0,DAY($L187)=MIN(DAY(INDEX('1 Budget annuel'!$L$14:$L$43,COLUMN()-COLUMN($X$42)+1)),DAY(EOMONTH($L187,0)))),AND(INDEX('1 Budget annuel'!$E$14:$E$43,COLUMN()-COLUMN($X$42)+1)="Annuelle",MOD((YEAR($L187)-YEAR(INDEX('1 Budget annuel'!$L$14:$L$43,COLUMN()-COLUMN($X$42)+1)))*12+MONTH($L187)-MONTH(INDEX('1 Budget annuel'!$L$14:$L$43,COLUMN()-COLUMN($X$42)+1)),12)=0,DAY($L187)=MIN(DAY(INDEX('1 Budget annuel'!$L$14:$L$43,COLUMN()-COLUMN($X$42)+1)),DAY(EOMONTH($L187,0))))),IF(INDEX('1 Budget annuel'!$B$14:$B$43,COLUMN()-COLUMN($X$42)+1)="Entrée",INDEX('1 Budget annuel'!$I$14:$I$43,COLUMN()-COLUMN($X$42)+1),-INDEX('1 Budget annuel'!$I$14:$I$43,COLUMN()-COLUMN($X$42)+1)),0))</x:f>
        <x:v>0</x:v>
      </x:c>
    </x:row>
    <x:row r="188">
      <x:c r="L188" s="114" t="n">
        <x:f>L187+1</x:f>
        <x:v>46382</x:v>
      </x:c>
      <x:c r="M188" s="115" t="b">
        <x:f>AND(L188&gt;=$D$5,L188&lt;=$D$5+363,MOD(L188-$D$5,7)=0)</x:f>
        <x:v>1</x:v>
      </x:c>
      <x:c r="N188" s="116" t="n">
        <x:f>SUM(X188:BA188)</x:f>
        <x:v>0</x:v>
      </x:c>
      <x:c r="O188" s="116" t="n">
        <x:f>IF(M188,$D$10,0)</x:f>
        <x:v>0</x:v>
      </x:c>
      <x:c r="P188" s="116" t="n">
        <x:f>N188-O188</x:f>
        <x:v>0</x:v>
      </x:c>
      <x:c r="Q188" s="116" t="n">
        <x:f>IF(L188&lt;$D$5,0,IF(L188=$D$5,P188,Q187+P188))</x:f>
        <x:v>0</x:v>
      </x:c>
      <x:c r="R188" s="116" t="n">
        <x:f>IF(L188&lt;$D$5,"",$J$10+Q188)</x:f>
        <x:v>0</x:v>
      </x:c>
      <x:c r="S188" s="116" t="n">
        <x:f>IF($L188&lt;$D$5,"",IF($L188=$D$5,$J$10+$N188-IF($M188,IF(INT(($L188-$D$5)/7)&lt;$A$20,$B$20,$D$10),0),S187+$N188-IF($M188,IF(INT(($L188-$D$5)/7)&lt;$A$20,$B$20,$D$10),0)))</x:f>
        <x:v>0</x:v>
      </x:c>
      <x:c r="T188" s="116" t="n">
        <x:f>IF($L188&lt;$D$5,"",IF($L188=$D$5,$J$10+$N188-IF($M188,IF(INT(($L188-$D$5)/7)&lt;$A$21,$B$21,$D$10),0),T187+$N188-IF($M188,IF(INT(($L188-$D$5)/7)&lt;$A$21,$B$21,$D$10),0)))</x:f>
        <x:v>0</x:v>
      </x:c>
      <x:c r="U188" s="116" t="n">
        <x:f>IF($L188&lt;$D$5,"",IF($L188=$D$5,$J$10+$N188-IF($M188,IF(INT(($L188-$D$5)/7)&lt;$A$22,$B$22,$D$10),0),U187+$N188-IF($M188,IF(INT(($L188-$D$5)/7)&lt;$A$22,$B$22,$D$10),0)))</x:f>
        <x:v>0</x:v>
      </x:c>
      <x:c r="V188" s="116" t="n">
        <x:f>IF($L188&lt;$D$5,"",IF($L188=$D$5,$J$10+$N188-IF($M188,IF(INT(($L188-$D$5)/7)&lt;$A$23,$B$23,$D$10),0),V187+$N188-IF($M188,IF(INT(($L188-$D$5)/7)&lt;$A$23,$B$23,$D$10),0)))</x:f>
        <x:v>0</x:v>
      </x:c>
      <x:c r="W188" s="116" t="n">
        <x:f>IF($L188&lt;$D$5,"",IF($L188=$D$5,$J$10+$N188-IF($M188,IF(INT(($L188-$D$5)/7)&lt;$A$24,$B$24,$D$10),0),W187+$N188-IF($M188,IF(INT(($L188-$D$5)/7)&lt;$A$24,$B$24,$D$10),0)))</x:f>
        <x:v>0</x:v>
      </x:c>
      <x:c r="X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Y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Z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A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B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C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D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E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F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G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H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I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J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K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L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M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N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O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P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Q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R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S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T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U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V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W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X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Y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AZ188" s="116"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c r="BA188" s="117" t="n">
        <x:f>IF(OR(INDEX('1 Budget annuel'!$A$14:$A$43,COLUMN()-COLUMN($X$42)+1)&lt;&gt;"Oui",INDEX('1 Budget annuel'!$L$14:$L$43,COLUMN()-COLUMN($X$42)+1)="",AND(INDEX('1 Budget annuel'!$B$14:$B$43,COLUMN()-COLUMN($X$42)+1)="Sortie",INDEX('1 Budget annuel'!$M$14:$M$43,COLUMN()-COLUMN($X$42)+1)="Oui"),$L188&lt;INDEX('1 Budget annuel'!$L$14:$L$43,COLUMN()-COLUMN($X$42)+1),$L188&gt;$D$5+363),0,IF(OR(AND(INDEX('1 Budget annuel'!$E$14:$E$43,COLUMN()-COLUMN($X$42)+1)="Hebdomadaire",MOD($L188-INDEX('1 Budget annuel'!$L$14:$L$43,COLUMN()-COLUMN($X$42)+1),7)=0),AND(INDEX('1 Budget annuel'!$E$14:$E$43,COLUMN()-COLUMN($X$42)+1)="Toutes les 4 semaines",MOD($L188-INDEX('1 Budget annuel'!$L$14:$L$43,COLUMN()-COLUMN($X$42)+1),28)=0),AND(INDEX('1 Budget annuel'!$E$14:$E$43,COLUMN()-COLUMN($X$42)+1)="Mensuelle",DAY($L188)=MIN(DAY(INDEX('1 Budget annuel'!$L$14:$L$43,COLUMN()-COLUMN($X$42)+1)),DAY(EOMONTH($L188,0)))),AND(INDEX('1 Budget annuel'!$E$14:$E$43,COLUMN()-COLUMN($X$42)+1)="Trimestrielle",MOD((YEAR($L188)-YEAR(INDEX('1 Budget annuel'!$L$14:$L$43,COLUMN()-COLUMN($X$42)+1)))*12+MONTH($L188)-MONTH(INDEX('1 Budget annuel'!$L$14:$L$43,COLUMN()-COLUMN($X$42)+1)),3)=0,DAY($L188)=MIN(DAY(INDEX('1 Budget annuel'!$L$14:$L$43,COLUMN()-COLUMN($X$42)+1)),DAY(EOMONTH($L188,0)))),AND(INDEX('1 Budget annuel'!$E$14:$E$43,COLUMN()-COLUMN($X$42)+1)="Semestrielle",MOD((YEAR($L188)-YEAR(INDEX('1 Budget annuel'!$L$14:$L$43,COLUMN()-COLUMN($X$42)+1)))*12+MONTH($L188)-MONTH(INDEX('1 Budget annuel'!$L$14:$L$43,COLUMN()-COLUMN($X$42)+1)),6)=0,DAY($L188)=MIN(DAY(INDEX('1 Budget annuel'!$L$14:$L$43,COLUMN()-COLUMN($X$42)+1)),DAY(EOMONTH($L188,0)))),AND(INDEX('1 Budget annuel'!$E$14:$E$43,COLUMN()-COLUMN($X$42)+1)="Annuelle",MOD((YEAR($L188)-YEAR(INDEX('1 Budget annuel'!$L$14:$L$43,COLUMN()-COLUMN($X$42)+1)))*12+MONTH($L188)-MONTH(INDEX('1 Budget annuel'!$L$14:$L$43,COLUMN()-COLUMN($X$42)+1)),12)=0,DAY($L188)=MIN(DAY(INDEX('1 Budget annuel'!$L$14:$L$43,COLUMN()-COLUMN($X$42)+1)),DAY(EOMONTH($L188,0))))),IF(INDEX('1 Budget annuel'!$B$14:$B$43,COLUMN()-COLUMN($X$42)+1)="Entrée",INDEX('1 Budget annuel'!$I$14:$I$43,COLUMN()-COLUMN($X$42)+1),-INDEX('1 Budget annuel'!$I$14:$I$43,COLUMN()-COLUMN($X$42)+1)),0))</x:f>
        <x:v>0</x:v>
      </x:c>
    </x:row>
    <x:row r="189">
      <x:c r="L189" s="114" t="n">
        <x:f>L188+1</x:f>
        <x:v>46383</x:v>
      </x:c>
      <x:c r="M189" s="115" t="b">
        <x:f>AND(L189&gt;=$D$5,L189&lt;=$D$5+363,MOD(L189-$D$5,7)=0)</x:f>
        <x:v>0</x:v>
      </x:c>
      <x:c r="N189" s="116" t="n">
        <x:f>SUM(X189:BA189)</x:f>
        <x:v>0</x:v>
      </x:c>
      <x:c r="O189" s="116" t="n">
        <x:f>IF(M189,$D$10,0)</x:f>
        <x:v>0</x:v>
      </x:c>
      <x:c r="P189" s="116" t="n">
        <x:f>N189-O189</x:f>
        <x:v>0</x:v>
      </x:c>
      <x:c r="Q189" s="116" t="n">
        <x:f>IF(L189&lt;$D$5,0,IF(L189=$D$5,P189,Q188+P189))</x:f>
        <x:v>0</x:v>
      </x:c>
      <x:c r="R189" s="116" t="n">
        <x:f>IF(L189&lt;$D$5,"",$J$10+Q189)</x:f>
        <x:v>0</x:v>
      </x:c>
      <x:c r="S189" s="116" t="n">
        <x:f>IF($L189&lt;$D$5,"",IF($L189=$D$5,$J$10+$N189-IF($M189,IF(INT(($L189-$D$5)/7)&lt;$A$20,$B$20,$D$10),0),S188+$N189-IF($M189,IF(INT(($L189-$D$5)/7)&lt;$A$20,$B$20,$D$10),0)))</x:f>
        <x:v>0</x:v>
      </x:c>
      <x:c r="T189" s="116" t="n">
        <x:f>IF($L189&lt;$D$5,"",IF($L189=$D$5,$J$10+$N189-IF($M189,IF(INT(($L189-$D$5)/7)&lt;$A$21,$B$21,$D$10),0),T188+$N189-IF($M189,IF(INT(($L189-$D$5)/7)&lt;$A$21,$B$21,$D$10),0)))</x:f>
        <x:v>0</x:v>
      </x:c>
      <x:c r="U189" s="116" t="n">
        <x:f>IF($L189&lt;$D$5,"",IF($L189=$D$5,$J$10+$N189-IF($M189,IF(INT(($L189-$D$5)/7)&lt;$A$22,$B$22,$D$10),0),U188+$N189-IF($M189,IF(INT(($L189-$D$5)/7)&lt;$A$22,$B$22,$D$10),0)))</x:f>
        <x:v>0</x:v>
      </x:c>
      <x:c r="V189" s="116" t="n">
        <x:f>IF($L189&lt;$D$5,"",IF($L189=$D$5,$J$10+$N189-IF($M189,IF(INT(($L189-$D$5)/7)&lt;$A$23,$B$23,$D$10),0),V188+$N189-IF($M189,IF(INT(($L189-$D$5)/7)&lt;$A$23,$B$23,$D$10),0)))</x:f>
        <x:v>0</x:v>
      </x:c>
      <x:c r="W189" s="116" t="n">
        <x:f>IF($L189&lt;$D$5,"",IF($L189=$D$5,$J$10+$N189-IF($M189,IF(INT(($L189-$D$5)/7)&lt;$A$24,$B$24,$D$10),0),W188+$N189-IF($M189,IF(INT(($L189-$D$5)/7)&lt;$A$24,$B$24,$D$10),0)))</x:f>
        <x:v>0</x:v>
      </x:c>
      <x:c r="X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Y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Z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A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B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C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D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E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F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G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H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I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J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K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L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M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N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O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P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Q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R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S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T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U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V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W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X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Y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AZ189" s="116"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c r="BA189" s="117" t="n">
        <x:f>IF(OR(INDEX('1 Budget annuel'!$A$14:$A$43,COLUMN()-COLUMN($X$42)+1)&lt;&gt;"Oui",INDEX('1 Budget annuel'!$L$14:$L$43,COLUMN()-COLUMN($X$42)+1)="",AND(INDEX('1 Budget annuel'!$B$14:$B$43,COLUMN()-COLUMN($X$42)+1)="Sortie",INDEX('1 Budget annuel'!$M$14:$M$43,COLUMN()-COLUMN($X$42)+1)="Oui"),$L189&lt;INDEX('1 Budget annuel'!$L$14:$L$43,COLUMN()-COLUMN($X$42)+1),$L189&gt;$D$5+363),0,IF(OR(AND(INDEX('1 Budget annuel'!$E$14:$E$43,COLUMN()-COLUMN($X$42)+1)="Hebdomadaire",MOD($L189-INDEX('1 Budget annuel'!$L$14:$L$43,COLUMN()-COLUMN($X$42)+1),7)=0),AND(INDEX('1 Budget annuel'!$E$14:$E$43,COLUMN()-COLUMN($X$42)+1)="Toutes les 4 semaines",MOD($L189-INDEX('1 Budget annuel'!$L$14:$L$43,COLUMN()-COLUMN($X$42)+1),28)=0),AND(INDEX('1 Budget annuel'!$E$14:$E$43,COLUMN()-COLUMN($X$42)+1)="Mensuelle",DAY($L189)=MIN(DAY(INDEX('1 Budget annuel'!$L$14:$L$43,COLUMN()-COLUMN($X$42)+1)),DAY(EOMONTH($L189,0)))),AND(INDEX('1 Budget annuel'!$E$14:$E$43,COLUMN()-COLUMN($X$42)+1)="Trimestrielle",MOD((YEAR($L189)-YEAR(INDEX('1 Budget annuel'!$L$14:$L$43,COLUMN()-COLUMN($X$42)+1)))*12+MONTH($L189)-MONTH(INDEX('1 Budget annuel'!$L$14:$L$43,COLUMN()-COLUMN($X$42)+1)),3)=0,DAY($L189)=MIN(DAY(INDEX('1 Budget annuel'!$L$14:$L$43,COLUMN()-COLUMN($X$42)+1)),DAY(EOMONTH($L189,0)))),AND(INDEX('1 Budget annuel'!$E$14:$E$43,COLUMN()-COLUMN($X$42)+1)="Semestrielle",MOD((YEAR($L189)-YEAR(INDEX('1 Budget annuel'!$L$14:$L$43,COLUMN()-COLUMN($X$42)+1)))*12+MONTH($L189)-MONTH(INDEX('1 Budget annuel'!$L$14:$L$43,COLUMN()-COLUMN($X$42)+1)),6)=0,DAY($L189)=MIN(DAY(INDEX('1 Budget annuel'!$L$14:$L$43,COLUMN()-COLUMN($X$42)+1)),DAY(EOMONTH($L189,0)))),AND(INDEX('1 Budget annuel'!$E$14:$E$43,COLUMN()-COLUMN($X$42)+1)="Annuelle",MOD((YEAR($L189)-YEAR(INDEX('1 Budget annuel'!$L$14:$L$43,COLUMN()-COLUMN($X$42)+1)))*12+MONTH($L189)-MONTH(INDEX('1 Budget annuel'!$L$14:$L$43,COLUMN()-COLUMN($X$42)+1)),12)=0,DAY($L189)=MIN(DAY(INDEX('1 Budget annuel'!$L$14:$L$43,COLUMN()-COLUMN($X$42)+1)),DAY(EOMONTH($L189,0))))),IF(INDEX('1 Budget annuel'!$B$14:$B$43,COLUMN()-COLUMN($X$42)+1)="Entrée",INDEX('1 Budget annuel'!$I$14:$I$43,COLUMN()-COLUMN($X$42)+1),-INDEX('1 Budget annuel'!$I$14:$I$43,COLUMN()-COLUMN($X$42)+1)),0))</x:f>
        <x:v>0</x:v>
      </x:c>
    </x:row>
    <x:row r="190">
      <x:c r="L190" s="114" t="n">
        <x:f>L189+1</x:f>
        <x:v>46384</x:v>
      </x:c>
      <x:c r="M190" s="115" t="b">
        <x:f>AND(L190&gt;=$D$5,L190&lt;=$D$5+363,MOD(L190-$D$5,7)=0)</x:f>
        <x:v>0</x:v>
      </x:c>
      <x:c r="N190" s="116" t="n">
        <x:f>SUM(X190:BA190)</x:f>
        <x:v>0</x:v>
      </x:c>
      <x:c r="O190" s="116" t="n">
        <x:f>IF(M190,$D$10,0)</x:f>
        <x:v>0</x:v>
      </x:c>
      <x:c r="P190" s="116" t="n">
        <x:f>N190-O190</x:f>
        <x:v>0</x:v>
      </x:c>
      <x:c r="Q190" s="116" t="n">
        <x:f>IF(L190&lt;$D$5,0,IF(L190=$D$5,P190,Q189+P190))</x:f>
        <x:v>0</x:v>
      </x:c>
      <x:c r="R190" s="116" t="n">
        <x:f>IF(L190&lt;$D$5,"",$J$10+Q190)</x:f>
        <x:v>0</x:v>
      </x:c>
      <x:c r="S190" s="116" t="n">
        <x:f>IF($L190&lt;$D$5,"",IF($L190=$D$5,$J$10+$N190-IF($M190,IF(INT(($L190-$D$5)/7)&lt;$A$20,$B$20,$D$10),0),S189+$N190-IF($M190,IF(INT(($L190-$D$5)/7)&lt;$A$20,$B$20,$D$10),0)))</x:f>
        <x:v>0</x:v>
      </x:c>
      <x:c r="T190" s="116" t="n">
        <x:f>IF($L190&lt;$D$5,"",IF($L190=$D$5,$J$10+$N190-IF($M190,IF(INT(($L190-$D$5)/7)&lt;$A$21,$B$21,$D$10),0),T189+$N190-IF($M190,IF(INT(($L190-$D$5)/7)&lt;$A$21,$B$21,$D$10),0)))</x:f>
        <x:v>0</x:v>
      </x:c>
      <x:c r="U190" s="116" t="n">
        <x:f>IF($L190&lt;$D$5,"",IF($L190=$D$5,$J$10+$N190-IF($M190,IF(INT(($L190-$D$5)/7)&lt;$A$22,$B$22,$D$10),0),U189+$N190-IF($M190,IF(INT(($L190-$D$5)/7)&lt;$A$22,$B$22,$D$10),0)))</x:f>
        <x:v>0</x:v>
      </x:c>
      <x:c r="V190" s="116" t="n">
        <x:f>IF($L190&lt;$D$5,"",IF($L190=$D$5,$J$10+$N190-IF($M190,IF(INT(($L190-$D$5)/7)&lt;$A$23,$B$23,$D$10),0),V189+$N190-IF($M190,IF(INT(($L190-$D$5)/7)&lt;$A$23,$B$23,$D$10),0)))</x:f>
        <x:v>0</x:v>
      </x:c>
      <x:c r="W190" s="116" t="n">
        <x:f>IF($L190&lt;$D$5,"",IF($L190=$D$5,$J$10+$N190-IF($M190,IF(INT(($L190-$D$5)/7)&lt;$A$24,$B$24,$D$10),0),W189+$N190-IF($M190,IF(INT(($L190-$D$5)/7)&lt;$A$24,$B$24,$D$10),0)))</x:f>
        <x:v>0</x:v>
      </x:c>
      <x:c r="X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Y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Z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A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B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C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D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E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F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G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H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I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J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K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L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M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N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O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P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Q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R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S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T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U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V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W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X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Y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AZ190" s="116"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c r="BA190" s="117" t="n">
        <x:f>IF(OR(INDEX('1 Budget annuel'!$A$14:$A$43,COLUMN()-COLUMN($X$42)+1)&lt;&gt;"Oui",INDEX('1 Budget annuel'!$L$14:$L$43,COLUMN()-COLUMN($X$42)+1)="",AND(INDEX('1 Budget annuel'!$B$14:$B$43,COLUMN()-COLUMN($X$42)+1)="Sortie",INDEX('1 Budget annuel'!$M$14:$M$43,COLUMN()-COLUMN($X$42)+1)="Oui"),$L190&lt;INDEX('1 Budget annuel'!$L$14:$L$43,COLUMN()-COLUMN($X$42)+1),$L190&gt;$D$5+363),0,IF(OR(AND(INDEX('1 Budget annuel'!$E$14:$E$43,COLUMN()-COLUMN($X$42)+1)="Hebdomadaire",MOD($L190-INDEX('1 Budget annuel'!$L$14:$L$43,COLUMN()-COLUMN($X$42)+1),7)=0),AND(INDEX('1 Budget annuel'!$E$14:$E$43,COLUMN()-COLUMN($X$42)+1)="Toutes les 4 semaines",MOD($L190-INDEX('1 Budget annuel'!$L$14:$L$43,COLUMN()-COLUMN($X$42)+1),28)=0),AND(INDEX('1 Budget annuel'!$E$14:$E$43,COLUMN()-COLUMN($X$42)+1)="Mensuelle",DAY($L190)=MIN(DAY(INDEX('1 Budget annuel'!$L$14:$L$43,COLUMN()-COLUMN($X$42)+1)),DAY(EOMONTH($L190,0)))),AND(INDEX('1 Budget annuel'!$E$14:$E$43,COLUMN()-COLUMN($X$42)+1)="Trimestrielle",MOD((YEAR($L190)-YEAR(INDEX('1 Budget annuel'!$L$14:$L$43,COLUMN()-COLUMN($X$42)+1)))*12+MONTH($L190)-MONTH(INDEX('1 Budget annuel'!$L$14:$L$43,COLUMN()-COLUMN($X$42)+1)),3)=0,DAY($L190)=MIN(DAY(INDEX('1 Budget annuel'!$L$14:$L$43,COLUMN()-COLUMN($X$42)+1)),DAY(EOMONTH($L190,0)))),AND(INDEX('1 Budget annuel'!$E$14:$E$43,COLUMN()-COLUMN($X$42)+1)="Semestrielle",MOD((YEAR($L190)-YEAR(INDEX('1 Budget annuel'!$L$14:$L$43,COLUMN()-COLUMN($X$42)+1)))*12+MONTH($L190)-MONTH(INDEX('1 Budget annuel'!$L$14:$L$43,COLUMN()-COLUMN($X$42)+1)),6)=0,DAY($L190)=MIN(DAY(INDEX('1 Budget annuel'!$L$14:$L$43,COLUMN()-COLUMN($X$42)+1)),DAY(EOMONTH($L190,0)))),AND(INDEX('1 Budget annuel'!$E$14:$E$43,COLUMN()-COLUMN($X$42)+1)="Annuelle",MOD((YEAR($L190)-YEAR(INDEX('1 Budget annuel'!$L$14:$L$43,COLUMN()-COLUMN($X$42)+1)))*12+MONTH($L190)-MONTH(INDEX('1 Budget annuel'!$L$14:$L$43,COLUMN()-COLUMN($X$42)+1)),12)=0,DAY($L190)=MIN(DAY(INDEX('1 Budget annuel'!$L$14:$L$43,COLUMN()-COLUMN($X$42)+1)),DAY(EOMONTH($L190,0))))),IF(INDEX('1 Budget annuel'!$B$14:$B$43,COLUMN()-COLUMN($X$42)+1)="Entrée",INDEX('1 Budget annuel'!$I$14:$I$43,COLUMN()-COLUMN($X$42)+1),-INDEX('1 Budget annuel'!$I$14:$I$43,COLUMN()-COLUMN($X$42)+1)),0))</x:f>
        <x:v>0</x:v>
      </x:c>
    </x:row>
    <x:row r="191">
      <x:c r="L191" s="114" t="n">
        <x:f>L190+1</x:f>
        <x:v>46385</x:v>
      </x:c>
      <x:c r="M191" s="115" t="b">
        <x:f>AND(L191&gt;=$D$5,L191&lt;=$D$5+363,MOD(L191-$D$5,7)=0)</x:f>
        <x:v>0</x:v>
      </x:c>
      <x:c r="N191" s="116" t="n">
        <x:f>SUM(X191:BA191)</x:f>
        <x:v>0</x:v>
      </x:c>
      <x:c r="O191" s="116" t="n">
        <x:f>IF(M191,$D$10,0)</x:f>
        <x:v>0</x:v>
      </x:c>
      <x:c r="P191" s="116" t="n">
        <x:f>N191-O191</x:f>
        <x:v>0</x:v>
      </x:c>
      <x:c r="Q191" s="116" t="n">
        <x:f>IF(L191&lt;$D$5,0,IF(L191=$D$5,P191,Q190+P191))</x:f>
        <x:v>0</x:v>
      </x:c>
      <x:c r="R191" s="116" t="n">
        <x:f>IF(L191&lt;$D$5,"",$J$10+Q191)</x:f>
        <x:v>0</x:v>
      </x:c>
      <x:c r="S191" s="116" t="n">
        <x:f>IF($L191&lt;$D$5,"",IF($L191=$D$5,$J$10+$N191-IF($M191,IF(INT(($L191-$D$5)/7)&lt;$A$20,$B$20,$D$10),0),S190+$N191-IF($M191,IF(INT(($L191-$D$5)/7)&lt;$A$20,$B$20,$D$10),0)))</x:f>
        <x:v>0</x:v>
      </x:c>
      <x:c r="T191" s="116" t="n">
        <x:f>IF($L191&lt;$D$5,"",IF($L191=$D$5,$J$10+$N191-IF($M191,IF(INT(($L191-$D$5)/7)&lt;$A$21,$B$21,$D$10),0),T190+$N191-IF($M191,IF(INT(($L191-$D$5)/7)&lt;$A$21,$B$21,$D$10),0)))</x:f>
        <x:v>0</x:v>
      </x:c>
      <x:c r="U191" s="116" t="n">
        <x:f>IF($L191&lt;$D$5,"",IF($L191=$D$5,$J$10+$N191-IF($M191,IF(INT(($L191-$D$5)/7)&lt;$A$22,$B$22,$D$10),0),U190+$N191-IF($M191,IF(INT(($L191-$D$5)/7)&lt;$A$22,$B$22,$D$10),0)))</x:f>
        <x:v>0</x:v>
      </x:c>
      <x:c r="V191" s="116" t="n">
        <x:f>IF($L191&lt;$D$5,"",IF($L191=$D$5,$J$10+$N191-IF($M191,IF(INT(($L191-$D$5)/7)&lt;$A$23,$B$23,$D$10),0),V190+$N191-IF($M191,IF(INT(($L191-$D$5)/7)&lt;$A$23,$B$23,$D$10),0)))</x:f>
        <x:v>0</x:v>
      </x:c>
      <x:c r="W191" s="116" t="n">
        <x:f>IF($L191&lt;$D$5,"",IF($L191=$D$5,$J$10+$N191-IF($M191,IF(INT(($L191-$D$5)/7)&lt;$A$24,$B$24,$D$10),0),W190+$N191-IF($M191,IF(INT(($L191-$D$5)/7)&lt;$A$24,$B$24,$D$10),0)))</x:f>
        <x:v>0</x:v>
      </x:c>
      <x:c r="X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Y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Z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A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B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C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D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E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F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G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H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I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J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K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L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M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N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O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P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Q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R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S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T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U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V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W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X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Y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AZ191" s="116"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c r="BA191" s="117" t="n">
        <x:f>IF(OR(INDEX('1 Budget annuel'!$A$14:$A$43,COLUMN()-COLUMN($X$42)+1)&lt;&gt;"Oui",INDEX('1 Budget annuel'!$L$14:$L$43,COLUMN()-COLUMN($X$42)+1)="",AND(INDEX('1 Budget annuel'!$B$14:$B$43,COLUMN()-COLUMN($X$42)+1)="Sortie",INDEX('1 Budget annuel'!$M$14:$M$43,COLUMN()-COLUMN($X$42)+1)="Oui"),$L191&lt;INDEX('1 Budget annuel'!$L$14:$L$43,COLUMN()-COLUMN($X$42)+1),$L191&gt;$D$5+363),0,IF(OR(AND(INDEX('1 Budget annuel'!$E$14:$E$43,COLUMN()-COLUMN($X$42)+1)="Hebdomadaire",MOD($L191-INDEX('1 Budget annuel'!$L$14:$L$43,COLUMN()-COLUMN($X$42)+1),7)=0),AND(INDEX('1 Budget annuel'!$E$14:$E$43,COLUMN()-COLUMN($X$42)+1)="Toutes les 4 semaines",MOD($L191-INDEX('1 Budget annuel'!$L$14:$L$43,COLUMN()-COLUMN($X$42)+1),28)=0),AND(INDEX('1 Budget annuel'!$E$14:$E$43,COLUMN()-COLUMN($X$42)+1)="Mensuelle",DAY($L191)=MIN(DAY(INDEX('1 Budget annuel'!$L$14:$L$43,COLUMN()-COLUMN($X$42)+1)),DAY(EOMONTH($L191,0)))),AND(INDEX('1 Budget annuel'!$E$14:$E$43,COLUMN()-COLUMN($X$42)+1)="Trimestrielle",MOD((YEAR($L191)-YEAR(INDEX('1 Budget annuel'!$L$14:$L$43,COLUMN()-COLUMN($X$42)+1)))*12+MONTH($L191)-MONTH(INDEX('1 Budget annuel'!$L$14:$L$43,COLUMN()-COLUMN($X$42)+1)),3)=0,DAY($L191)=MIN(DAY(INDEX('1 Budget annuel'!$L$14:$L$43,COLUMN()-COLUMN($X$42)+1)),DAY(EOMONTH($L191,0)))),AND(INDEX('1 Budget annuel'!$E$14:$E$43,COLUMN()-COLUMN($X$42)+1)="Semestrielle",MOD((YEAR($L191)-YEAR(INDEX('1 Budget annuel'!$L$14:$L$43,COLUMN()-COLUMN($X$42)+1)))*12+MONTH($L191)-MONTH(INDEX('1 Budget annuel'!$L$14:$L$43,COLUMN()-COLUMN($X$42)+1)),6)=0,DAY($L191)=MIN(DAY(INDEX('1 Budget annuel'!$L$14:$L$43,COLUMN()-COLUMN($X$42)+1)),DAY(EOMONTH($L191,0)))),AND(INDEX('1 Budget annuel'!$E$14:$E$43,COLUMN()-COLUMN($X$42)+1)="Annuelle",MOD((YEAR($L191)-YEAR(INDEX('1 Budget annuel'!$L$14:$L$43,COLUMN()-COLUMN($X$42)+1)))*12+MONTH($L191)-MONTH(INDEX('1 Budget annuel'!$L$14:$L$43,COLUMN()-COLUMN($X$42)+1)),12)=0,DAY($L191)=MIN(DAY(INDEX('1 Budget annuel'!$L$14:$L$43,COLUMN()-COLUMN($X$42)+1)),DAY(EOMONTH($L191,0))))),IF(INDEX('1 Budget annuel'!$B$14:$B$43,COLUMN()-COLUMN($X$42)+1)="Entrée",INDEX('1 Budget annuel'!$I$14:$I$43,COLUMN()-COLUMN($X$42)+1),-INDEX('1 Budget annuel'!$I$14:$I$43,COLUMN()-COLUMN($X$42)+1)),0))</x:f>
        <x:v>0</x:v>
      </x:c>
    </x:row>
    <x:row r="192">
      <x:c r="L192" s="114" t="n">
        <x:f>L191+1</x:f>
        <x:v>46386</x:v>
      </x:c>
      <x:c r="M192" s="115" t="b">
        <x:f>AND(L192&gt;=$D$5,L192&lt;=$D$5+363,MOD(L192-$D$5,7)=0)</x:f>
        <x:v>0</x:v>
      </x:c>
      <x:c r="N192" s="116" t="n">
        <x:f>SUM(X192:BA192)</x:f>
        <x:v>0</x:v>
      </x:c>
      <x:c r="O192" s="116" t="n">
        <x:f>IF(M192,$D$10,0)</x:f>
        <x:v>0</x:v>
      </x:c>
      <x:c r="P192" s="116" t="n">
        <x:f>N192-O192</x:f>
        <x:v>0</x:v>
      </x:c>
      <x:c r="Q192" s="116" t="n">
        <x:f>IF(L192&lt;$D$5,0,IF(L192=$D$5,P192,Q191+P192))</x:f>
        <x:v>0</x:v>
      </x:c>
      <x:c r="R192" s="116" t="n">
        <x:f>IF(L192&lt;$D$5,"",$J$10+Q192)</x:f>
        <x:v>0</x:v>
      </x:c>
      <x:c r="S192" s="116" t="n">
        <x:f>IF($L192&lt;$D$5,"",IF($L192=$D$5,$J$10+$N192-IF($M192,IF(INT(($L192-$D$5)/7)&lt;$A$20,$B$20,$D$10),0),S191+$N192-IF($M192,IF(INT(($L192-$D$5)/7)&lt;$A$20,$B$20,$D$10),0)))</x:f>
        <x:v>0</x:v>
      </x:c>
      <x:c r="T192" s="116" t="n">
        <x:f>IF($L192&lt;$D$5,"",IF($L192=$D$5,$J$10+$N192-IF($M192,IF(INT(($L192-$D$5)/7)&lt;$A$21,$B$21,$D$10),0),T191+$N192-IF($M192,IF(INT(($L192-$D$5)/7)&lt;$A$21,$B$21,$D$10),0)))</x:f>
        <x:v>0</x:v>
      </x:c>
      <x:c r="U192" s="116" t="n">
        <x:f>IF($L192&lt;$D$5,"",IF($L192=$D$5,$J$10+$N192-IF($M192,IF(INT(($L192-$D$5)/7)&lt;$A$22,$B$22,$D$10),0),U191+$N192-IF($M192,IF(INT(($L192-$D$5)/7)&lt;$A$22,$B$22,$D$10),0)))</x:f>
        <x:v>0</x:v>
      </x:c>
      <x:c r="V192" s="116" t="n">
        <x:f>IF($L192&lt;$D$5,"",IF($L192=$D$5,$J$10+$N192-IF($M192,IF(INT(($L192-$D$5)/7)&lt;$A$23,$B$23,$D$10),0),V191+$N192-IF($M192,IF(INT(($L192-$D$5)/7)&lt;$A$23,$B$23,$D$10),0)))</x:f>
        <x:v>0</x:v>
      </x:c>
      <x:c r="W192" s="116" t="n">
        <x:f>IF($L192&lt;$D$5,"",IF($L192=$D$5,$J$10+$N192-IF($M192,IF(INT(($L192-$D$5)/7)&lt;$A$24,$B$24,$D$10),0),W191+$N192-IF($M192,IF(INT(($L192-$D$5)/7)&lt;$A$24,$B$24,$D$10),0)))</x:f>
        <x:v>0</x:v>
      </x:c>
      <x:c r="X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Y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Z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A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B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C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D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E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F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G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H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I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J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K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L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M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N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O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P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Q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R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S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T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U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V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W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X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Y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AZ192" s="116"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c r="BA192" s="117" t="n">
        <x:f>IF(OR(INDEX('1 Budget annuel'!$A$14:$A$43,COLUMN()-COLUMN($X$42)+1)&lt;&gt;"Oui",INDEX('1 Budget annuel'!$L$14:$L$43,COLUMN()-COLUMN($X$42)+1)="",AND(INDEX('1 Budget annuel'!$B$14:$B$43,COLUMN()-COLUMN($X$42)+1)="Sortie",INDEX('1 Budget annuel'!$M$14:$M$43,COLUMN()-COLUMN($X$42)+1)="Oui"),$L192&lt;INDEX('1 Budget annuel'!$L$14:$L$43,COLUMN()-COLUMN($X$42)+1),$L192&gt;$D$5+363),0,IF(OR(AND(INDEX('1 Budget annuel'!$E$14:$E$43,COLUMN()-COLUMN($X$42)+1)="Hebdomadaire",MOD($L192-INDEX('1 Budget annuel'!$L$14:$L$43,COLUMN()-COLUMN($X$42)+1),7)=0),AND(INDEX('1 Budget annuel'!$E$14:$E$43,COLUMN()-COLUMN($X$42)+1)="Toutes les 4 semaines",MOD($L192-INDEX('1 Budget annuel'!$L$14:$L$43,COLUMN()-COLUMN($X$42)+1),28)=0),AND(INDEX('1 Budget annuel'!$E$14:$E$43,COLUMN()-COLUMN($X$42)+1)="Mensuelle",DAY($L192)=MIN(DAY(INDEX('1 Budget annuel'!$L$14:$L$43,COLUMN()-COLUMN($X$42)+1)),DAY(EOMONTH($L192,0)))),AND(INDEX('1 Budget annuel'!$E$14:$E$43,COLUMN()-COLUMN($X$42)+1)="Trimestrielle",MOD((YEAR($L192)-YEAR(INDEX('1 Budget annuel'!$L$14:$L$43,COLUMN()-COLUMN($X$42)+1)))*12+MONTH($L192)-MONTH(INDEX('1 Budget annuel'!$L$14:$L$43,COLUMN()-COLUMN($X$42)+1)),3)=0,DAY($L192)=MIN(DAY(INDEX('1 Budget annuel'!$L$14:$L$43,COLUMN()-COLUMN($X$42)+1)),DAY(EOMONTH($L192,0)))),AND(INDEX('1 Budget annuel'!$E$14:$E$43,COLUMN()-COLUMN($X$42)+1)="Semestrielle",MOD((YEAR($L192)-YEAR(INDEX('1 Budget annuel'!$L$14:$L$43,COLUMN()-COLUMN($X$42)+1)))*12+MONTH($L192)-MONTH(INDEX('1 Budget annuel'!$L$14:$L$43,COLUMN()-COLUMN($X$42)+1)),6)=0,DAY($L192)=MIN(DAY(INDEX('1 Budget annuel'!$L$14:$L$43,COLUMN()-COLUMN($X$42)+1)),DAY(EOMONTH($L192,0)))),AND(INDEX('1 Budget annuel'!$E$14:$E$43,COLUMN()-COLUMN($X$42)+1)="Annuelle",MOD((YEAR($L192)-YEAR(INDEX('1 Budget annuel'!$L$14:$L$43,COLUMN()-COLUMN($X$42)+1)))*12+MONTH($L192)-MONTH(INDEX('1 Budget annuel'!$L$14:$L$43,COLUMN()-COLUMN($X$42)+1)),12)=0,DAY($L192)=MIN(DAY(INDEX('1 Budget annuel'!$L$14:$L$43,COLUMN()-COLUMN($X$42)+1)),DAY(EOMONTH($L192,0))))),IF(INDEX('1 Budget annuel'!$B$14:$B$43,COLUMN()-COLUMN($X$42)+1)="Entrée",INDEX('1 Budget annuel'!$I$14:$I$43,COLUMN()-COLUMN($X$42)+1),-INDEX('1 Budget annuel'!$I$14:$I$43,COLUMN()-COLUMN($X$42)+1)),0))</x:f>
        <x:v>0</x:v>
      </x:c>
    </x:row>
    <x:row r="193">
      <x:c r="L193" s="114" t="n">
        <x:f>L192+1</x:f>
        <x:v>46387</x:v>
      </x:c>
      <x:c r="M193" s="115" t="b">
        <x:f>AND(L193&gt;=$D$5,L193&lt;=$D$5+363,MOD(L193-$D$5,7)=0)</x:f>
        <x:v>0</x:v>
      </x:c>
      <x:c r="N193" s="116" t="n">
        <x:f>SUM(X193:BA193)</x:f>
        <x:v>0</x:v>
      </x:c>
      <x:c r="O193" s="116" t="n">
        <x:f>IF(M193,$D$10,0)</x:f>
        <x:v>0</x:v>
      </x:c>
      <x:c r="P193" s="116" t="n">
        <x:f>N193-O193</x:f>
        <x:v>0</x:v>
      </x:c>
      <x:c r="Q193" s="116" t="n">
        <x:f>IF(L193&lt;$D$5,0,IF(L193=$D$5,P193,Q192+P193))</x:f>
        <x:v>0</x:v>
      </x:c>
      <x:c r="R193" s="116" t="n">
        <x:f>IF(L193&lt;$D$5,"",$J$10+Q193)</x:f>
        <x:v>0</x:v>
      </x:c>
      <x:c r="S193" s="116" t="n">
        <x:f>IF($L193&lt;$D$5,"",IF($L193=$D$5,$J$10+$N193-IF($M193,IF(INT(($L193-$D$5)/7)&lt;$A$20,$B$20,$D$10),0),S192+$N193-IF($M193,IF(INT(($L193-$D$5)/7)&lt;$A$20,$B$20,$D$10),0)))</x:f>
        <x:v>0</x:v>
      </x:c>
      <x:c r="T193" s="116" t="n">
        <x:f>IF($L193&lt;$D$5,"",IF($L193=$D$5,$J$10+$N193-IF($M193,IF(INT(($L193-$D$5)/7)&lt;$A$21,$B$21,$D$10),0),T192+$N193-IF($M193,IF(INT(($L193-$D$5)/7)&lt;$A$21,$B$21,$D$10),0)))</x:f>
        <x:v>0</x:v>
      </x:c>
      <x:c r="U193" s="116" t="n">
        <x:f>IF($L193&lt;$D$5,"",IF($L193=$D$5,$J$10+$N193-IF($M193,IF(INT(($L193-$D$5)/7)&lt;$A$22,$B$22,$D$10),0),U192+$N193-IF($M193,IF(INT(($L193-$D$5)/7)&lt;$A$22,$B$22,$D$10),0)))</x:f>
        <x:v>0</x:v>
      </x:c>
      <x:c r="V193" s="116" t="n">
        <x:f>IF($L193&lt;$D$5,"",IF($L193=$D$5,$J$10+$N193-IF($M193,IF(INT(($L193-$D$5)/7)&lt;$A$23,$B$23,$D$10),0),V192+$N193-IF($M193,IF(INT(($L193-$D$5)/7)&lt;$A$23,$B$23,$D$10),0)))</x:f>
        <x:v>0</x:v>
      </x:c>
      <x:c r="W193" s="116" t="n">
        <x:f>IF($L193&lt;$D$5,"",IF($L193=$D$5,$J$10+$N193-IF($M193,IF(INT(($L193-$D$5)/7)&lt;$A$24,$B$24,$D$10),0),W192+$N193-IF($M193,IF(INT(($L193-$D$5)/7)&lt;$A$24,$B$24,$D$10),0)))</x:f>
        <x:v>0</x:v>
      </x:c>
      <x:c r="X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Y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Z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A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B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C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D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E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F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G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H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I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J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K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L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M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N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O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P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Q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R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S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T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U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V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W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X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Y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AZ193" s="116"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c r="BA193" s="117" t="n">
        <x:f>IF(OR(INDEX('1 Budget annuel'!$A$14:$A$43,COLUMN()-COLUMN($X$42)+1)&lt;&gt;"Oui",INDEX('1 Budget annuel'!$L$14:$L$43,COLUMN()-COLUMN($X$42)+1)="",AND(INDEX('1 Budget annuel'!$B$14:$B$43,COLUMN()-COLUMN($X$42)+1)="Sortie",INDEX('1 Budget annuel'!$M$14:$M$43,COLUMN()-COLUMN($X$42)+1)="Oui"),$L193&lt;INDEX('1 Budget annuel'!$L$14:$L$43,COLUMN()-COLUMN($X$42)+1),$L193&gt;$D$5+363),0,IF(OR(AND(INDEX('1 Budget annuel'!$E$14:$E$43,COLUMN()-COLUMN($X$42)+1)="Hebdomadaire",MOD($L193-INDEX('1 Budget annuel'!$L$14:$L$43,COLUMN()-COLUMN($X$42)+1),7)=0),AND(INDEX('1 Budget annuel'!$E$14:$E$43,COLUMN()-COLUMN($X$42)+1)="Toutes les 4 semaines",MOD($L193-INDEX('1 Budget annuel'!$L$14:$L$43,COLUMN()-COLUMN($X$42)+1),28)=0),AND(INDEX('1 Budget annuel'!$E$14:$E$43,COLUMN()-COLUMN($X$42)+1)="Mensuelle",DAY($L193)=MIN(DAY(INDEX('1 Budget annuel'!$L$14:$L$43,COLUMN()-COLUMN($X$42)+1)),DAY(EOMONTH($L193,0)))),AND(INDEX('1 Budget annuel'!$E$14:$E$43,COLUMN()-COLUMN($X$42)+1)="Trimestrielle",MOD((YEAR($L193)-YEAR(INDEX('1 Budget annuel'!$L$14:$L$43,COLUMN()-COLUMN($X$42)+1)))*12+MONTH($L193)-MONTH(INDEX('1 Budget annuel'!$L$14:$L$43,COLUMN()-COLUMN($X$42)+1)),3)=0,DAY($L193)=MIN(DAY(INDEX('1 Budget annuel'!$L$14:$L$43,COLUMN()-COLUMN($X$42)+1)),DAY(EOMONTH($L193,0)))),AND(INDEX('1 Budget annuel'!$E$14:$E$43,COLUMN()-COLUMN($X$42)+1)="Semestrielle",MOD((YEAR($L193)-YEAR(INDEX('1 Budget annuel'!$L$14:$L$43,COLUMN()-COLUMN($X$42)+1)))*12+MONTH($L193)-MONTH(INDEX('1 Budget annuel'!$L$14:$L$43,COLUMN()-COLUMN($X$42)+1)),6)=0,DAY($L193)=MIN(DAY(INDEX('1 Budget annuel'!$L$14:$L$43,COLUMN()-COLUMN($X$42)+1)),DAY(EOMONTH($L193,0)))),AND(INDEX('1 Budget annuel'!$E$14:$E$43,COLUMN()-COLUMN($X$42)+1)="Annuelle",MOD((YEAR($L193)-YEAR(INDEX('1 Budget annuel'!$L$14:$L$43,COLUMN()-COLUMN($X$42)+1)))*12+MONTH($L193)-MONTH(INDEX('1 Budget annuel'!$L$14:$L$43,COLUMN()-COLUMN($X$42)+1)),12)=0,DAY($L193)=MIN(DAY(INDEX('1 Budget annuel'!$L$14:$L$43,COLUMN()-COLUMN($X$42)+1)),DAY(EOMONTH($L193,0))))),IF(INDEX('1 Budget annuel'!$B$14:$B$43,COLUMN()-COLUMN($X$42)+1)="Entrée",INDEX('1 Budget annuel'!$I$14:$I$43,COLUMN()-COLUMN($X$42)+1),-INDEX('1 Budget annuel'!$I$14:$I$43,COLUMN()-COLUMN($X$42)+1)),0))</x:f>
        <x:v>0</x:v>
      </x:c>
    </x:row>
    <x:row r="194">
      <x:c r="L194" s="114" t="n">
        <x:f>L193+1</x:f>
        <x:v>46388</x:v>
      </x:c>
      <x:c r="M194" s="115" t="b">
        <x:f>AND(L194&gt;=$D$5,L194&lt;=$D$5+363,MOD(L194-$D$5,7)=0)</x:f>
        <x:v>0</x:v>
      </x:c>
      <x:c r="N194" s="116" t="n">
        <x:f>SUM(X194:BA194)</x:f>
        <x:v>0</x:v>
      </x:c>
      <x:c r="O194" s="116" t="n">
        <x:f>IF(M194,$D$10,0)</x:f>
        <x:v>0</x:v>
      </x:c>
      <x:c r="P194" s="116" t="n">
        <x:f>N194-O194</x:f>
        <x:v>0</x:v>
      </x:c>
      <x:c r="Q194" s="116" t="n">
        <x:f>IF(L194&lt;$D$5,0,IF(L194=$D$5,P194,Q193+P194))</x:f>
        <x:v>0</x:v>
      </x:c>
      <x:c r="R194" s="116" t="n">
        <x:f>IF(L194&lt;$D$5,"",$J$10+Q194)</x:f>
        <x:v>0</x:v>
      </x:c>
      <x:c r="S194" s="116" t="n">
        <x:f>IF($L194&lt;$D$5,"",IF($L194=$D$5,$J$10+$N194-IF($M194,IF(INT(($L194-$D$5)/7)&lt;$A$20,$B$20,$D$10),0),S193+$N194-IF($M194,IF(INT(($L194-$D$5)/7)&lt;$A$20,$B$20,$D$10),0)))</x:f>
        <x:v>0</x:v>
      </x:c>
      <x:c r="T194" s="116" t="n">
        <x:f>IF($L194&lt;$D$5,"",IF($L194=$D$5,$J$10+$N194-IF($M194,IF(INT(($L194-$D$5)/7)&lt;$A$21,$B$21,$D$10),0),T193+$N194-IF($M194,IF(INT(($L194-$D$5)/7)&lt;$A$21,$B$21,$D$10),0)))</x:f>
        <x:v>0</x:v>
      </x:c>
      <x:c r="U194" s="116" t="n">
        <x:f>IF($L194&lt;$D$5,"",IF($L194=$D$5,$J$10+$N194-IF($M194,IF(INT(($L194-$D$5)/7)&lt;$A$22,$B$22,$D$10),0),U193+$N194-IF($M194,IF(INT(($L194-$D$5)/7)&lt;$A$22,$B$22,$D$10),0)))</x:f>
        <x:v>0</x:v>
      </x:c>
      <x:c r="V194" s="116" t="n">
        <x:f>IF($L194&lt;$D$5,"",IF($L194=$D$5,$J$10+$N194-IF($M194,IF(INT(($L194-$D$5)/7)&lt;$A$23,$B$23,$D$10),0),V193+$N194-IF($M194,IF(INT(($L194-$D$5)/7)&lt;$A$23,$B$23,$D$10),0)))</x:f>
        <x:v>0</x:v>
      </x:c>
      <x:c r="W194" s="116" t="n">
        <x:f>IF($L194&lt;$D$5,"",IF($L194=$D$5,$J$10+$N194-IF($M194,IF(INT(($L194-$D$5)/7)&lt;$A$24,$B$24,$D$10),0),W193+$N194-IF($M194,IF(INT(($L194-$D$5)/7)&lt;$A$24,$B$24,$D$10),0)))</x:f>
        <x:v>0</x:v>
      </x:c>
      <x:c r="X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Y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Z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A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B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C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D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E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F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G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H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I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J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K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L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M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N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O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P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Q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R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S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T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U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V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W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X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Y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AZ194" s="116"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c r="BA194" s="117" t="n">
        <x:f>IF(OR(INDEX('1 Budget annuel'!$A$14:$A$43,COLUMN()-COLUMN($X$42)+1)&lt;&gt;"Oui",INDEX('1 Budget annuel'!$L$14:$L$43,COLUMN()-COLUMN($X$42)+1)="",AND(INDEX('1 Budget annuel'!$B$14:$B$43,COLUMN()-COLUMN($X$42)+1)="Sortie",INDEX('1 Budget annuel'!$M$14:$M$43,COLUMN()-COLUMN($X$42)+1)="Oui"),$L194&lt;INDEX('1 Budget annuel'!$L$14:$L$43,COLUMN()-COLUMN($X$42)+1),$L194&gt;$D$5+363),0,IF(OR(AND(INDEX('1 Budget annuel'!$E$14:$E$43,COLUMN()-COLUMN($X$42)+1)="Hebdomadaire",MOD($L194-INDEX('1 Budget annuel'!$L$14:$L$43,COLUMN()-COLUMN($X$42)+1),7)=0),AND(INDEX('1 Budget annuel'!$E$14:$E$43,COLUMN()-COLUMN($X$42)+1)="Toutes les 4 semaines",MOD($L194-INDEX('1 Budget annuel'!$L$14:$L$43,COLUMN()-COLUMN($X$42)+1),28)=0),AND(INDEX('1 Budget annuel'!$E$14:$E$43,COLUMN()-COLUMN($X$42)+1)="Mensuelle",DAY($L194)=MIN(DAY(INDEX('1 Budget annuel'!$L$14:$L$43,COLUMN()-COLUMN($X$42)+1)),DAY(EOMONTH($L194,0)))),AND(INDEX('1 Budget annuel'!$E$14:$E$43,COLUMN()-COLUMN($X$42)+1)="Trimestrielle",MOD((YEAR($L194)-YEAR(INDEX('1 Budget annuel'!$L$14:$L$43,COLUMN()-COLUMN($X$42)+1)))*12+MONTH($L194)-MONTH(INDEX('1 Budget annuel'!$L$14:$L$43,COLUMN()-COLUMN($X$42)+1)),3)=0,DAY($L194)=MIN(DAY(INDEX('1 Budget annuel'!$L$14:$L$43,COLUMN()-COLUMN($X$42)+1)),DAY(EOMONTH($L194,0)))),AND(INDEX('1 Budget annuel'!$E$14:$E$43,COLUMN()-COLUMN($X$42)+1)="Semestrielle",MOD((YEAR($L194)-YEAR(INDEX('1 Budget annuel'!$L$14:$L$43,COLUMN()-COLUMN($X$42)+1)))*12+MONTH($L194)-MONTH(INDEX('1 Budget annuel'!$L$14:$L$43,COLUMN()-COLUMN($X$42)+1)),6)=0,DAY($L194)=MIN(DAY(INDEX('1 Budget annuel'!$L$14:$L$43,COLUMN()-COLUMN($X$42)+1)),DAY(EOMONTH($L194,0)))),AND(INDEX('1 Budget annuel'!$E$14:$E$43,COLUMN()-COLUMN($X$42)+1)="Annuelle",MOD((YEAR($L194)-YEAR(INDEX('1 Budget annuel'!$L$14:$L$43,COLUMN()-COLUMN($X$42)+1)))*12+MONTH($L194)-MONTH(INDEX('1 Budget annuel'!$L$14:$L$43,COLUMN()-COLUMN($X$42)+1)),12)=0,DAY($L194)=MIN(DAY(INDEX('1 Budget annuel'!$L$14:$L$43,COLUMN()-COLUMN($X$42)+1)),DAY(EOMONTH($L194,0))))),IF(INDEX('1 Budget annuel'!$B$14:$B$43,COLUMN()-COLUMN($X$42)+1)="Entrée",INDEX('1 Budget annuel'!$I$14:$I$43,COLUMN()-COLUMN($X$42)+1),-INDEX('1 Budget annuel'!$I$14:$I$43,COLUMN()-COLUMN($X$42)+1)),0))</x:f>
        <x:v>0</x:v>
      </x:c>
    </x:row>
    <x:row r="195">
      <x:c r="L195" s="114" t="n">
        <x:f>L194+1</x:f>
        <x:v>46389</x:v>
      </x:c>
      <x:c r="M195" s="115" t="b">
        <x:f>AND(L195&gt;=$D$5,L195&lt;=$D$5+363,MOD(L195-$D$5,7)=0)</x:f>
        <x:v>1</x:v>
      </x:c>
      <x:c r="N195" s="116" t="n">
        <x:f>SUM(X195:BA195)</x:f>
        <x:v>0</x:v>
      </x:c>
      <x:c r="O195" s="116" t="n">
        <x:f>IF(M195,$D$10,0)</x:f>
        <x:v>0</x:v>
      </x:c>
      <x:c r="P195" s="116" t="n">
        <x:f>N195-O195</x:f>
        <x:v>0</x:v>
      </x:c>
      <x:c r="Q195" s="116" t="n">
        <x:f>IF(L195&lt;$D$5,0,IF(L195=$D$5,P195,Q194+P195))</x:f>
        <x:v>0</x:v>
      </x:c>
      <x:c r="R195" s="116" t="n">
        <x:f>IF(L195&lt;$D$5,"",$J$10+Q195)</x:f>
        <x:v>0</x:v>
      </x:c>
      <x:c r="S195" s="116" t="n">
        <x:f>IF($L195&lt;$D$5,"",IF($L195=$D$5,$J$10+$N195-IF($M195,IF(INT(($L195-$D$5)/7)&lt;$A$20,$B$20,$D$10),0),S194+$N195-IF($M195,IF(INT(($L195-$D$5)/7)&lt;$A$20,$B$20,$D$10),0)))</x:f>
        <x:v>0</x:v>
      </x:c>
      <x:c r="T195" s="116" t="n">
        <x:f>IF($L195&lt;$D$5,"",IF($L195=$D$5,$J$10+$N195-IF($M195,IF(INT(($L195-$D$5)/7)&lt;$A$21,$B$21,$D$10),0),T194+$N195-IF($M195,IF(INT(($L195-$D$5)/7)&lt;$A$21,$B$21,$D$10),0)))</x:f>
        <x:v>0</x:v>
      </x:c>
      <x:c r="U195" s="116" t="n">
        <x:f>IF($L195&lt;$D$5,"",IF($L195=$D$5,$J$10+$N195-IF($M195,IF(INT(($L195-$D$5)/7)&lt;$A$22,$B$22,$D$10),0),U194+$N195-IF($M195,IF(INT(($L195-$D$5)/7)&lt;$A$22,$B$22,$D$10),0)))</x:f>
        <x:v>0</x:v>
      </x:c>
      <x:c r="V195" s="116" t="n">
        <x:f>IF($L195&lt;$D$5,"",IF($L195=$D$5,$J$10+$N195-IF($M195,IF(INT(($L195-$D$5)/7)&lt;$A$23,$B$23,$D$10),0),V194+$N195-IF($M195,IF(INT(($L195-$D$5)/7)&lt;$A$23,$B$23,$D$10),0)))</x:f>
        <x:v>0</x:v>
      </x:c>
      <x:c r="W195" s="116" t="n">
        <x:f>IF($L195&lt;$D$5,"",IF($L195=$D$5,$J$10+$N195-IF($M195,IF(INT(($L195-$D$5)/7)&lt;$A$24,$B$24,$D$10),0),W194+$N195-IF($M195,IF(INT(($L195-$D$5)/7)&lt;$A$24,$B$24,$D$10),0)))</x:f>
        <x:v>0</x:v>
      </x:c>
      <x:c r="X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Y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Z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A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B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C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D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E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F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G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H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I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J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K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L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M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N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O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P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Q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R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S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T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U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V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W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X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Y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AZ195" s="116"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c r="BA195" s="117" t="n">
        <x:f>IF(OR(INDEX('1 Budget annuel'!$A$14:$A$43,COLUMN()-COLUMN($X$42)+1)&lt;&gt;"Oui",INDEX('1 Budget annuel'!$L$14:$L$43,COLUMN()-COLUMN($X$42)+1)="",AND(INDEX('1 Budget annuel'!$B$14:$B$43,COLUMN()-COLUMN($X$42)+1)="Sortie",INDEX('1 Budget annuel'!$M$14:$M$43,COLUMN()-COLUMN($X$42)+1)="Oui"),$L195&lt;INDEX('1 Budget annuel'!$L$14:$L$43,COLUMN()-COLUMN($X$42)+1),$L195&gt;$D$5+363),0,IF(OR(AND(INDEX('1 Budget annuel'!$E$14:$E$43,COLUMN()-COLUMN($X$42)+1)="Hebdomadaire",MOD($L195-INDEX('1 Budget annuel'!$L$14:$L$43,COLUMN()-COLUMN($X$42)+1),7)=0),AND(INDEX('1 Budget annuel'!$E$14:$E$43,COLUMN()-COLUMN($X$42)+1)="Toutes les 4 semaines",MOD($L195-INDEX('1 Budget annuel'!$L$14:$L$43,COLUMN()-COLUMN($X$42)+1),28)=0),AND(INDEX('1 Budget annuel'!$E$14:$E$43,COLUMN()-COLUMN($X$42)+1)="Mensuelle",DAY($L195)=MIN(DAY(INDEX('1 Budget annuel'!$L$14:$L$43,COLUMN()-COLUMN($X$42)+1)),DAY(EOMONTH($L195,0)))),AND(INDEX('1 Budget annuel'!$E$14:$E$43,COLUMN()-COLUMN($X$42)+1)="Trimestrielle",MOD((YEAR($L195)-YEAR(INDEX('1 Budget annuel'!$L$14:$L$43,COLUMN()-COLUMN($X$42)+1)))*12+MONTH($L195)-MONTH(INDEX('1 Budget annuel'!$L$14:$L$43,COLUMN()-COLUMN($X$42)+1)),3)=0,DAY($L195)=MIN(DAY(INDEX('1 Budget annuel'!$L$14:$L$43,COLUMN()-COLUMN($X$42)+1)),DAY(EOMONTH($L195,0)))),AND(INDEX('1 Budget annuel'!$E$14:$E$43,COLUMN()-COLUMN($X$42)+1)="Semestrielle",MOD((YEAR($L195)-YEAR(INDEX('1 Budget annuel'!$L$14:$L$43,COLUMN()-COLUMN($X$42)+1)))*12+MONTH($L195)-MONTH(INDEX('1 Budget annuel'!$L$14:$L$43,COLUMN()-COLUMN($X$42)+1)),6)=0,DAY($L195)=MIN(DAY(INDEX('1 Budget annuel'!$L$14:$L$43,COLUMN()-COLUMN($X$42)+1)),DAY(EOMONTH($L195,0)))),AND(INDEX('1 Budget annuel'!$E$14:$E$43,COLUMN()-COLUMN($X$42)+1)="Annuelle",MOD((YEAR($L195)-YEAR(INDEX('1 Budget annuel'!$L$14:$L$43,COLUMN()-COLUMN($X$42)+1)))*12+MONTH($L195)-MONTH(INDEX('1 Budget annuel'!$L$14:$L$43,COLUMN()-COLUMN($X$42)+1)),12)=0,DAY($L195)=MIN(DAY(INDEX('1 Budget annuel'!$L$14:$L$43,COLUMN()-COLUMN($X$42)+1)),DAY(EOMONTH($L195,0))))),IF(INDEX('1 Budget annuel'!$B$14:$B$43,COLUMN()-COLUMN($X$42)+1)="Entrée",INDEX('1 Budget annuel'!$I$14:$I$43,COLUMN()-COLUMN($X$42)+1),-INDEX('1 Budget annuel'!$I$14:$I$43,COLUMN()-COLUMN($X$42)+1)),0))</x:f>
        <x:v>0</x:v>
      </x:c>
    </x:row>
    <x:row r="196">
      <x:c r="L196" s="114" t="n">
        <x:f>L195+1</x:f>
        <x:v>46390</x:v>
      </x:c>
      <x:c r="M196" s="115" t="b">
        <x:f>AND(L196&gt;=$D$5,L196&lt;=$D$5+363,MOD(L196-$D$5,7)=0)</x:f>
        <x:v>0</x:v>
      </x:c>
      <x:c r="N196" s="116" t="n">
        <x:f>SUM(X196:BA196)</x:f>
        <x:v>0</x:v>
      </x:c>
      <x:c r="O196" s="116" t="n">
        <x:f>IF(M196,$D$10,0)</x:f>
        <x:v>0</x:v>
      </x:c>
      <x:c r="P196" s="116" t="n">
        <x:f>N196-O196</x:f>
        <x:v>0</x:v>
      </x:c>
      <x:c r="Q196" s="116" t="n">
        <x:f>IF(L196&lt;$D$5,0,IF(L196=$D$5,P196,Q195+P196))</x:f>
        <x:v>0</x:v>
      </x:c>
      <x:c r="R196" s="116" t="n">
        <x:f>IF(L196&lt;$D$5,"",$J$10+Q196)</x:f>
        <x:v>0</x:v>
      </x:c>
      <x:c r="S196" s="116" t="n">
        <x:f>IF($L196&lt;$D$5,"",IF($L196=$D$5,$J$10+$N196-IF($M196,IF(INT(($L196-$D$5)/7)&lt;$A$20,$B$20,$D$10),0),S195+$N196-IF($M196,IF(INT(($L196-$D$5)/7)&lt;$A$20,$B$20,$D$10),0)))</x:f>
        <x:v>0</x:v>
      </x:c>
      <x:c r="T196" s="116" t="n">
        <x:f>IF($L196&lt;$D$5,"",IF($L196=$D$5,$J$10+$N196-IF($M196,IF(INT(($L196-$D$5)/7)&lt;$A$21,$B$21,$D$10),0),T195+$N196-IF($M196,IF(INT(($L196-$D$5)/7)&lt;$A$21,$B$21,$D$10),0)))</x:f>
        <x:v>0</x:v>
      </x:c>
      <x:c r="U196" s="116" t="n">
        <x:f>IF($L196&lt;$D$5,"",IF($L196=$D$5,$J$10+$N196-IF($M196,IF(INT(($L196-$D$5)/7)&lt;$A$22,$B$22,$D$10),0),U195+$N196-IF($M196,IF(INT(($L196-$D$5)/7)&lt;$A$22,$B$22,$D$10),0)))</x:f>
        <x:v>0</x:v>
      </x:c>
      <x:c r="V196" s="116" t="n">
        <x:f>IF($L196&lt;$D$5,"",IF($L196=$D$5,$J$10+$N196-IF($M196,IF(INT(($L196-$D$5)/7)&lt;$A$23,$B$23,$D$10),0),V195+$N196-IF($M196,IF(INT(($L196-$D$5)/7)&lt;$A$23,$B$23,$D$10),0)))</x:f>
        <x:v>0</x:v>
      </x:c>
      <x:c r="W196" s="116" t="n">
        <x:f>IF($L196&lt;$D$5,"",IF($L196=$D$5,$J$10+$N196-IF($M196,IF(INT(($L196-$D$5)/7)&lt;$A$24,$B$24,$D$10),0),W195+$N196-IF($M196,IF(INT(($L196-$D$5)/7)&lt;$A$24,$B$24,$D$10),0)))</x:f>
        <x:v>0</x:v>
      </x:c>
      <x:c r="X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Y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Z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A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B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C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D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E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F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G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H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I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J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K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L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M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N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O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P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Q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R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S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T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U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V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W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X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Y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AZ196" s="116"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c r="BA196" s="117" t="n">
        <x:f>IF(OR(INDEX('1 Budget annuel'!$A$14:$A$43,COLUMN()-COLUMN($X$42)+1)&lt;&gt;"Oui",INDEX('1 Budget annuel'!$L$14:$L$43,COLUMN()-COLUMN($X$42)+1)="",AND(INDEX('1 Budget annuel'!$B$14:$B$43,COLUMN()-COLUMN($X$42)+1)="Sortie",INDEX('1 Budget annuel'!$M$14:$M$43,COLUMN()-COLUMN($X$42)+1)="Oui"),$L196&lt;INDEX('1 Budget annuel'!$L$14:$L$43,COLUMN()-COLUMN($X$42)+1),$L196&gt;$D$5+363),0,IF(OR(AND(INDEX('1 Budget annuel'!$E$14:$E$43,COLUMN()-COLUMN($X$42)+1)="Hebdomadaire",MOD($L196-INDEX('1 Budget annuel'!$L$14:$L$43,COLUMN()-COLUMN($X$42)+1),7)=0),AND(INDEX('1 Budget annuel'!$E$14:$E$43,COLUMN()-COLUMN($X$42)+1)="Toutes les 4 semaines",MOD($L196-INDEX('1 Budget annuel'!$L$14:$L$43,COLUMN()-COLUMN($X$42)+1),28)=0),AND(INDEX('1 Budget annuel'!$E$14:$E$43,COLUMN()-COLUMN($X$42)+1)="Mensuelle",DAY($L196)=MIN(DAY(INDEX('1 Budget annuel'!$L$14:$L$43,COLUMN()-COLUMN($X$42)+1)),DAY(EOMONTH($L196,0)))),AND(INDEX('1 Budget annuel'!$E$14:$E$43,COLUMN()-COLUMN($X$42)+1)="Trimestrielle",MOD((YEAR($L196)-YEAR(INDEX('1 Budget annuel'!$L$14:$L$43,COLUMN()-COLUMN($X$42)+1)))*12+MONTH($L196)-MONTH(INDEX('1 Budget annuel'!$L$14:$L$43,COLUMN()-COLUMN($X$42)+1)),3)=0,DAY($L196)=MIN(DAY(INDEX('1 Budget annuel'!$L$14:$L$43,COLUMN()-COLUMN($X$42)+1)),DAY(EOMONTH($L196,0)))),AND(INDEX('1 Budget annuel'!$E$14:$E$43,COLUMN()-COLUMN($X$42)+1)="Semestrielle",MOD((YEAR($L196)-YEAR(INDEX('1 Budget annuel'!$L$14:$L$43,COLUMN()-COLUMN($X$42)+1)))*12+MONTH($L196)-MONTH(INDEX('1 Budget annuel'!$L$14:$L$43,COLUMN()-COLUMN($X$42)+1)),6)=0,DAY($L196)=MIN(DAY(INDEX('1 Budget annuel'!$L$14:$L$43,COLUMN()-COLUMN($X$42)+1)),DAY(EOMONTH($L196,0)))),AND(INDEX('1 Budget annuel'!$E$14:$E$43,COLUMN()-COLUMN($X$42)+1)="Annuelle",MOD((YEAR($L196)-YEAR(INDEX('1 Budget annuel'!$L$14:$L$43,COLUMN()-COLUMN($X$42)+1)))*12+MONTH($L196)-MONTH(INDEX('1 Budget annuel'!$L$14:$L$43,COLUMN()-COLUMN($X$42)+1)),12)=0,DAY($L196)=MIN(DAY(INDEX('1 Budget annuel'!$L$14:$L$43,COLUMN()-COLUMN($X$42)+1)),DAY(EOMONTH($L196,0))))),IF(INDEX('1 Budget annuel'!$B$14:$B$43,COLUMN()-COLUMN($X$42)+1)="Entrée",INDEX('1 Budget annuel'!$I$14:$I$43,COLUMN()-COLUMN($X$42)+1),-INDEX('1 Budget annuel'!$I$14:$I$43,COLUMN()-COLUMN($X$42)+1)),0))</x:f>
        <x:v>0</x:v>
      </x:c>
    </x:row>
    <x:row r="197">
      <x:c r="L197" s="114" t="n">
        <x:f>L196+1</x:f>
        <x:v>46391</x:v>
      </x:c>
      <x:c r="M197" s="115" t="b">
        <x:f>AND(L197&gt;=$D$5,L197&lt;=$D$5+363,MOD(L197-$D$5,7)=0)</x:f>
        <x:v>0</x:v>
      </x:c>
      <x:c r="N197" s="116" t="n">
        <x:f>SUM(X197:BA197)</x:f>
        <x:v>0</x:v>
      </x:c>
      <x:c r="O197" s="116" t="n">
        <x:f>IF(M197,$D$10,0)</x:f>
        <x:v>0</x:v>
      </x:c>
      <x:c r="P197" s="116" t="n">
        <x:f>N197-O197</x:f>
        <x:v>0</x:v>
      </x:c>
      <x:c r="Q197" s="116" t="n">
        <x:f>IF(L197&lt;$D$5,0,IF(L197=$D$5,P197,Q196+P197))</x:f>
        <x:v>0</x:v>
      </x:c>
      <x:c r="R197" s="116" t="n">
        <x:f>IF(L197&lt;$D$5,"",$J$10+Q197)</x:f>
        <x:v>0</x:v>
      </x:c>
      <x:c r="S197" s="116" t="n">
        <x:f>IF($L197&lt;$D$5,"",IF($L197=$D$5,$J$10+$N197-IF($M197,IF(INT(($L197-$D$5)/7)&lt;$A$20,$B$20,$D$10),0),S196+$N197-IF($M197,IF(INT(($L197-$D$5)/7)&lt;$A$20,$B$20,$D$10),0)))</x:f>
        <x:v>0</x:v>
      </x:c>
      <x:c r="T197" s="116" t="n">
        <x:f>IF($L197&lt;$D$5,"",IF($L197=$D$5,$J$10+$N197-IF($M197,IF(INT(($L197-$D$5)/7)&lt;$A$21,$B$21,$D$10),0),T196+$N197-IF($M197,IF(INT(($L197-$D$5)/7)&lt;$A$21,$B$21,$D$10),0)))</x:f>
        <x:v>0</x:v>
      </x:c>
      <x:c r="U197" s="116" t="n">
        <x:f>IF($L197&lt;$D$5,"",IF($L197=$D$5,$J$10+$N197-IF($M197,IF(INT(($L197-$D$5)/7)&lt;$A$22,$B$22,$D$10),0),U196+$N197-IF($M197,IF(INT(($L197-$D$5)/7)&lt;$A$22,$B$22,$D$10),0)))</x:f>
        <x:v>0</x:v>
      </x:c>
      <x:c r="V197" s="116" t="n">
        <x:f>IF($L197&lt;$D$5,"",IF($L197=$D$5,$J$10+$N197-IF($M197,IF(INT(($L197-$D$5)/7)&lt;$A$23,$B$23,$D$10),0),V196+$N197-IF($M197,IF(INT(($L197-$D$5)/7)&lt;$A$23,$B$23,$D$10),0)))</x:f>
        <x:v>0</x:v>
      </x:c>
      <x:c r="W197" s="116" t="n">
        <x:f>IF($L197&lt;$D$5,"",IF($L197=$D$5,$J$10+$N197-IF($M197,IF(INT(($L197-$D$5)/7)&lt;$A$24,$B$24,$D$10),0),W196+$N197-IF($M197,IF(INT(($L197-$D$5)/7)&lt;$A$24,$B$24,$D$10),0)))</x:f>
        <x:v>0</x:v>
      </x:c>
      <x:c r="X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Y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Z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A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B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C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D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E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F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G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H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I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J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K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L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M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N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O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P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Q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R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S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T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U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V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W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X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Y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AZ197" s="116"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c r="BA197" s="117" t="n">
        <x:f>IF(OR(INDEX('1 Budget annuel'!$A$14:$A$43,COLUMN()-COLUMN($X$42)+1)&lt;&gt;"Oui",INDEX('1 Budget annuel'!$L$14:$L$43,COLUMN()-COLUMN($X$42)+1)="",AND(INDEX('1 Budget annuel'!$B$14:$B$43,COLUMN()-COLUMN($X$42)+1)="Sortie",INDEX('1 Budget annuel'!$M$14:$M$43,COLUMN()-COLUMN($X$42)+1)="Oui"),$L197&lt;INDEX('1 Budget annuel'!$L$14:$L$43,COLUMN()-COLUMN($X$42)+1),$L197&gt;$D$5+363),0,IF(OR(AND(INDEX('1 Budget annuel'!$E$14:$E$43,COLUMN()-COLUMN($X$42)+1)="Hebdomadaire",MOD($L197-INDEX('1 Budget annuel'!$L$14:$L$43,COLUMN()-COLUMN($X$42)+1),7)=0),AND(INDEX('1 Budget annuel'!$E$14:$E$43,COLUMN()-COLUMN($X$42)+1)="Toutes les 4 semaines",MOD($L197-INDEX('1 Budget annuel'!$L$14:$L$43,COLUMN()-COLUMN($X$42)+1),28)=0),AND(INDEX('1 Budget annuel'!$E$14:$E$43,COLUMN()-COLUMN($X$42)+1)="Mensuelle",DAY($L197)=MIN(DAY(INDEX('1 Budget annuel'!$L$14:$L$43,COLUMN()-COLUMN($X$42)+1)),DAY(EOMONTH($L197,0)))),AND(INDEX('1 Budget annuel'!$E$14:$E$43,COLUMN()-COLUMN($X$42)+1)="Trimestrielle",MOD((YEAR($L197)-YEAR(INDEX('1 Budget annuel'!$L$14:$L$43,COLUMN()-COLUMN($X$42)+1)))*12+MONTH($L197)-MONTH(INDEX('1 Budget annuel'!$L$14:$L$43,COLUMN()-COLUMN($X$42)+1)),3)=0,DAY($L197)=MIN(DAY(INDEX('1 Budget annuel'!$L$14:$L$43,COLUMN()-COLUMN($X$42)+1)),DAY(EOMONTH($L197,0)))),AND(INDEX('1 Budget annuel'!$E$14:$E$43,COLUMN()-COLUMN($X$42)+1)="Semestrielle",MOD((YEAR($L197)-YEAR(INDEX('1 Budget annuel'!$L$14:$L$43,COLUMN()-COLUMN($X$42)+1)))*12+MONTH($L197)-MONTH(INDEX('1 Budget annuel'!$L$14:$L$43,COLUMN()-COLUMN($X$42)+1)),6)=0,DAY($L197)=MIN(DAY(INDEX('1 Budget annuel'!$L$14:$L$43,COLUMN()-COLUMN($X$42)+1)),DAY(EOMONTH($L197,0)))),AND(INDEX('1 Budget annuel'!$E$14:$E$43,COLUMN()-COLUMN($X$42)+1)="Annuelle",MOD((YEAR($L197)-YEAR(INDEX('1 Budget annuel'!$L$14:$L$43,COLUMN()-COLUMN($X$42)+1)))*12+MONTH($L197)-MONTH(INDEX('1 Budget annuel'!$L$14:$L$43,COLUMN()-COLUMN($X$42)+1)),12)=0,DAY($L197)=MIN(DAY(INDEX('1 Budget annuel'!$L$14:$L$43,COLUMN()-COLUMN($X$42)+1)),DAY(EOMONTH($L197,0))))),IF(INDEX('1 Budget annuel'!$B$14:$B$43,COLUMN()-COLUMN($X$42)+1)="Entrée",INDEX('1 Budget annuel'!$I$14:$I$43,COLUMN()-COLUMN($X$42)+1),-INDEX('1 Budget annuel'!$I$14:$I$43,COLUMN()-COLUMN($X$42)+1)),0))</x:f>
        <x:v>0</x:v>
      </x:c>
    </x:row>
    <x:row r="198">
      <x:c r="L198" s="114" t="n">
        <x:f>L197+1</x:f>
        <x:v>46392</x:v>
      </x:c>
      <x:c r="M198" s="115" t="b">
        <x:f>AND(L198&gt;=$D$5,L198&lt;=$D$5+363,MOD(L198-$D$5,7)=0)</x:f>
        <x:v>0</x:v>
      </x:c>
      <x:c r="N198" s="116" t="n">
        <x:f>SUM(X198:BA198)</x:f>
        <x:v>0</x:v>
      </x:c>
      <x:c r="O198" s="116" t="n">
        <x:f>IF(M198,$D$10,0)</x:f>
        <x:v>0</x:v>
      </x:c>
      <x:c r="P198" s="116" t="n">
        <x:f>N198-O198</x:f>
        <x:v>0</x:v>
      </x:c>
      <x:c r="Q198" s="116" t="n">
        <x:f>IF(L198&lt;$D$5,0,IF(L198=$D$5,P198,Q197+P198))</x:f>
        <x:v>0</x:v>
      </x:c>
      <x:c r="R198" s="116" t="n">
        <x:f>IF(L198&lt;$D$5,"",$J$10+Q198)</x:f>
        <x:v>0</x:v>
      </x:c>
      <x:c r="S198" s="116" t="n">
        <x:f>IF($L198&lt;$D$5,"",IF($L198=$D$5,$J$10+$N198-IF($M198,IF(INT(($L198-$D$5)/7)&lt;$A$20,$B$20,$D$10),0),S197+$N198-IF($M198,IF(INT(($L198-$D$5)/7)&lt;$A$20,$B$20,$D$10),0)))</x:f>
        <x:v>0</x:v>
      </x:c>
      <x:c r="T198" s="116" t="n">
        <x:f>IF($L198&lt;$D$5,"",IF($L198=$D$5,$J$10+$N198-IF($M198,IF(INT(($L198-$D$5)/7)&lt;$A$21,$B$21,$D$10),0),T197+$N198-IF($M198,IF(INT(($L198-$D$5)/7)&lt;$A$21,$B$21,$D$10),0)))</x:f>
        <x:v>0</x:v>
      </x:c>
      <x:c r="U198" s="116" t="n">
        <x:f>IF($L198&lt;$D$5,"",IF($L198=$D$5,$J$10+$N198-IF($M198,IF(INT(($L198-$D$5)/7)&lt;$A$22,$B$22,$D$10),0),U197+$N198-IF($M198,IF(INT(($L198-$D$5)/7)&lt;$A$22,$B$22,$D$10),0)))</x:f>
        <x:v>0</x:v>
      </x:c>
      <x:c r="V198" s="116" t="n">
        <x:f>IF($L198&lt;$D$5,"",IF($L198=$D$5,$J$10+$N198-IF($M198,IF(INT(($L198-$D$5)/7)&lt;$A$23,$B$23,$D$10),0),V197+$N198-IF($M198,IF(INT(($L198-$D$5)/7)&lt;$A$23,$B$23,$D$10),0)))</x:f>
        <x:v>0</x:v>
      </x:c>
      <x:c r="W198" s="116" t="n">
        <x:f>IF($L198&lt;$D$5,"",IF($L198=$D$5,$J$10+$N198-IF($M198,IF(INT(($L198-$D$5)/7)&lt;$A$24,$B$24,$D$10),0),W197+$N198-IF($M198,IF(INT(($L198-$D$5)/7)&lt;$A$24,$B$24,$D$10),0)))</x:f>
        <x:v>0</x:v>
      </x:c>
      <x:c r="X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Y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Z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A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B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C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D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E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F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G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H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I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J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K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L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M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N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O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P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Q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R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S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T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U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V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W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X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Y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AZ198" s="116"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c r="BA198" s="117" t="n">
        <x:f>IF(OR(INDEX('1 Budget annuel'!$A$14:$A$43,COLUMN()-COLUMN($X$42)+1)&lt;&gt;"Oui",INDEX('1 Budget annuel'!$L$14:$L$43,COLUMN()-COLUMN($X$42)+1)="",AND(INDEX('1 Budget annuel'!$B$14:$B$43,COLUMN()-COLUMN($X$42)+1)="Sortie",INDEX('1 Budget annuel'!$M$14:$M$43,COLUMN()-COLUMN($X$42)+1)="Oui"),$L198&lt;INDEX('1 Budget annuel'!$L$14:$L$43,COLUMN()-COLUMN($X$42)+1),$L198&gt;$D$5+363),0,IF(OR(AND(INDEX('1 Budget annuel'!$E$14:$E$43,COLUMN()-COLUMN($X$42)+1)="Hebdomadaire",MOD($L198-INDEX('1 Budget annuel'!$L$14:$L$43,COLUMN()-COLUMN($X$42)+1),7)=0),AND(INDEX('1 Budget annuel'!$E$14:$E$43,COLUMN()-COLUMN($X$42)+1)="Toutes les 4 semaines",MOD($L198-INDEX('1 Budget annuel'!$L$14:$L$43,COLUMN()-COLUMN($X$42)+1),28)=0),AND(INDEX('1 Budget annuel'!$E$14:$E$43,COLUMN()-COLUMN($X$42)+1)="Mensuelle",DAY($L198)=MIN(DAY(INDEX('1 Budget annuel'!$L$14:$L$43,COLUMN()-COLUMN($X$42)+1)),DAY(EOMONTH($L198,0)))),AND(INDEX('1 Budget annuel'!$E$14:$E$43,COLUMN()-COLUMN($X$42)+1)="Trimestrielle",MOD((YEAR($L198)-YEAR(INDEX('1 Budget annuel'!$L$14:$L$43,COLUMN()-COLUMN($X$42)+1)))*12+MONTH($L198)-MONTH(INDEX('1 Budget annuel'!$L$14:$L$43,COLUMN()-COLUMN($X$42)+1)),3)=0,DAY($L198)=MIN(DAY(INDEX('1 Budget annuel'!$L$14:$L$43,COLUMN()-COLUMN($X$42)+1)),DAY(EOMONTH($L198,0)))),AND(INDEX('1 Budget annuel'!$E$14:$E$43,COLUMN()-COLUMN($X$42)+1)="Semestrielle",MOD((YEAR($L198)-YEAR(INDEX('1 Budget annuel'!$L$14:$L$43,COLUMN()-COLUMN($X$42)+1)))*12+MONTH($L198)-MONTH(INDEX('1 Budget annuel'!$L$14:$L$43,COLUMN()-COLUMN($X$42)+1)),6)=0,DAY($L198)=MIN(DAY(INDEX('1 Budget annuel'!$L$14:$L$43,COLUMN()-COLUMN($X$42)+1)),DAY(EOMONTH($L198,0)))),AND(INDEX('1 Budget annuel'!$E$14:$E$43,COLUMN()-COLUMN($X$42)+1)="Annuelle",MOD((YEAR($L198)-YEAR(INDEX('1 Budget annuel'!$L$14:$L$43,COLUMN()-COLUMN($X$42)+1)))*12+MONTH($L198)-MONTH(INDEX('1 Budget annuel'!$L$14:$L$43,COLUMN()-COLUMN($X$42)+1)),12)=0,DAY($L198)=MIN(DAY(INDEX('1 Budget annuel'!$L$14:$L$43,COLUMN()-COLUMN($X$42)+1)),DAY(EOMONTH($L198,0))))),IF(INDEX('1 Budget annuel'!$B$14:$B$43,COLUMN()-COLUMN($X$42)+1)="Entrée",INDEX('1 Budget annuel'!$I$14:$I$43,COLUMN()-COLUMN($X$42)+1),-INDEX('1 Budget annuel'!$I$14:$I$43,COLUMN()-COLUMN($X$42)+1)),0))</x:f>
        <x:v>0</x:v>
      </x:c>
    </x:row>
    <x:row r="199">
      <x:c r="L199" s="114" t="n">
        <x:f>L198+1</x:f>
        <x:v>46393</x:v>
      </x:c>
      <x:c r="M199" s="115" t="b">
        <x:f>AND(L199&gt;=$D$5,L199&lt;=$D$5+363,MOD(L199-$D$5,7)=0)</x:f>
        <x:v>0</x:v>
      </x:c>
      <x:c r="N199" s="116" t="n">
        <x:f>SUM(X199:BA199)</x:f>
        <x:v>0</x:v>
      </x:c>
      <x:c r="O199" s="116" t="n">
        <x:f>IF(M199,$D$10,0)</x:f>
        <x:v>0</x:v>
      </x:c>
      <x:c r="P199" s="116" t="n">
        <x:f>N199-O199</x:f>
        <x:v>0</x:v>
      </x:c>
      <x:c r="Q199" s="116" t="n">
        <x:f>IF(L199&lt;$D$5,0,IF(L199=$D$5,P199,Q198+P199))</x:f>
        <x:v>0</x:v>
      </x:c>
      <x:c r="R199" s="116" t="n">
        <x:f>IF(L199&lt;$D$5,"",$J$10+Q199)</x:f>
        <x:v>0</x:v>
      </x:c>
      <x:c r="S199" s="116" t="n">
        <x:f>IF($L199&lt;$D$5,"",IF($L199=$D$5,$J$10+$N199-IF($M199,IF(INT(($L199-$D$5)/7)&lt;$A$20,$B$20,$D$10),0),S198+$N199-IF($M199,IF(INT(($L199-$D$5)/7)&lt;$A$20,$B$20,$D$10),0)))</x:f>
        <x:v>0</x:v>
      </x:c>
      <x:c r="T199" s="116" t="n">
        <x:f>IF($L199&lt;$D$5,"",IF($L199=$D$5,$J$10+$N199-IF($M199,IF(INT(($L199-$D$5)/7)&lt;$A$21,$B$21,$D$10),0),T198+$N199-IF($M199,IF(INT(($L199-$D$5)/7)&lt;$A$21,$B$21,$D$10),0)))</x:f>
        <x:v>0</x:v>
      </x:c>
      <x:c r="U199" s="116" t="n">
        <x:f>IF($L199&lt;$D$5,"",IF($L199=$D$5,$J$10+$N199-IF($M199,IF(INT(($L199-$D$5)/7)&lt;$A$22,$B$22,$D$10),0),U198+$N199-IF($M199,IF(INT(($L199-$D$5)/7)&lt;$A$22,$B$22,$D$10),0)))</x:f>
        <x:v>0</x:v>
      </x:c>
      <x:c r="V199" s="116" t="n">
        <x:f>IF($L199&lt;$D$5,"",IF($L199=$D$5,$J$10+$N199-IF($M199,IF(INT(($L199-$D$5)/7)&lt;$A$23,$B$23,$D$10),0),V198+$N199-IF($M199,IF(INT(($L199-$D$5)/7)&lt;$A$23,$B$23,$D$10),0)))</x:f>
        <x:v>0</x:v>
      </x:c>
      <x:c r="W199" s="116" t="n">
        <x:f>IF($L199&lt;$D$5,"",IF($L199=$D$5,$J$10+$N199-IF($M199,IF(INT(($L199-$D$5)/7)&lt;$A$24,$B$24,$D$10),0),W198+$N199-IF($M199,IF(INT(($L199-$D$5)/7)&lt;$A$24,$B$24,$D$10),0)))</x:f>
        <x:v>0</x:v>
      </x:c>
      <x:c r="X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Y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Z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A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B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C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D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E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F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G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H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I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J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K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L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M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N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O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P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Q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R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S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T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U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V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W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X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Y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AZ199" s="116"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c r="BA199" s="117" t="n">
        <x:f>IF(OR(INDEX('1 Budget annuel'!$A$14:$A$43,COLUMN()-COLUMN($X$42)+1)&lt;&gt;"Oui",INDEX('1 Budget annuel'!$L$14:$L$43,COLUMN()-COLUMN($X$42)+1)="",AND(INDEX('1 Budget annuel'!$B$14:$B$43,COLUMN()-COLUMN($X$42)+1)="Sortie",INDEX('1 Budget annuel'!$M$14:$M$43,COLUMN()-COLUMN($X$42)+1)="Oui"),$L199&lt;INDEX('1 Budget annuel'!$L$14:$L$43,COLUMN()-COLUMN($X$42)+1),$L199&gt;$D$5+363),0,IF(OR(AND(INDEX('1 Budget annuel'!$E$14:$E$43,COLUMN()-COLUMN($X$42)+1)="Hebdomadaire",MOD($L199-INDEX('1 Budget annuel'!$L$14:$L$43,COLUMN()-COLUMN($X$42)+1),7)=0),AND(INDEX('1 Budget annuel'!$E$14:$E$43,COLUMN()-COLUMN($X$42)+1)="Toutes les 4 semaines",MOD($L199-INDEX('1 Budget annuel'!$L$14:$L$43,COLUMN()-COLUMN($X$42)+1),28)=0),AND(INDEX('1 Budget annuel'!$E$14:$E$43,COLUMN()-COLUMN($X$42)+1)="Mensuelle",DAY($L199)=MIN(DAY(INDEX('1 Budget annuel'!$L$14:$L$43,COLUMN()-COLUMN($X$42)+1)),DAY(EOMONTH($L199,0)))),AND(INDEX('1 Budget annuel'!$E$14:$E$43,COLUMN()-COLUMN($X$42)+1)="Trimestrielle",MOD((YEAR($L199)-YEAR(INDEX('1 Budget annuel'!$L$14:$L$43,COLUMN()-COLUMN($X$42)+1)))*12+MONTH($L199)-MONTH(INDEX('1 Budget annuel'!$L$14:$L$43,COLUMN()-COLUMN($X$42)+1)),3)=0,DAY($L199)=MIN(DAY(INDEX('1 Budget annuel'!$L$14:$L$43,COLUMN()-COLUMN($X$42)+1)),DAY(EOMONTH($L199,0)))),AND(INDEX('1 Budget annuel'!$E$14:$E$43,COLUMN()-COLUMN($X$42)+1)="Semestrielle",MOD((YEAR($L199)-YEAR(INDEX('1 Budget annuel'!$L$14:$L$43,COLUMN()-COLUMN($X$42)+1)))*12+MONTH($L199)-MONTH(INDEX('1 Budget annuel'!$L$14:$L$43,COLUMN()-COLUMN($X$42)+1)),6)=0,DAY($L199)=MIN(DAY(INDEX('1 Budget annuel'!$L$14:$L$43,COLUMN()-COLUMN($X$42)+1)),DAY(EOMONTH($L199,0)))),AND(INDEX('1 Budget annuel'!$E$14:$E$43,COLUMN()-COLUMN($X$42)+1)="Annuelle",MOD((YEAR($L199)-YEAR(INDEX('1 Budget annuel'!$L$14:$L$43,COLUMN()-COLUMN($X$42)+1)))*12+MONTH($L199)-MONTH(INDEX('1 Budget annuel'!$L$14:$L$43,COLUMN()-COLUMN($X$42)+1)),12)=0,DAY($L199)=MIN(DAY(INDEX('1 Budget annuel'!$L$14:$L$43,COLUMN()-COLUMN($X$42)+1)),DAY(EOMONTH($L199,0))))),IF(INDEX('1 Budget annuel'!$B$14:$B$43,COLUMN()-COLUMN($X$42)+1)="Entrée",INDEX('1 Budget annuel'!$I$14:$I$43,COLUMN()-COLUMN($X$42)+1),-INDEX('1 Budget annuel'!$I$14:$I$43,COLUMN()-COLUMN($X$42)+1)),0))</x:f>
        <x:v>0</x:v>
      </x:c>
    </x:row>
    <x:row r="200">
      <x:c r="L200" s="114" t="n">
        <x:f>L199+1</x:f>
        <x:v>46394</x:v>
      </x:c>
      <x:c r="M200" s="115" t="b">
        <x:f>AND(L200&gt;=$D$5,L200&lt;=$D$5+363,MOD(L200-$D$5,7)=0)</x:f>
        <x:v>0</x:v>
      </x:c>
      <x:c r="N200" s="116" t="n">
        <x:f>SUM(X200:BA200)</x:f>
        <x:v>0</x:v>
      </x:c>
      <x:c r="O200" s="116" t="n">
        <x:f>IF(M200,$D$10,0)</x:f>
        <x:v>0</x:v>
      </x:c>
      <x:c r="P200" s="116" t="n">
        <x:f>N200-O200</x:f>
        <x:v>0</x:v>
      </x:c>
      <x:c r="Q200" s="116" t="n">
        <x:f>IF(L200&lt;$D$5,0,IF(L200=$D$5,P200,Q199+P200))</x:f>
        <x:v>0</x:v>
      </x:c>
      <x:c r="R200" s="116" t="n">
        <x:f>IF(L200&lt;$D$5,"",$J$10+Q200)</x:f>
        <x:v>0</x:v>
      </x:c>
      <x:c r="S200" s="116" t="n">
        <x:f>IF($L200&lt;$D$5,"",IF($L200=$D$5,$J$10+$N200-IF($M200,IF(INT(($L200-$D$5)/7)&lt;$A$20,$B$20,$D$10),0),S199+$N200-IF($M200,IF(INT(($L200-$D$5)/7)&lt;$A$20,$B$20,$D$10),0)))</x:f>
        <x:v>0</x:v>
      </x:c>
      <x:c r="T200" s="116" t="n">
        <x:f>IF($L200&lt;$D$5,"",IF($L200=$D$5,$J$10+$N200-IF($M200,IF(INT(($L200-$D$5)/7)&lt;$A$21,$B$21,$D$10),0),T199+$N200-IF($M200,IF(INT(($L200-$D$5)/7)&lt;$A$21,$B$21,$D$10),0)))</x:f>
        <x:v>0</x:v>
      </x:c>
      <x:c r="U200" s="116" t="n">
        <x:f>IF($L200&lt;$D$5,"",IF($L200=$D$5,$J$10+$N200-IF($M200,IF(INT(($L200-$D$5)/7)&lt;$A$22,$B$22,$D$10),0),U199+$N200-IF($M200,IF(INT(($L200-$D$5)/7)&lt;$A$22,$B$22,$D$10),0)))</x:f>
        <x:v>0</x:v>
      </x:c>
      <x:c r="V200" s="116" t="n">
        <x:f>IF($L200&lt;$D$5,"",IF($L200=$D$5,$J$10+$N200-IF($M200,IF(INT(($L200-$D$5)/7)&lt;$A$23,$B$23,$D$10),0),V199+$N200-IF($M200,IF(INT(($L200-$D$5)/7)&lt;$A$23,$B$23,$D$10),0)))</x:f>
        <x:v>0</x:v>
      </x:c>
      <x:c r="W200" s="116" t="n">
        <x:f>IF($L200&lt;$D$5,"",IF($L200=$D$5,$J$10+$N200-IF($M200,IF(INT(($L200-$D$5)/7)&lt;$A$24,$B$24,$D$10),0),W199+$N200-IF($M200,IF(INT(($L200-$D$5)/7)&lt;$A$24,$B$24,$D$10),0)))</x:f>
        <x:v>0</x:v>
      </x:c>
      <x:c r="X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Y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Z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A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B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C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D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E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F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G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H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I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J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K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L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M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N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O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P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Q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R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S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T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U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V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W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X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Y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AZ200" s="116"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c r="BA200" s="117" t="n">
        <x:f>IF(OR(INDEX('1 Budget annuel'!$A$14:$A$43,COLUMN()-COLUMN($X$42)+1)&lt;&gt;"Oui",INDEX('1 Budget annuel'!$L$14:$L$43,COLUMN()-COLUMN($X$42)+1)="",AND(INDEX('1 Budget annuel'!$B$14:$B$43,COLUMN()-COLUMN($X$42)+1)="Sortie",INDEX('1 Budget annuel'!$M$14:$M$43,COLUMN()-COLUMN($X$42)+1)="Oui"),$L200&lt;INDEX('1 Budget annuel'!$L$14:$L$43,COLUMN()-COLUMN($X$42)+1),$L200&gt;$D$5+363),0,IF(OR(AND(INDEX('1 Budget annuel'!$E$14:$E$43,COLUMN()-COLUMN($X$42)+1)="Hebdomadaire",MOD($L200-INDEX('1 Budget annuel'!$L$14:$L$43,COLUMN()-COLUMN($X$42)+1),7)=0),AND(INDEX('1 Budget annuel'!$E$14:$E$43,COLUMN()-COLUMN($X$42)+1)="Toutes les 4 semaines",MOD($L200-INDEX('1 Budget annuel'!$L$14:$L$43,COLUMN()-COLUMN($X$42)+1),28)=0),AND(INDEX('1 Budget annuel'!$E$14:$E$43,COLUMN()-COLUMN($X$42)+1)="Mensuelle",DAY($L200)=MIN(DAY(INDEX('1 Budget annuel'!$L$14:$L$43,COLUMN()-COLUMN($X$42)+1)),DAY(EOMONTH($L200,0)))),AND(INDEX('1 Budget annuel'!$E$14:$E$43,COLUMN()-COLUMN($X$42)+1)="Trimestrielle",MOD((YEAR($L200)-YEAR(INDEX('1 Budget annuel'!$L$14:$L$43,COLUMN()-COLUMN($X$42)+1)))*12+MONTH($L200)-MONTH(INDEX('1 Budget annuel'!$L$14:$L$43,COLUMN()-COLUMN($X$42)+1)),3)=0,DAY($L200)=MIN(DAY(INDEX('1 Budget annuel'!$L$14:$L$43,COLUMN()-COLUMN($X$42)+1)),DAY(EOMONTH($L200,0)))),AND(INDEX('1 Budget annuel'!$E$14:$E$43,COLUMN()-COLUMN($X$42)+1)="Semestrielle",MOD((YEAR($L200)-YEAR(INDEX('1 Budget annuel'!$L$14:$L$43,COLUMN()-COLUMN($X$42)+1)))*12+MONTH($L200)-MONTH(INDEX('1 Budget annuel'!$L$14:$L$43,COLUMN()-COLUMN($X$42)+1)),6)=0,DAY($L200)=MIN(DAY(INDEX('1 Budget annuel'!$L$14:$L$43,COLUMN()-COLUMN($X$42)+1)),DAY(EOMONTH($L200,0)))),AND(INDEX('1 Budget annuel'!$E$14:$E$43,COLUMN()-COLUMN($X$42)+1)="Annuelle",MOD((YEAR($L200)-YEAR(INDEX('1 Budget annuel'!$L$14:$L$43,COLUMN()-COLUMN($X$42)+1)))*12+MONTH($L200)-MONTH(INDEX('1 Budget annuel'!$L$14:$L$43,COLUMN()-COLUMN($X$42)+1)),12)=0,DAY($L200)=MIN(DAY(INDEX('1 Budget annuel'!$L$14:$L$43,COLUMN()-COLUMN($X$42)+1)),DAY(EOMONTH($L200,0))))),IF(INDEX('1 Budget annuel'!$B$14:$B$43,COLUMN()-COLUMN($X$42)+1)="Entrée",INDEX('1 Budget annuel'!$I$14:$I$43,COLUMN()-COLUMN($X$42)+1),-INDEX('1 Budget annuel'!$I$14:$I$43,COLUMN()-COLUMN($X$42)+1)),0))</x:f>
        <x:v>0</x:v>
      </x:c>
    </x:row>
    <x:row r="201">
      <x:c r="L201" s="114" t="n">
        <x:f>L200+1</x:f>
        <x:v>46395</x:v>
      </x:c>
      <x:c r="M201" s="115" t="b">
        <x:f>AND(L201&gt;=$D$5,L201&lt;=$D$5+363,MOD(L201-$D$5,7)=0)</x:f>
        <x:v>0</x:v>
      </x:c>
      <x:c r="N201" s="116" t="n">
        <x:f>SUM(X201:BA201)</x:f>
        <x:v>0</x:v>
      </x:c>
      <x:c r="O201" s="116" t="n">
        <x:f>IF(M201,$D$10,0)</x:f>
        <x:v>0</x:v>
      </x:c>
      <x:c r="P201" s="116" t="n">
        <x:f>N201-O201</x:f>
        <x:v>0</x:v>
      </x:c>
      <x:c r="Q201" s="116" t="n">
        <x:f>IF(L201&lt;$D$5,0,IF(L201=$D$5,P201,Q200+P201))</x:f>
        <x:v>0</x:v>
      </x:c>
      <x:c r="R201" s="116" t="n">
        <x:f>IF(L201&lt;$D$5,"",$J$10+Q201)</x:f>
        <x:v>0</x:v>
      </x:c>
      <x:c r="S201" s="116" t="n">
        <x:f>IF($L201&lt;$D$5,"",IF($L201=$D$5,$J$10+$N201-IF($M201,IF(INT(($L201-$D$5)/7)&lt;$A$20,$B$20,$D$10),0),S200+$N201-IF($M201,IF(INT(($L201-$D$5)/7)&lt;$A$20,$B$20,$D$10),0)))</x:f>
        <x:v>0</x:v>
      </x:c>
      <x:c r="T201" s="116" t="n">
        <x:f>IF($L201&lt;$D$5,"",IF($L201=$D$5,$J$10+$N201-IF($M201,IF(INT(($L201-$D$5)/7)&lt;$A$21,$B$21,$D$10),0),T200+$N201-IF($M201,IF(INT(($L201-$D$5)/7)&lt;$A$21,$B$21,$D$10),0)))</x:f>
        <x:v>0</x:v>
      </x:c>
      <x:c r="U201" s="116" t="n">
        <x:f>IF($L201&lt;$D$5,"",IF($L201=$D$5,$J$10+$N201-IF($M201,IF(INT(($L201-$D$5)/7)&lt;$A$22,$B$22,$D$10),0),U200+$N201-IF($M201,IF(INT(($L201-$D$5)/7)&lt;$A$22,$B$22,$D$10),0)))</x:f>
        <x:v>0</x:v>
      </x:c>
      <x:c r="V201" s="116" t="n">
        <x:f>IF($L201&lt;$D$5,"",IF($L201=$D$5,$J$10+$N201-IF($M201,IF(INT(($L201-$D$5)/7)&lt;$A$23,$B$23,$D$10),0),V200+$N201-IF($M201,IF(INT(($L201-$D$5)/7)&lt;$A$23,$B$23,$D$10),0)))</x:f>
        <x:v>0</x:v>
      </x:c>
      <x:c r="W201" s="116" t="n">
        <x:f>IF($L201&lt;$D$5,"",IF($L201=$D$5,$J$10+$N201-IF($M201,IF(INT(($L201-$D$5)/7)&lt;$A$24,$B$24,$D$10),0),W200+$N201-IF($M201,IF(INT(($L201-$D$5)/7)&lt;$A$24,$B$24,$D$10),0)))</x:f>
        <x:v>0</x:v>
      </x:c>
      <x:c r="X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Y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Z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A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B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C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D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E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F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G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H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I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J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K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L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M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N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O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P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Q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R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S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T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U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V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W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X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Y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AZ201" s="116"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c r="BA201" s="117" t="n">
        <x:f>IF(OR(INDEX('1 Budget annuel'!$A$14:$A$43,COLUMN()-COLUMN($X$42)+1)&lt;&gt;"Oui",INDEX('1 Budget annuel'!$L$14:$L$43,COLUMN()-COLUMN($X$42)+1)="",AND(INDEX('1 Budget annuel'!$B$14:$B$43,COLUMN()-COLUMN($X$42)+1)="Sortie",INDEX('1 Budget annuel'!$M$14:$M$43,COLUMN()-COLUMN($X$42)+1)="Oui"),$L201&lt;INDEX('1 Budget annuel'!$L$14:$L$43,COLUMN()-COLUMN($X$42)+1),$L201&gt;$D$5+363),0,IF(OR(AND(INDEX('1 Budget annuel'!$E$14:$E$43,COLUMN()-COLUMN($X$42)+1)="Hebdomadaire",MOD($L201-INDEX('1 Budget annuel'!$L$14:$L$43,COLUMN()-COLUMN($X$42)+1),7)=0),AND(INDEX('1 Budget annuel'!$E$14:$E$43,COLUMN()-COLUMN($X$42)+1)="Toutes les 4 semaines",MOD($L201-INDEX('1 Budget annuel'!$L$14:$L$43,COLUMN()-COLUMN($X$42)+1),28)=0),AND(INDEX('1 Budget annuel'!$E$14:$E$43,COLUMN()-COLUMN($X$42)+1)="Mensuelle",DAY($L201)=MIN(DAY(INDEX('1 Budget annuel'!$L$14:$L$43,COLUMN()-COLUMN($X$42)+1)),DAY(EOMONTH($L201,0)))),AND(INDEX('1 Budget annuel'!$E$14:$E$43,COLUMN()-COLUMN($X$42)+1)="Trimestrielle",MOD((YEAR($L201)-YEAR(INDEX('1 Budget annuel'!$L$14:$L$43,COLUMN()-COLUMN($X$42)+1)))*12+MONTH($L201)-MONTH(INDEX('1 Budget annuel'!$L$14:$L$43,COLUMN()-COLUMN($X$42)+1)),3)=0,DAY($L201)=MIN(DAY(INDEX('1 Budget annuel'!$L$14:$L$43,COLUMN()-COLUMN($X$42)+1)),DAY(EOMONTH($L201,0)))),AND(INDEX('1 Budget annuel'!$E$14:$E$43,COLUMN()-COLUMN($X$42)+1)="Semestrielle",MOD((YEAR($L201)-YEAR(INDEX('1 Budget annuel'!$L$14:$L$43,COLUMN()-COLUMN($X$42)+1)))*12+MONTH($L201)-MONTH(INDEX('1 Budget annuel'!$L$14:$L$43,COLUMN()-COLUMN($X$42)+1)),6)=0,DAY($L201)=MIN(DAY(INDEX('1 Budget annuel'!$L$14:$L$43,COLUMN()-COLUMN($X$42)+1)),DAY(EOMONTH($L201,0)))),AND(INDEX('1 Budget annuel'!$E$14:$E$43,COLUMN()-COLUMN($X$42)+1)="Annuelle",MOD((YEAR($L201)-YEAR(INDEX('1 Budget annuel'!$L$14:$L$43,COLUMN()-COLUMN($X$42)+1)))*12+MONTH($L201)-MONTH(INDEX('1 Budget annuel'!$L$14:$L$43,COLUMN()-COLUMN($X$42)+1)),12)=0,DAY($L201)=MIN(DAY(INDEX('1 Budget annuel'!$L$14:$L$43,COLUMN()-COLUMN($X$42)+1)),DAY(EOMONTH($L201,0))))),IF(INDEX('1 Budget annuel'!$B$14:$B$43,COLUMN()-COLUMN($X$42)+1)="Entrée",INDEX('1 Budget annuel'!$I$14:$I$43,COLUMN()-COLUMN($X$42)+1),-INDEX('1 Budget annuel'!$I$14:$I$43,COLUMN()-COLUMN($X$42)+1)),0))</x:f>
        <x:v>0</x:v>
      </x:c>
    </x:row>
    <x:row r="202">
      <x:c r="L202" s="114" t="n">
        <x:f>L201+1</x:f>
        <x:v>46396</x:v>
      </x:c>
      <x:c r="M202" s="115" t="b">
        <x:f>AND(L202&gt;=$D$5,L202&lt;=$D$5+363,MOD(L202-$D$5,7)=0)</x:f>
        <x:v>1</x:v>
      </x:c>
      <x:c r="N202" s="116" t="n">
        <x:f>SUM(X202:BA202)</x:f>
        <x:v>0</x:v>
      </x:c>
      <x:c r="O202" s="116" t="n">
        <x:f>IF(M202,$D$10,0)</x:f>
        <x:v>0</x:v>
      </x:c>
      <x:c r="P202" s="116" t="n">
        <x:f>N202-O202</x:f>
        <x:v>0</x:v>
      </x:c>
      <x:c r="Q202" s="116" t="n">
        <x:f>IF(L202&lt;$D$5,0,IF(L202=$D$5,P202,Q201+P202))</x:f>
        <x:v>0</x:v>
      </x:c>
      <x:c r="R202" s="116" t="n">
        <x:f>IF(L202&lt;$D$5,"",$J$10+Q202)</x:f>
        <x:v>0</x:v>
      </x:c>
      <x:c r="S202" s="116" t="n">
        <x:f>IF($L202&lt;$D$5,"",IF($L202=$D$5,$J$10+$N202-IF($M202,IF(INT(($L202-$D$5)/7)&lt;$A$20,$B$20,$D$10),0),S201+$N202-IF($M202,IF(INT(($L202-$D$5)/7)&lt;$A$20,$B$20,$D$10),0)))</x:f>
        <x:v>0</x:v>
      </x:c>
      <x:c r="T202" s="116" t="n">
        <x:f>IF($L202&lt;$D$5,"",IF($L202=$D$5,$J$10+$N202-IF($M202,IF(INT(($L202-$D$5)/7)&lt;$A$21,$B$21,$D$10),0),T201+$N202-IF($M202,IF(INT(($L202-$D$5)/7)&lt;$A$21,$B$21,$D$10),0)))</x:f>
        <x:v>0</x:v>
      </x:c>
      <x:c r="U202" s="116" t="n">
        <x:f>IF($L202&lt;$D$5,"",IF($L202=$D$5,$J$10+$N202-IF($M202,IF(INT(($L202-$D$5)/7)&lt;$A$22,$B$22,$D$10),0),U201+$N202-IF($M202,IF(INT(($L202-$D$5)/7)&lt;$A$22,$B$22,$D$10),0)))</x:f>
        <x:v>0</x:v>
      </x:c>
      <x:c r="V202" s="116" t="n">
        <x:f>IF($L202&lt;$D$5,"",IF($L202=$D$5,$J$10+$N202-IF($M202,IF(INT(($L202-$D$5)/7)&lt;$A$23,$B$23,$D$10),0),V201+$N202-IF($M202,IF(INT(($L202-$D$5)/7)&lt;$A$23,$B$23,$D$10),0)))</x:f>
        <x:v>0</x:v>
      </x:c>
      <x:c r="W202" s="116" t="n">
        <x:f>IF($L202&lt;$D$5,"",IF($L202=$D$5,$J$10+$N202-IF($M202,IF(INT(($L202-$D$5)/7)&lt;$A$24,$B$24,$D$10),0),W201+$N202-IF($M202,IF(INT(($L202-$D$5)/7)&lt;$A$24,$B$24,$D$10),0)))</x:f>
        <x:v>0</x:v>
      </x:c>
      <x:c r="X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Y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Z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A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B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C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D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E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F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G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H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I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J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K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L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M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N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O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P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Q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R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S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T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U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V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W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X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Y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AZ202" s="116"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c r="BA202" s="117" t="n">
        <x:f>IF(OR(INDEX('1 Budget annuel'!$A$14:$A$43,COLUMN()-COLUMN($X$42)+1)&lt;&gt;"Oui",INDEX('1 Budget annuel'!$L$14:$L$43,COLUMN()-COLUMN($X$42)+1)="",AND(INDEX('1 Budget annuel'!$B$14:$B$43,COLUMN()-COLUMN($X$42)+1)="Sortie",INDEX('1 Budget annuel'!$M$14:$M$43,COLUMN()-COLUMN($X$42)+1)="Oui"),$L202&lt;INDEX('1 Budget annuel'!$L$14:$L$43,COLUMN()-COLUMN($X$42)+1),$L202&gt;$D$5+363),0,IF(OR(AND(INDEX('1 Budget annuel'!$E$14:$E$43,COLUMN()-COLUMN($X$42)+1)="Hebdomadaire",MOD($L202-INDEX('1 Budget annuel'!$L$14:$L$43,COLUMN()-COLUMN($X$42)+1),7)=0),AND(INDEX('1 Budget annuel'!$E$14:$E$43,COLUMN()-COLUMN($X$42)+1)="Toutes les 4 semaines",MOD($L202-INDEX('1 Budget annuel'!$L$14:$L$43,COLUMN()-COLUMN($X$42)+1),28)=0),AND(INDEX('1 Budget annuel'!$E$14:$E$43,COLUMN()-COLUMN($X$42)+1)="Mensuelle",DAY($L202)=MIN(DAY(INDEX('1 Budget annuel'!$L$14:$L$43,COLUMN()-COLUMN($X$42)+1)),DAY(EOMONTH($L202,0)))),AND(INDEX('1 Budget annuel'!$E$14:$E$43,COLUMN()-COLUMN($X$42)+1)="Trimestrielle",MOD((YEAR($L202)-YEAR(INDEX('1 Budget annuel'!$L$14:$L$43,COLUMN()-COLUMN($X$42)+1)))*12+MONTH($L202)-MONTH(INDEX('1 Budget annuel'!$L$14:$L$43,COLUMN()-COLUMN($X$42)+1)),3)=0,DAY($L202)=MIN(DAY(INDEX('1 Budget annuel'!$L$14:$L$43,COLUMN()-COLUMN($X$42)+1)),DAY(EOMONTH($L202,0)))),AND(INDEX('1 Budget annuel'!$E$14:$E$43,COLUMN()-COLUMN($X$42)+1)="Semestrielle",MOD((YEAR($L202)-YEAR(INDEX('1 Budget annuel'!$L$14:$L$43,COLUMN()-COLUMN($X$42)+1)))*12+MONTH($L202)-MONTH(INDEX('1 Budget annuel'!$L$14:$L$43,COLUMN()-COLUMN($X$42)+1)),6)=0,DAY($L202)=MIN(DAY(INDEX('1 Budget annuel'!$L$14:$L$43,COLUMN()-COLUMN($X$42)+1)),DAY(EOMONTH($L202,0)))),AND(INDEX('1 Budget annuel'!$E$14:$E$43,COLUMN()-COLUMN($X$42)+1)="Annuelle",MOD((YEAR($L202)-YEAR(INDEX('1 Budget annuel'!$L$14:$L$43,COLUMN()-COLUMN($X$42)+1)))*12+MONTH($L202)-MONTH(INDEX('1 Budget annuel'!$L$14:$L$43,COLUMN()-COLUMN($X$42)+1)),12)=0,DAY($L202)=MIN(DAY(INDEX('1 Budget annuel'!$L$14:$L$43,COLUMN()-COLUMN($X$42)+1)),DAY(EOMONTH($L202,0))))),IF(INDEX('1 Budget annuel'!$B$14:$B$43,COLUMN()-COLUMN($X$42)+1)="Entrée",INDEX('1 Budget annuel'!$I$14:$I$43,COLUMN()-COLUMN($X$42)+1),-INDEX('1 Budget annuel'!$I$14:$I$43,COLUMN()-COLUMN($X$42)+1)),0))</x:f>
        <x:v>0</x:v>
      </x:c>
    </x:row>
    <x:row r="203">
      <x:c r="L203" s="114" t="n">
        <x:f>L202+1</x:f>
        <x:v>46397</x:v>
      </x:c>
      <x:c r="M203" s="115" t="b">
        <x:f>AND(L203&gt;=$D$5,L203&lt;=$D$5+363,MOD(L203-$D$5,7)=0)</x:f>
        <x:v>0</x:v>
      </x:c>
      <x:c r="N203" s="116" t="n">
        <x:f>SUM(X203:BA203)</x:f>
        <x:v>0</x:v>
      </x:c>
      <x:c r="O203" s="116" t="n">
        <x:f>IF(M203,$D$10,0)</x:f>
        <x:v>0</x:v>
      </x:c>
      <x:c r="P203" s="116" t="n">
        <x:f>N203-O203</x:f>
        <x:v>0</x:v>
      </x:c>
      <x:c r="Q203" s="116" t="n">
        <x:f>IF(L203&lt;$D$5,0,IF(L203=$D$5,P203,Q202+P203))</x:f>
        <x:v>0</x:v>
      </x:c>
      <x:c r="R203" s="116" t="n">
        <x:f>IF(L203&lt;$D$5,"",$J$10+Q203)</x:f>
        <x:v>0</x:v>
      </x:c>
      <x:c r="S203" s="116" t="n">
        <x:f>IF($L203&lt;$D$5,"",IF($L203=$D$5,$J$10+$N203-IF($M203,IF(INT(($L203-$D$5)/7)&lt;$A$20,$B$20,$D$10),0),S202+$N203-IF($M203,IF(INT(($L203-$D$5)/7)&lt;$A$20,$B$20,$D$10),0)))</x:f>
        <x:v>0</x:v>
      </x:c>
      <x:c r="T203" s="116" t="n">
        <x:f>IF($L203&lt;$D$5,"",IF($L203=$D$5,$J$10+$N203-IF($M203,IF(INT(($L203-$D$5)/7)&lt;$A$21,$B$21,$D$10),0),T202+$N203-IF($M203,IF(INT(($L203-$D$5)/7)&lt;$A$21,$B$21,$D$10),0)))</x:f>
        <x:v>0</x:v>
      </x:c>
      <x:c r="U203" s="116" t="n">
        <x:f>IF($L203&lt;$D$5,"",IF($L203=$D$5,$J$10+$N203-IF($M203,IF(INT(($L203-$D$5)/7)&lt;$A$22,$B$22,$D$10),0),U202+$N203-IF($M203,IF(INT(($L203-$D$5)/7)&lt;$A$22,$B$22,$D$10),0)))</x:f>
        <x:v>0</x:v>
      </x:c>
      <x:c r="V203" s="116" t="n">
        <x:f>IF($L203&lt;$D$5,"",IF($L203=$D$5,$J$10+$N203-IF($M203,IF(INT(($L203-$D$5)/7)&lt;$A$23,$B$23,$D$10),0),V202+$N203-IF($M203,IF(INT(($L203-$D$5)/7)&lt;$A$23,$B$23,$D$10),0)))</x:f>
        <x:v>0</x:v>
      </x:c>
      <x:c r="W203" s="116" t="n">
        <x:f>IF($L203&lt;$D$5,"",IF($L203=$D$5,$J$10+$N203-IF($M203,IF(INT(($L203-$D$5)/7)&lt;$A$24,$B$24,$D$10),0),W202+$N203-IF($M203,IF(INT(($L203-$D$5)/7)&lt;$A$24,$B$24,$D$10),0)))</x:f>
        <x:v>0</x:v>
      </x:c>
      <x:c r="X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Y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Z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A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B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C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D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E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F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G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H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I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J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K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L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M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N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O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P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Q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R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S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T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U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V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W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X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Y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AZ203" s="116"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c r="BA203" s="117" t="n">
        <x:f>IF(OR(INDEX('1 Budget annuel'!$A$14:$A$43,COLUMN()-COLUMN($X$42)+1)&lt;&gt;"Oui",INDEX('1 Budget annuel'!$L$14:$L$43,COLUMN()-COLUMN($X$42)+1)="",AND(INDEX('1 Budget annuel'!$B$14:$B$43,COLUMN()-COLUMN($X$42)+1)="Sortie",INDEX('1 Budget annuel'!$M$14:$M$43,COLUMN()-COLUMN($X$42)+1)="Oui"),$L203&lt;INDEX('1 Budget annuel'!$L$14:$L$43,COLUMN()-COLUMN($X$42)+1),$L203&gt;$D$5+363),0,IF(OR(AND(INDEX('1 Budget annuel'!$E$14:$E$43,COLUMN()-COLUMN($X$42)+1)="Hebdomadaire",MOD($L203-INDEX('1 Budget annuel'!$L$14:$L$43,COLUMN()-COLUMN($X$42)+1),7)=0),AND(INDEX('1 Budget annuel'!$E$14:$E$43,COLUMN()-COLUMN($X$42)+1)="Toutes les 4 semaines",MOD($L203-INDEX('1 Budget annuel'!$L$14:$L$43,COLUMN()-COLUMN($X$42)+1),28)=0),AND(INDEX('1 Budget annuel'!$E$14:$E$43,COLUMN()-COLUMN($X$42)+1)="Mensuelle",DAY($L203)=MIN(DAY(INDEX('1 Budget annuel'!$L$14:$L$43,COLUMN()-COLUMN($X$42)+1)),DAY(EOMONTH($L203,0)))),AND(INDEX('1 Budget annuel'!$E$14:$E$43,COLUMN()-COLUMN($X$42)+1)="Trimestrielle",MOD((YEAR($L203)-YEAR(INDEX('1 Budget annuel'!$L$14:$L$43,COLUMN()-COLUMN($X$42)+1)))*12+MONTH($L203)-MONTH(INDEX('1 Budget annuel'!$L$14:$L$43,COLUMN()-COLUMN($X$42)+1)),3)=0,DAY($L203)=MIN(DAY(INDEX('1 Budget annuel'!$L$14:$L$43,COLUMN()-COLUMN($X$42)+1)),DAY(EOMONTH($L203,0)))),AND(INDEX('1 Budget annuel'!$E$14:$E$43,COLUMN()-COLUMN($X$42)+1)="Semestrielle",MOD((YEAR($L203)-YEAR(INDEX('1 Budget annuel'!$L$14:$L$43,COLUMN()-COLUMN($X$42)+1)))*12+MONTH($L203)-MONTH(INDEX('1 Budget annuel'!$L$14:$L$43,COLUMN()-COLUMN($X$42)+1)),6)=0,DAY($L203)=MIN(DAY(INDEX('1 Budget annuel'!$L$14:$L$43,COLUMN()-COLUMN($X$42)+1)),DAY(EOMONTH($L203,0)))),AND(INDEX('1 Budget annuel'!$E$14:$E$43,COLUMN()-COLUMN($X$42)+1)="Annuelle",MOD((YEAR($L203)-YEAR(INDEX('1 Budget annuel'!$L$14:$L$43,COLUMN()-COLUMN($X$42)+1)))*12+MONTH($L203)-MONTH(INDEX('1 Budget annuel'!$L$14:$L$43,COLUMN()-COLUMN($X$42)+1)),12)=0,DAY($L203)=MIN(DAY(INDEX('1 Budget annuel'!$L$14:$L$43,COLUMN()-COLUMN($X$42)+1)),DAY(EOMONTH($L203,0))))),IF(INDEX('1 Budget annuel'!$B$14:$B$43,COLUMN()-COLUMN($X$42)+1)="Entrée",INDEX('1 Budget annuel'!$I$14:$I$43,COLUMN()-COLUMN($X$42)+1),-INDEX('1 Budget annuel'!$I$14:$I$43,COLUMN()-COLUMN($X$42)+1)),0))</x:f>
        <x:v>0</x:v>
      </x:c>
    </x:row>
    <x:row r="204">
      <x:c r="L204" s="114" t="n">
        <x:f>L203+1</x:f>
        <x:v>46398</x:v>
      </x:c>
      <x:c r="M204" s="115" t="b">
        <x:f>AND(L204&gt;=$D$5,L204&lt;=$D$5+363,MOD(L204-$D$5,7)=0)</x:f>
        <x:v>0</x:v>
      </x:c>
      <x:c r="N204" s="116" t="n">
        <x:f>SUM(X204:BA204)</x:f>
        <x:v>0</x:v>
      </x:c>
      <x:c r="O204" s="116" t="n">
        <x:f>IF(M204,$D$10,0)</x:f>
        <x:v>0</x:v>
      </x:c>
      <x:c r="P204" s="116" t="n">
        <x:f>N204-O204</x:f>
        <x:v>0</x:v>
      </x:c>
      <x:c r="Q204" s="116" t="n">
        <x:f>IF(L204&lt;$D$5,0,IF(L204=$D$5,P204,Q203+P204))</x:f>
        <x:v>0</x:v>
      </x:c>
      <x:c r="R204" s="116" t="n">
        <x:f>IF(L204&lt;$D$5,"",$J$10+Q204)</x:f>
        <x:v>0</x:v>
      </x:c>
      <x:c r="S204" s="116" t="n">
        <x:f>IF($L204&lt;$D$5,"",IF($L204=$D$5,$J$10+$N204-IF($M204,IF(INT(($L204-$D$5)/7)&lt;$A$20,$B$20,$D$10),0),S203+$N204-IF($M204,IF(INT(($L204-$D$5)/7)&lt;$A$20,$B$20,$D$10),0)))</x:f>
        <x:v>0</x:v>
      </x:c>
      <x:c r="T204" s="116" t="n">
        <x:f>IF($L204&lt;$D$5,"",IF($L204=$D$5,$J$10+$N204-IF($M204,IF(INT(($L204-$D$5)/7)&lt;$A$21,$B$21,$D$10),0),T203+$N204-IF($M204,IF(INT(($L204-$D$5)/7)&lt;$A$21,$B$21,$D$10),0)))</x:f>
        <x:v>0</x:v>
      </x:c>
      <x:c r="U204" s="116" t="n">
        <x:f>IF($L204&lt;$D$5,"",IF($L204=$D$5,$J$10+$N204-IF($M204,IF(INT(($L204-$D$5)/7)&lt;$A$22,$B$22,$D$10),0),U203+$N204-IF($M204,IF(INT(($L204-$D$5)/7)&lt;$A$22,$B$22,$D$10),0)))</x:f>
        <x:v>0</x:v>
      </x:c>
      <x:c r="V204" s="116" t="n">
        <x:f>IF($L204&lt;$D$5,"",IF($L204=$D$5,$J$10+$N204-IF($M204,IF(INT(($L204-$D$5)/7)&lt;$A$23,$B$23,$D$10),0),V203+$N204-IF($M204,IF(INT(($L204-$D$5)/7)&lt;$A$23,$B$23,$D$10),0)))</x:f>
        <x:v>0</x:v>
      </x:c>
      <x:c r="W204" s="116" t="n">
        <x:f>IF($L204&lt;$D$5,"",IF($L204=$D$5,$J$10+$N204-IF($M204,IF(INT(($L204-$D$5)/7)&lt;$A$24,$B$24,$D$10),0),W203+$N204-IF($M204,IF(INT(($L204-$D$5)/7)&lt;$A$24,$B$24,$D$10),0)))</x:f>
        <x:v>0</x:v>
      </x:c>
      <x:c r="X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Y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Z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A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B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C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D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E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F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G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H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I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J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K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L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M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N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O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P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Q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R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S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T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U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V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W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X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Y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AZ204" s="116"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c r="BA204" s="117" t="n">
        <x:f>IF(OR(INDEX('1 Budget annuel'!$A$14:$A$43,COLUMN()-COLUMN($X$42)+1)&lt;&gt;"Oui",INDEX('1 Budget annuel'!$L$14:$L$43,COLUMN()-COLUMN($X$42)+1)="",AND(INDEX('1 Budget annuel'!$B$14:$B$43,COLUMN()-COLUMN($X$42)+1)="Sortie",INDEX('1 Budget annuel'!$M$14:$M$43,COLUMN()-COLUMN($X$42)+1)="Oui"),$L204&lt;INDEX('1 Budget annuel'!$L$14:$L$43,COLUMN()-COLUMN($X$42)+1),$L204&gt;$D$5+363),0,IF(OR(AND(INDEX('1 Budget annuel'!$E$14:$E$43,COLUMN()-COLUMN($X$42)+1)="Hebdomadaire",MOD($L204-INDEX('1 Budget annuel'!$L$14:$L$43,COLUMN()-COLUMN($X$42)+1),7)=0),AND(INDEX('1 Budget annuel'!$E$14:$E$43,COLUMN()-COLUMN($X$42)+1)="Toutes les 4 semaines",MOD($L204-INDEX('1 Budget annuel'!$L$14:$L$43,COLUMN()-COLUMN($X$42)+1),28)=0),AND(INDEX('1 Budget annuel'!$E$14:$E$43,COLUMN()-COLUMN($X$42)+1)="Mensuelle",DAY($L204)=MIN(DAY(INDEX('1 Budget annuel'!$L$14:$L$43,COLUMN()-COLUMN($X$42)+1)),DAY(EOMONTH($L204,0)))),AND(INDEX('1 Budget annuel'!$E$14:$E$43,COLUMN()-COLUMN($X$42)+1)="Trimestrielle",MOD((YEAR($L204)-YEAR(INDEX('1 Budget annuel'!$L$14:$L$43,COLUMN()-COLUMN($X$42)+1)))*12+MONTH($L204)-MONTH(INDEX('1 Budget annuel'!$L$14:$L$43,COLUMN()-COLUMN($X$42)+1)),3)=0,DAY($L204)=MIN(DAY(INDEX('1 Budget annuel'!$L$14:$L$43,COLUMN()-COLUMN($X$42)+1)),DAY(EOMONTH($L204,0)))),AND(INDEX('1 Budget annuel'!$E$14:$E$43,COLUMN()-COLUMN($X$42)+1)="Semestrielle",MOD((YEAR($L204)-YEAR(INDEX('1 Budget annuel'!$L$14:$L$43,COLUMN()-COLUMN($X$42)+1)))*12+MONTH($L204)-MONTH(INDEX('1 Budget annuel'!$L$14:$L$43,COLUMN()-COLUMN($X$42)+1)),6)=0,DAY($L204)=MIN(DAY(INDEX('1 Budget annuel'!$L$14:$L$43,COLUMN()-COLUMN($X$42)+1)),DAY(EOMONTH($L204,0)))),AND(INDEX('1 Budget annuel'!$E$14:$E$43,COLUMN()-COLUMN($X$42)+1)="Annuelle",MOD((YEAR($L204)-YEAR(INDEX('1 Budget annuel'!$L$14:$L$43,COLUMN()-COLUMN($X$42)+1)))*12+MONTH($L204)-MONTH(INDEX('1 Budget annuel'!$L$14:$L$43,COLUMN()-COLUMN($X$42)+1)),12)=0,DAY($L204)=MIN(DAY(INDEX('1 Budget annuel'!$L$14:$L$43,COLUMN()-COLUMN($X$42)+1)),DAY(EOMONTH($L204,0))))),IF(INDEX('1 Budget annuel'!$B$14:$B$43,COLUMN()-COLUMN($X$42)+1)="Entrée",INDEX('1 Budget annuel'!$I$14:$I$43,COLUMN()-COLUMN($X$42)+1),-INDEX('1 Budget annuel'!$I$14:$I$43,COLUMN()-COLUMN($X$42)+1)),0))</x:f>
        <x:v>0</x:v>
      </x:c>
    </x:row>
    <x:row r="205">
      <x:c r="L205" s="114" t="n">
        <x:f>L204+1</x:f>
        <x:v>46399</x:v>
      </x:c>
      <x:c r="M205" s="115" t="b">
        <x:f>AND(L205&gt;=$D$5,L205&lt;=$D$5+363,MOD(L205-$D$5,7)=0)</x:f>
        <x:v>0</x:v>
      </x:c>
      <x:c r="N205" s="116" t="n">
        <x:f>SUM(X205:BA205)</x:f>
        <x:v>0</x:v>
      </x:c>
      <x:c r="O205" s="116" t="n">
        <x:f>IF(M205,$D$10,0)</x:f>
        <x:v>0</x:v>
      </x:c>
      <x:c r="P205" s="116" t="n">
        <x:f>N205-O205</x:f>
        <x:v>0</x:v>
      </x:c>
      <x:c r="Q205" s="116" t="n">
        <x:f>IF(L205&lt;$D$5,0,IF(L205=$D$5,P205,Q204+P205))</x:f>
        <x:v>0</x:v>
      </x:c>
      <x:c r="R205" s="116" t="n">
        <x:f>IF(L205&lt;$D$5,"",$J$10+Q205)</x:f>
        <x:v>0</x:v>
      </x:c>
      <x:c r="S205" s="116" t="n">
        <x:f>IF($L205&lt;$D$5,"",IF($L205=$D$5,$J$10+$N205-IF($M205,IF(INT(($L205-$D$5)/7)&lt;$A$20,$B$20,$D$10),0),S204+$N205-IF($M205,IF(INT(($L205-$D$5)/7)&lt;$A$20,$B$20,$D$10),0)))</x:f>
        <x:v>0</x:v>
      </x:c>
      <x:c r="T205" s="116" t="n">
        <x:f>IF($L205&lt;$D$5,"",IF($L205=$D$5,$J$10+$N205-IF($M205,IF(INT(($L205-$D$5)/7)&lt;$A$21,$B$21,$D$10),0),T204+$N205-IF($M205,IF(INT(($L205-$D$5)/7)&lt;$A$21,$B$21,$D$10),0)))</x:f>
        <x:v>0</x:v>
      </x:c>
      <x:c r="U205" s="116" t="n">
        <x:f>IF($L205&lt;$D$5,"",IF($L205=$D$5,$J$10+$N205-IF($M205,IF(INT(($L205-$D$5)/7)&lt;$A$22,$B$22,$D$10),0),U204+$N205-IF($M205,IF(INT(($L205-$D$5)/7)&lt;$A$22,$B$22,$D$10),0)))</x:f>
        <x:v>0</x:v>
      </x:c>
      <x:c r="V205" s="116" t="n">
        <x:f>IF($L205&lt;$D$5,"",IF($L205=$D$5,$J$10+$N205-IF($M205,IF(INT(($L205-$D$5)/7)&lt;$A$23,$B$23,$D$10),0),V204+$N205-IF($M205,IF(INT(($L205-$D$5)/7)&lt;$A$23,$B$23,$D$10),0)))</x:f>
        <x:v>0</x:v>
      </x:c>
      <x:c r="W205" s="116" t="n">
        <x:f>IF($L205&lt;$D$5,"",IF($L205=$D$5,$J$10+$N205-IF($M205,IF(INT(($L205-$D$5)/7)&lt;$A$24,$B$24,$D$10),0),W204+$N205-IF($M205,IF(INT(($L205-$D$5)/7)&lt;$A$24,$B$24,$D$10),0)))</x:f>
        <x:v>0</x:v>
      </x:c>
      <x:c r="X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Y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Z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A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B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C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D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E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F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G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H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I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J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K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L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M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N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O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P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Q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R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S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T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U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V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W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X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Y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AZ205" s="116"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c r="BA205" s="117" t="n">
        <x:f>IF(OR(INDEX('1 Budget annuel'!$A$14:$A$43,COLUMN()-COLUMN($X$42)+1)&lt;&gt;"Oui",INDEX('1 Budget annuel'!$L$14:$L$43,COLUMN()-COLUMN($X$42)+1)="",AND(INDEX('1 Budget annuel'!$B$14:$B$43,COLUMN()-COLUMN($X$42)+1)="Sortie",INDEX('1 Budget annuel'!$M$14:$M$43,COLUMN()-COLUMN($X$42)+1)="Oui"),$L205&lt;INDEX('1 Budget annuel'!$L$14:$L$43,COLUMN()-COLUMN($X$42)+1),$L205&gt;$D$5+363),0,IF(OR(AND(INDEX('1 Budget annuel'!$E$14:$E$43,COLUMN()-COLUMN($X$42)+1)="Hebdomadaire",MOD($L205-INDEX('1 Budget annuel'!$L$14:$L$43,COLUMN()-COLUMN($X$42)+1),7)=0),AND(INDEX('1 Budget annuel'!$E$14:$E$43,COLUMN()-COLUMN($X$42)+1)="Toutes les 4 semaines",MOD($L205-INDEX('1 Budget annuel'!$L$14:$L$43,COLUMN()-COLUMN($X$42)+1),28)=0),AND(INDEX('1 Budget annuel'!$E$14:$E$43,COLUMN()-COLUMN($X$42)+1)="Mensuelle",DAY($L205)=MIN(DAY(INDEX('1 Budget annuel'!$L$14:$L$43,COLUMN()-COLUMN($X$42)+1)),DAY(EOMONTH($L205,0)))),AND(INDEX('1 Budget annuel'!$E$14:$E$43,COLUMN()-COLUMN($X$42)+1)="Trimestrielle",MOD((YEAR($L205)-YEAR(INDEX('1 Budget annuel'!$L$14:$L$43,COLUMN()-COLUMN($X$42)+1)))*12+MONTH($L205)-MONTH(INDEX('1 Budget annuel'!$L$14:$L$43,COLUMN()-COLUMN($X$42)+1)),3)=0,DAY($L205)=MIN(DAY(INDEX('1 Budget annuel'!$L$14:$L$43,COLUMN()-COLUMN($X$42)+1)),DAY(EOMONTH($L205,0)))),AND(INDEX('1 Budget annuel'!$E$14:$E$43,COLUMN()-COLUMN($X$42)+1)="Semestrielle",MOD((YEAR($L205)-YEAR(INDEX('1 Budget annuel'!$L$14:$L$43,COLUMN()-COLUMN($X$42)+1)))*12+MONTH($L205)-MONTH(INDEX('1 Budget annuel'!$L$14:$L$43,COLUMN()-COLUMN($X$42)+1)),6)=0,DAY($L205)=MIN(DAY(INDEX('1 Budget annuel'!$L$14:$L$43,COLUMN()-COLUMN($X$42)+1)),DAY(EOMONTH($L205,0)))),AND(INDEX('1 Budget annuel'!$E$14:$E$43,COLUMN()-COLUMN($X$42)+1)="Annuelle",MOD((YEAR($L205)-YEAR(INDEX('1 Budget annuel'!$L$14:$L$43,COLUMN()-COLUMN($X$42)+1)))*12+MONTH($L205)-MONTH(INDEX('1 Budget annuel'!$L$14:$L$43,COLUMN()-COLUMN($X$42)+1)),12)=0,DAY($L205)=MIN(DAY(INDEX('1 Budget annuel'!$L$14:$L$43,COLUMN()-COLUMN($X$42)+1)),DAY(EOMONTH($L205,0))))),IF(INDEX('1 Budget annuel'!$B$14:$B$43,COLUMN()-COLUMN($X$42)+1)="Entrée",INDEX('1 Budget annuel'!$I$14:$I$43,COLUMN()-COLUMN($X$42)+1),-INDEX('1 Budget annuel'!$I$14:$I$43,COLUMN()-COLUMN($X$42)+1)),0))</x:f>
        <x:v>0</x:v>
      </x:c>
    </x:row>
    <x:row r="206">
      <x:c r="L206" s="114" t="n">
        <x:f>L205+1</x:f>
        <x:v>46400</x:v>
      </x:c>
      <x:c r="M206" s="115" t="b">
        <x:f>AND(L206&gt;=$D$5,L206&lt;=$D$5+363,MOD(L206-$D$5,7)=0)</x:f>
        <x:v>0</x:v>
      </x:c>
      <x:c r="N206" s="116" t="n">
        <x:f>SUM(X206:BA206)</x:f>
        <x:v>0</x:v>
      </x:c>
      <x:c r="O206" s="116" t="n">
        <x:f>IF(M206,$D$10,0)</x:f>
        <x:v>0</x:v>
      </x:c>
      <x:c r="P206" s="116" t="n">
        <x:f>N206-O206</x:f>
        <x:v>0</x:v>
      </x:c>
      <x:c r="Q206" s="116" t="n">
        <x:f>IF(L206&lt;$D$5,0,IF(L206=$D$5,P206,Q205+P206))</x:f>
        <x:v>0</x:v>
      </x:c>
      <x:c r="R206" s="116" t="n">
        <x:f>IF(L206&lt;$D$5,"",$J$10+Q206)</x:f>
        <x:v>0</x:v>
      </x:c>
      <x:c r="S206" s="116" t="n">
        <x:f>IF($L206&lt;$D$5,"",IF($L206=$D$5,$J$10+$N206-IF($M206,IF(INT(($L206-$D$5)/7)&lt;$A$20,$B$20,$D$10),0),S205+$N206-IF($M206,IF(INT(($L206-$D$5)/7)&lt;$A$20,$B$20,$D$10),0)))</x:f>
        <x:v>0</x:v>
      </x:c>
      <x:c r="T206" s="116" t="n">
        <x:f>IF($L206&lt;$D$5,"",IF($L206=$D$5,$J$10+$N206-IF($M206,IF(INT(($L206-$D$5)/7)&lt;$A$21,$B$21,$D$10),0),T205+$N206-IF($M206,IF(INT(($L206-$D$5)/7)&lt;$A$21,$B$21,$D$10),0)))</x:f>
        <x:v>0</x:v>
      </x:c>
      <x:c r="U206" s="116" t="n">
        <x:f>IF($L206&lt;$D$5,"",IF($L206=$D$5,$J$10+$N206-IF($M206,IF(INT(($L206-$D$5)/7)&lt;$A$22,$B$22,$D$10),0),U205+$N206-IF($M206,IF(INT(($L206-$D$5)/7)&lt;$A$22,$B$22,$D$10),0)))</x:f>
        <x:v>0</x:v>
      </x:c>
      <x:c r="V206" s="116" t="n">
        <x:f>IF($L206&lt;$D$5,"",IF($L206=$D$5,$J$10+$N206-IF($M206,IF(INT(($L206-$D$5)/7)&lt;$A$23,$B$23,$D$10),0),V205+$N206-IF($M206,IF(INT(($L206-$D$5)/7)&lt;$A$23,$B$23,$D$10),0)))</x:f>
        <x:v>0</x:v>
      </x:c>
      <x:c r="W206" s="116" t="n">
        <x:f>IF($L206&lt;$D$5,"",IF($L206=$D$5,$J$10+$N206-IF($M206,IF(INT(($L206-$D$5)/7)&lt;$A$24,$B$24,$D$10),0),W205+$N206-IF($M206,IF(INT(($L206-$D$5)/7)&lt;$A$24,$B$24,$D$10),0)))</x:f>
        <x:v>0</x:v>
      </x:c>
      <x:c r="X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Y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Z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A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B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C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D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E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F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G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H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I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J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K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L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M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N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O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P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Q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R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S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T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U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V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W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X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Y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AZ206" s="116"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c r="BA206" s="117" t="n">
        <x:f>IF(OR(INDEX('1 Budget annuel'!$A$14:$A$43,COLUMN()-COLUMN($X$42)+1)&lt;&gt;"Oui",INDEX('1 Budget annuel'!$L$14:$L$43,COLUMN()-COLUMN($X$42)+1)="",AND(INDEX('1 Budget annuel'!$B$14:$B$43,COLUMN()-COLUMN($X$42)+1)="Sortie",INDEX('1 Budget annuel'!$M$14:$M$43,COLUMN()-COLUMN($X$42)+1)="Oui"),$L206&lt;INDEX('1 Budget annuel'!$L$14:$L$43,COLUMN()-COLUMN($X$42)+1),$L206&gt;$D$5+363),0,IF(OR(AND(INDEX('1 Budget annuel'!$E$14:$E$43,COLUMN()-COLUMN($X$42)+1)="Hebdomadaire",MOD($L206-INDEX('1 Budget annuel'!$L$14:$L$43,COLUMN()-COLUMN($X$42)+1),7)=0),AND(INDEX('1 Budget annuel'!$E$14:$E$43,COLUMN()-COLUMN($X$42)+1)="Toutes les 4 semaines",MOD($L206-INDEX('1 Budget annuel'!$L$14:$L$43,COLUMN()-COLUMN($X$42)+1),28)=0),AND(INDEX('1 Budget annuel'!$E$14:$E$43,COLUMN()-COLUMN($X$42)+1)="Mensuelle",DAY($L206)=MIN(DAY(INDEX('1 Budget annuel'!$L$14:$L$43,COLUMN()-COLUMN($X$42)+1)),DAY(EOMONTH($L206,0)))),AND(INDEX('1 Budget annuel'!$E$14:$E$43,COLUMN()-COLUMN($X$42)+1)="Trimestrielle",MOD((YEAR($L206)-YEAR(INDEX('1 Budget annuel'!$L$14:$L$43,COLUMN()-COLUMN($X$42)+1)))*12+MONTH($L206)-MONTH(INDEX('1 Budget annuel'!$L$14:$L$43,COLUMN()-COLUMN($X$42)+1)),3)=0,DAY($L206)=MIN(DAY(INDEX('1 Budget annuel'!$L$14:$L$43,COLUMN()-COLUMN($X$42)+1)),DAY(EOMONTH($L206,0)))),AND(INDEX('1 Budget annuel'!$E$14:$E$43,COLUMN()-COLUMN($X$42)+1)="Semestrielle",MOD((YEAR($L206)-YEAR(INDEX('1 Budget annuel'!$L$14:$L$43,COLUMN()-COLUMN($X$42)+1)))*12+MONTH($L206)-MONTH(INDEX('1 Budget annuel'!$L$14:$L$43,COLUMN()-COLUMN($X$42)+1)),6)=0,DAY($L206)=MIN(DAY(INDEX('1 Budget annuel'!$L$14:$L$43,COLUMN()-COLUMN($X$42)+1)),DAY(EOMONTH($L206,0)))),AND(INDEX('1 Budget annuel'!$E$14:$E$43,COLUMN()-COLUMN($X$42)+1)="Annuelle",MOD((YEAR($L206)-YEAR(INDEX('1 Budget annuel'!$L$14:$L$43,COLUMN()-COLUMN($X$42)+1)))*12+MONTH($L206)-MONTH(INDEX('1 Budget annuel'!$L$14:$L$43,COLUMN()-COLUMN($X$42)+1)),12)=0,DAY($L206)=MIN(DAY(INDEX('1 Budget annuel'!$L$14:$L$43,COLUMN()-COLUMN($X$42)+1)),DAY(EOMONTH($L206,0))))),IF(INDEX('1 Budget annuel'!$B$14:$B$43,COLUMN()-COLUMN($X$42)+1)="Entrée",INDEX('1 Budget annuel'!$I$14:$I$43,COLUMN()-COLUMN($X$42)+1),-INDEX('1 Budget annuel'!$I$14:$I$43,COLUMN()-COLUMN($X$42)+1)),0))</x:f>
        <x:v>0</x:v>
      </x:c>
    </x:row>
    <x:row r="207">
      <x:c r="L207" s="114" t="n">
        <x:f>L206+1</x:f>
        <x:v>46401</x:v>
      </x:c>
      <x:c r="M207" s="115" t="b">
        <x:f>AND(L207&gt;=$D$5,L207&lt;=$D$5+363,MOD(L207-$D$5,7)=0)</x:f>
        <x:v>0</x:v>
      </x:c>
      <x:c r="N207" s="116" t="n">
        <x:f>SUM(X207:BA207)</x:f>
        <x:v>0</x:v>
      </x:c>
      <x:c r="O207" s="116" t="n">
        <x:f>IF(M207,$D$10,0)</x:f>
        <x:v>0</x:v>
      </x:c>
      <x:c r="P207" s="116" t="n">
        <x:f>N207-O207</x:f>
        <x:v>0</x:v>
      </x:c>
      <x:c r="Q207" s="116" t="n">
        <x:f>IF(L207&lt;$D$5,0,IF(L207=$D$5,P207,Q206+P207))</x:f>
        <x:v>0</x:v>
      </x:c>
      <x:c r="R207" s="116" t="n">
        <x:f>IF(L207&lt;$D$5,"",$J$10+Q207)</x:f>
        <x:v>0</x:v>
      </x:c>
      <x:c r="S207" s="116" t="n">
        <x:f>IF($L207&lt;$D$5,"",IF($L207=$D$5,$J$10+$N207-IF($M207,IF(INT(($L207-$D$5)/7)&lt;$A$20,$B$20,$D$10),0),S206+$N207-IF($M207,IF(INT(($L207-$D$5)/7)&lt;$A$20,$B$20,$D$10),0)))</x:f>
        <x:v>0</x:v>
      </x:c>
      <x:c r="T207" s="116" t="n">
        <x:f>IF($L207&lt;$D$5,"",IF($L207=$D$5,$J$10+$N207-IF($M207,IF(INT(($L207-$D$5)/7)&lt;$A$21,$B$21,$D$10),0),T206+$N207-IF($M207,IF(INT(($L207-$D$5)/7)&lt;$A$21,$B$21,$D$10),0)))</x:f>
        <x:v>0</x:v>
      </x:c>
      <x:c r="U207" s="116" t="n">
        <x:f>IF($L207&lt;$D$5,"",IF($L207=$D$5,$J$10+$N207-IF($M207,IF(INT(($L207-$D$5)/7)&lt;$A$22,$B$22,$D$10),0),U206+$N207-IF($M207,IF(INT(($L207-$D$5)/7)&lt;$A$22,$B$22,$D$10),0)))</x:f>
        <x:v>0</x:v>
      </x:c>
      <x:c r="V207" s="116" t="n">
        <x:f>IF($L207&lt;$D$5,"",IF($L207=$D$5,$J$10+$N207-IF($M207,IF(INT(($L207-$D$5)/7)&lt;$A$23,$B$23,$D$10),0),V206+$N207-IF($M207,IF(INT(($L207-$D$5)/7)&lt;$A$23,$B$23,$D$10),0)))</x:f>
        <x:v>0</x:v>
      </x:c>
      <x:c r="W207" s="116" t="n">
        <x:f>IF($L207&lt;$D$5,"",IF($L207=$D$5,$J$10+$N207-IF($M207,IF(INT(($L207-$D$5)/7)&lt;$A$24,$B$24,$D$10),0),W206+$N207-IF($M207,IF(INT(($L207-$D$5)/7)&lt;$A$24,$B$24,$D$10),0)))</x:f>
        <x:v>0</x:v>
      </x:c>
      <x:c r="X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Y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Z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A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B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C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D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E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F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G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H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I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J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K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L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M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N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O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P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Q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R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S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T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U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V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W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X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Y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AZ207" s="116"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c r="BA207" s="117" t="n">
        <x:f>IF(OR(INDEX('1 Budget annuel'!$A$14:$A$43,COLUMN()-COLUMN($X$42)+1)&lt;&gt;"Oui",INDEX('1 Budget annuel'!$L$14:$L$43,COLUMN()-COLUMN($X$42)+1)="",AND(INDEX('1 Budget annuel'!$B$14:$B$43,COLUMN()-COLUMN($X$42)+1)="Sortie",INDEX('1 Budget annuel'!$M$14:$M$43,COLUMN()-COLUMN($X$42)+1)="Oui"),$L207&lt;INDEX('1 Budget annuel'!$L$14:$L$43,COLUMN()-COLUMN($X$42)+1),$L207&gt;$D$5+363),0,IF(OR(AND(INDEX('1 Budget annuel'!$E$14:$E$43,COLUMN()-COLUMN($X$42)+1)="Hebdomadaire",MOD($L207-INDEX('1 Budget annuel'!$L$14:$L$43,COLUMN()-COLUMN($X$42)+1),7)=0),AND(INDEX('1 Budget annuel'!$E$14:$E$43,COLUMN()-COLUMN($X$42)+1)="Toutes les 4 semaines",MOD($L207-INDEX('1 Budget annuel'!$L$14:$L$43,COLUMN()-COLUMN($X$42)+1),28)=0),AND(INDEX('1 Budget annuel'!$E$14:$E$43,COLUMN()-COLUMN($X$42)+1)="Mensuelle",DAY($L207)=MIN(DAY(INDEX('1 Budget annuel'!$L$14:$L$43,COLUMN()-COLUMN($X$42)+1)),DAY(EOMONTH($L207,0)))),AND(INDEX('1 Budget annuel'!$E$14:$E$43,COLUMN()-COLUMN($X$42)+1)="Trimestrielle",MOD((YEAR($L207)-YEAR(INDEX('1 Budget annuel'!$L$14:$L$43,COLUMN()-COLUMN($X$42)+1)))*12+MONTH($L207)-MONTH(INDEX('1 Budget annuel'!$L$14:$L$43,COLUMN()-COLUMN($X$42)+1)),3)=0,DAY($L207)=MIN(DAY(INDEX('1 Budget annuel'!$L$14:$L$43,COLUMN()-COLUMN($X$42)+1)),DAY(EOMONTH($L207,0)))),AND(INDEX('1 Budget annuel'!$E$14:$E$43,COLUMN()-COLUMN($X$42)+1)="Semestrielle",MOD((YEAR($L207)-YEAR(INDEX('1 Budget annuel'!$L$14:$L$43,COLUMN()-COLUMN($X$42)+1)))*12+MONTH($L207)-MONTH(INDEX('1 Budget annuel'!$L$14:$L$43,COLUMN()-COLUMN($X$42)+1)),6)=0,DAY($L207)=MIN(DAY(INDEX('1 Budget annuel'!$L$14:$L$43,COLUMN()-COLUMN($X$42)+1)),DAY(EOMONTH($L207,0)))),AND(INDEX('1 Budget annuel'!$E$14:$E$43,COLUMN()-COLUMN($X$42)+1)="Annuelle",MOD((YEAR($L207)-YEAR(INDEX('1 Budget annuel'!$L$14:$L$43,COLUMN()-COLUMN($X$42)+1)))*12+MONTH($L207)-MONTH(INDEX('1 Budget annuel'!$L$14:$L$43,COLUMN()-COLUMN($X$42)+1)),12)=0,DAY($L207)=MIN(DAY(INDEX('1 Budget annuel'!$L$14:$L$43,COLUMN()-COLUMN($X$42)+1)),DAY(EOMONTH($L207,0))))),IF(INDEX('1 Budget annuel'!$B$14:$B$43,COLUMN()-COLUMN($X$42)+1)="Entrée",INDEX('1 Budget annuel'!$I$14:$I$43,COLUMN()-COLUMN($X$42)+1),-INDEX('1 Budget annuel'!$I$14:$I$43,COLUMN()-COLUMN($X$42)+1)),0))</x:f>
        <x:v>0</x:v>
      </x:c>
    </x:row>
    <x:row r="208">
      <x:c r="L208" s="114" t="n">
        <x:f>L207+1</x:f>
        <x:v>46402</x:v>
      </x:c>
      <x:c r="M208" s="115" t="b">
        <x:f>AND(L208&gt;=$D$5,L208&lt;=$D$5+363,MOD(L208-$D$5,7)=0)</x:f>
        <x:v>0</x:v>
      </x:c>
      <x:c r="N208" s="116" t="n">
        <x:f>SUM(X208:BA208)</x:f>
        <x:v>0</x:v>
      </x:c>
      <x:c r="O208" s="116" t="n">
        <x:f>IF(M208,$D$10,0)</x:f>
        <x:v>0</x:v>
      </x:c>
      <x:c r="P208" s="116" t="n">
        <x:f>N208-O208</x:f>
        <x:v>0</x:v>
      </x:c>
      <x:c r="Q208" s="116" t="n">
        <x:f>IF(L208&lt;$D$5,0,IF(L208=$D$5,P208,Q207+P208))</x:f>
        <x:v>0</x:v>
      </x:c>
      <x:c r="R208" s="116" t="n">
        <x:f>IF(L208&lt;$D$5,"",$J$10+Q208)</x:f>
        <x:v>0</x:v>
      </x:c>
      <x:c r="S208" s="116" t="n">
        <x:f>IF($L208&lt;$D$5,"",IF($L208=$D$5,$J$10+$N208-IF($M208,IF(INT(($L208-$D$5)/7)&lt;$A$20,$B$20,$D$10),0),S207+$N208-IF($M208,IF(INT(($L208-$D$5)/7)&lt;$A$20,$B$20,$D$10),0)))</x:f>
        <x:v>0</x:v>
      </x:c>
      <x:c r="T208" s="116" t="n">
        <x:f>IF($L208&lt;$D$5,"",IF($L208=$D$5,$J$10+$N208-IF($M208,IF(INT(($L208-$D$5)/7)&lt;$A$21,$B$21,$D$10),0),T207+$N208-IF($M208,IF(INT(($L208-$D$5)/7)&lt;$A$21,$B$21,$D$10),0)))</x:f>
        <x:v>0</x:v>
      </x:c>
      <x:c r="U208" s="116" t="n">
        <x:f>IF($L208&lt;$D$5,"",IF($L208=$D$5,$J$10+$N208-IF($M208,IF(INT(($L208-$D$5)/7)&lt;$A$22,$B$22,$D$10),0),U207+$N208-IF($M208,IF(INT(($L208-$D$5)/7)&lt;$A$22,$B$22,$D$10),0)))</x:f>
        <x:v>0</x:v>
      </x:c>
      <x:c r="V208" s="116" t="n">
        <x:f>IF($L208&lt;$D$5,"",IF($L208=$D$5,$J$10+$N208-IF($M208,IF(INT(($L208-$D$5)/7)&lt;$A$23,$B$23,$D$10),0),V207+$N208-IF($M208,IF(INT(($L208-$D$5)/7)&lt;$A$23,$B$23,$D$10),0)))</x:f>
        <x:v>0</x:v>
      </x:c>
      <x:c r="W208" s="116" t="n">
        <x:f>IF($L208&lt;$D$5,"",IF($L208=$D$5,$J$10+$N208-IF($M208,IF(INT(($L208-$D$5)/7)&lt;$A$24,$B$24,$D$10),0),W207+$N208-IF($M208,IF(INT(($L208-$D$5)/7)&lt;$A$24,$B$24,$D$10),0)))</x:f>
        <x:v>0</x:v>
      </x:c>
      <x:c r="X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Y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Z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A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B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C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D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E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F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G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H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I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J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K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L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M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N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O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P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Q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R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S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T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U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V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W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X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Y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AZ208" s="116"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c r="BA208" s="117" t="n">
        <x:f>IF(OR(INDEX('1 Budget annuel'!$A$14:$A$43,COLUMN()-COLUMN($X$42)+1)&lt;&gt;"Oui",INDEX('1 Budget annuel'!$L$14:$L$43,COLUMN()-COLUMN($X$42)+1)="",AND(INDEX('1 Budget annuel'!$B$14:$B$43,COLUMN()-COLUMN($X$42)+1)="Sortie",INDEX('1 Budget annuel'!$M$14:$M$43,COLUMN()-COLUMN($X$42)+1)="Oui"),$L208&lt;INDEX('1 Budget annuel'!$L$14:$L$43,COLUMN()-COLUMN($X$42)+1),$L208&gt;$D$5+363),0,IF(OR(AND(INDEX('1 Budget annuel'!$E$14:$E$43,COLUMN()-COLUMN($X$42)+1)="Hebdomadaire",MOD($L208-INDEX('1 Budget annuel'!$L$14:$L$43,COLUMN()-COLUMN($X$42)+1),7)=0),AND(INDEX('1 Budget annuel'!$E$14:$E$43,COLUMN()-COLUMN($X$42)+1)="Toutes les 4 semaines",MOD($L208-INDEX('1 Budget annuel'!$L$14:$L$43,COLUMN()-COLUMN($X$42)+1),28)=0),AND(INDEX('1 Budget annuel'!$E$14:$E$43,COLUMN()-COLUMN($X$42)+1)="Mensuelle",DAY($L208)=MIN(DAY(INDEX('1 Budget annuel'!$L$14:$L$43,COLUMN()-COLUMN($X$42)+1)),DAY(EOMONTH($L208,0)))),AND(INDEX('1 Budget annuel'!$E$14:$E$43,COLUMN()-COLUMN($X$42)+1)="Trimestrielle",MOD((YEAR($L208)-YEAR(INDEX('1 Budget annuel'!$L$14:$L$43,COLUMN()-COLUMN($X$42)+1)))*12+MONTH($L208)-MONTH(INDEX('1 Budget annuel'!$L$14:$L$43,COLUMN()-COLUMN($X$42)+1)),3)=0,DAY($L208)=MIN(DAY(INDEX('1 Budget annuel'!$L$14:$L$43,COLUMN()-COLUMN($X$42)+1)),DAY(EOMONTH($L208,0)))),AND(INDEX('1 Budget annuel'!$E$14:$E$43,COLUMN()-COLUMN($X$42)+1)="Semestrielle",MOD((YEAR($L208)-YEAR(INDEX('1 Budget annuel'!$L$14:$L$43,COLUMN()-COLUMN($X$42)+1)))*12+MONTH($L208)-MONTH(INDEX('1 Budget annuel'!$L$14:$L$43,COLUMN()-COLUMN($X$42)+1)),6)=0,DAY($L208)=MIN(DAY(INDEX('1 Budget annuel'!$L$14:$L$43,COLUMN()-COLUMN($X$42)+1)),DAY(EOMONTH($L208,0)))),AND(INDEX('1 Budget annuel'!$E$14:$E$43,COLUMN()-COLUMN($X$42)+1)="Annuelle",MOD((YEAR($L208)-YEAR(INDEX('1 Budget annuel'!$L$14:$L$43,COLUMN()-COLUMN($X$42)+1)))*12+MONTH($L208)-MONTH(INDEX('1 Budget annuel'!$L$14:$L$43,COLUMN()-COLUMN($X$42)+1)),12)=0,DAY($L208)=MIN(DAY(INDEX('1 Budget annuel'!$L$14:$L$43,COLUMN()-COLUMN($X$42)+1)),DAY(EOMONTH($L208,0))))),IF(INDEX('1 Budget annuel'!$B$14:$B$43,COLUMN()-COLUMN($X$42)+1)="Entrée",INDEX('1 Budget annuel'!$I$14:$I$43,COLUMN()-COLUMN($X$42)+1),-INDEX('1 Budget annuel'!$I$14:$I$43,COLUMN()-COLUMN($X$42)+1)),0))</x:f>
        <x:v>0</x:v>
      </x:c>
    </x:row>
    <x:row r="209">
      <x:c r="L209" s="114" t="n">
        <x:f>L208+1</x:f>
        <x:v>46403</x:v>
      </x:c>
      <x:c r="M209" s="115" t="b">
        <x:f>AND(L209&gt;=$D$5,L209&lt;=$D$5+363,MOD(L209-$D$5,7)=0)</x:f>
        <x:v>1</x:v>
      </x:c>
      <x:c r="N209" s="116" t="n">
        <x:f>SUM(X209:BA209)</x:f>
        <x:v>0</x:v>
      </x:c>
      <x:c r="O209" s="116" t="n">
        <x:f>IF(M209,$D$10,0)</x:f>
        <x:v>0</x:v>
      </x:c>
      <x:c r="P209" s="116" t="n">
        <x:f>N209-O209</x:f>
        <x:v>0</x:v>
      </x:c>
      <x:c r="Q209" s="116" t="n">
        <x:f>IF(L209&lt;$D$5,0,IF(L209=$D$5,P209,Q208+P209))</x:f>
        <x:v>0</x:v>
      </x:c>
      <x:c r="R209" s="116" t="n">
        <x:f>IF(L209&lt;$D$5,"",$J$10+Q209)</x:f>
        <x:v>0</x:v>
      </x:c>
      <x:c r="S209" s="116" t="n">
        <x:f>IF($L209&lt;$D$5,"",IF($L209=$D$5,$J$10+$N209-IF($M209,IF(INT(($L209-$D$5)/7)&lt;$A$20,$B$20,$D$10),0),S208+$N209-IF($M209,IF(INT(($L209-$D$5)/7)&lt;$A$20,$B$20,$D$10),0)))</x:f>
        <x:v>0</x:v>
      </x:c>
      <x:c r="T209" s="116" t="n">
        <x:f>IF($L209&lt;$D$5,"",IF($L209=$D$5,$J$10+$N209-IF($M209,IF(INT(($L209-$D$5)/7)&lt;$A$21,$B$21,$D$10),0),T208+$N209-IF($M209,IF(INT(($L209-$D$5)/7)&lt;$A$21,$B$21,$D$10),0)))</x:f>
        <x:v>0</x:v>
      </x:c>
      <x:c r="U209" s="116" t="n">
        <x:f>IF($L209&lt;$D$5,"",IF($L209=$D$5,$J$10+$N209-IF($M209,IF(INT(($L209-$D$5)/7)&lt;$A$22,$B$22,$D$10),0),U208+$N209-IF($M209,IF(INT(($L209-$D$5)/7)&lt;$A$22,$B$22,$D$10),0)))</x:f>
        <x:v>0</x:v>
      </x:c>
      <x:c r="V209" s="116" t="n">
        <x:f>IF($L209&lt;$D$5,"",IF($L209=$D$5,$J$10+$N209-IF($M209,IF(INT(($L209-$D$5)/7)&lt;$A$23,$B$23,$D$10),0),V208+$N209-IF($M209,IF(INT(($L209-$D$5)/7)&lt;$A$23,$B$23,$D$10),0)))</x:f>
        <x:v>0</x:v>
      </x:c>
      <x:c r="W209" s="116" t="n">
        <x:f>IF($L209&lt;$D$5,"",IF($L209=$D$5,$J$10+$N209-IF($M209,IF(INT(($L209-$D$5)/7)&lt;$A$24,$B$24,$D$10),0),W208+$N209-IF($M209,IF(INT(($L209-$D$5)/7)&lt;$A$24,$B$24,$D$10),0)))</x:f>
        <x:v>0</x:v>
      </x:c>
      <x:c r="X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Y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Z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A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B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C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D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E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F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G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H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I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J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K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L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M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N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O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P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Q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R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S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T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U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V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W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X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Y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AZ209" s="116"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c r="BA209" s="117" t="n">
        <x:f>IF(OR(INDEX('1 Budget annuel'!$A$14:$A$43,COLUMN()-COLUMN($X$42)+1)&lt;&gt;"Oui",INDEX('1 Budget annuel'!$L$14:$L$43,COLUMN()-COLUMN($X$42)+1)="",AND(INDEX('1 Budget annuel'!$B$14:$B$43,COLUMN()-COLUMN($X$42)+1)="Sortie",INDEX('1 Budget annuel'!$M$14:$M$43,COLUMN()-COLUMN($X$42)+1)="Oui"),$L209&lt;INDEX('1 Budget annuel'!$L$14:$L$43,COLUMN()-COLUMN($X$42)+1),$L209&gt;$D$5+363),0,IF(OR(AND(INDEX('1 Budget annuel'!$E$14:$E$43,COLUMN()-COLUMN($X$42)+1)="Hebdomadaire",MOD($L209-INDEX('1 Budget annuel'!$L$14:$L$43,COLUMN()-COLUMN($X$42)+1),7)=0),AND(INDEX('1 Budget annuel'!$E$14:$E$43,COLUMN()-COLUMN($X$42)+1)="Toutes les 4 semaines",MOD($L209-INDEX('1 Budget annuel'!$L$14:$L$43,COLUMN()-COLUMN($X$42)+1),28)=0),AND(INDEX('1 Budget annuel'!$E$14:$E$43,COLUMN()-COLUMN($X$42)+1)="Mensuelle",DAY($L209)=MIN(DAY(INDEX('1 Budget annuel'!$L$14:$L$43,COLUMN()-COLUMN($X$42)+1)),DAY(EOMONTH($L209,0)))),AND(INDEX('1 Budget annuel'!$E$14:$E$43,COLUMN()-COLUMN($X$42)+1)="Trimestrielle",MOD((YEAR($L209)-YEAR(INDEX('1 Budget annuel'!$L$14:$L$43,COLUMN()-COLUMN($X$42)+1)))*12+MONTH($L209)-MONTH(INDEX('1 Budget annuel'!$L$14:$L$43,COLUMN()-COLUMN($X$42)+1)),3)=0,DAY($L209)=MIN(DAY(INDEX('1 Budget annuel'!$L$14:$L$43,COLUMN()-COLUMN($X$42)+1)),DAY(EOMONTH($L209,0)))),AND(INDEX('1 Budget annuel'!$E$14:$E$43,COLUMN()-COLUMN($X$42)+1)="Semestrielle",MOD((YEAR($L209)-YEAR(INDEX('1 Budget annuel'!$L$14:$L$43,COLUMN()-COLUMN($X$42)+1)))*12+MONTH($L209)-MONTH(INDEX('1 Budget annuel'!$L$14:$L$43,COLUMN()-COLUMN($X$42)+1)),6)=0,DAY($L209)=MIN(DAY(INDEX('1 Budget annuel'!$L$14:$L$43,COLUMN()-COLUMN($X$42)+1)),DAY(EOMONTH($L209,0)))),AND(INDEX('1 Budget annuel'!$E$14:$E$43,COLUMN()-COLUMN($X$42)+1)="Annuelle",MOD((YEAR($L209)-YEAR(INDEX('1 Budget annuel'!$L$14:$L$43,COLUMN()-COLUMN($X$42)+1)))*12+MONTH($L209)-MONTH(INDEX('1 Budget annuel'!$L$14:$L$43,COLUMN()-COLUMN($X$42)+1)),12)=0,DAY($L209)=MIN(DAY(INDEX('1 Budget annuel'!$L$14:$L$43,COLUMN()-COLUMN($X$42)+1)),DAY(EOMONTH($L209,0))))),IF(INDEX('1 Budget annuel'!$B$14:$B$43,COLUMN()-COLUMN($X$42)+1)="Entrée",INDEX('1 Budget annuel'!$I$14:$I$43,COLUMN()-COLUMN($X$42)+1),-INDEX('1 Budget annuel'!$I$14:$I$43,COLUMN()-COLUMN($X$42)+1)),0))</x:f>
        <x:v>0</x:v>
      </x:c>
    </x:row>
    <x:row r="210">
      <x:c r="L210" s="114" t="n">
        <x:f>L209+1</x:f>
        <x:v>46404</x:v>
      </x:c>
      <x:c r="M210" s="115" t="b">
        <x:f>AND(L210&gt;=$D$5,L210&lt;=$D$5+363,MOD(L210-$D$5,7)=0)</x:f>
        <x:v>0</x:v>
      </x:c>
      <x:c r="N210" s="116" t="n">
        <x:f>SUM(X210:BA210)</x:f>
        <x:v>0</x:v>
      </x:c>
      <x:c r="O210" s="116" t="n">
        <x:f>IF(M210,$D$10,0)</x:f>
        <x:v>0</x:v>
      </x:c>
      <x:c r="P210" s="116" t="n">
        <x:f>N210-O210</x:f>
        <x:v>0</x:v>
      </x:c>
      <x:c r="Q210" s="116" t="n">
        <x:f>IF(L210&lt;$D$5,0,IF(L210=$D$5,P210,Q209+P210))</x:f>
        <x:v>0</x:v>
      </x:c>
      <x:c r="R210" s="116" t="n">
        <x:f>IF(L210&lt;$D$5,"",$J$10+Q210)</x:f>
        <x:v>0</x:v>
      </x:c>
      <x:c r="S210" s="116" t="n">
        <x:f>IF($L210&lt;$D$5,"",IF($L210=$D$5,$J$10+$N210-IF($M210,IF(INT(($L210-$D$5)/7)&lt;$A$20,$B$20,$D$10),0),S209+$N210-IF($M210,IF(INT(($L210-$D$5)/7)&lt;$A$20,$B$20,$D$10),0)))</x:f>
        <x:v>0</x:v>
      </x:c>
      <x:c r="T210" s="116" t="n">
        <x:f>IF($L210&lt;$D$5,"",IF($L210=$D$5,$J$10+$N210-IF($M210,IF(INT(($L210-$D$5)/7)&lt;$A$21,$B$21,$D$10),0),T209+$N210-IF($M210,IF(INT(($L210-$D$5)/7)&lt;$A$21,$B$21,$D$10),0)))</x:f>
        <x:v>0</x:v>
      </x:c>
      <x:c r="U210" s="116" t="n">
        <x:f>IF($L210&lt;$D$5,"",IF($L210=$D$5,$J$10+$N210-IF($M210,IF(INT(($L210-$D$5)/7)&lt;$A$22,$B$22,$D$10),0),U209+$N210-IF($M210,IF(INT(($L210-$D$5)/7)&lt;$A$22,$B$22,$D$10),0)))</x:f>
        <x:v>0</x:v>
      </x:c>
      <x:c r="V210" s="116" t="n">
        <x:f>IF($L210&lt;$D$5,"",IF($L210=$D$5,$J$10+$N210-IF($M210,IF(INT(($L210-$D$5)/7)&lt;$A$23,$B$23,$D$10),0),V209+$N210-IF($M210,IF(INT(($L210-$D$5)/7)&lt;$A$23,$B$23,$D$10),0)))</x:f>
        <x:v>0</x:v>
      </x:c>
      <x:c r="W210" s="116" t="n">
        <x:f>IF($L210&lt;$D$5,"",IF($L210=$D$5,$J$10+$N210-IF($M210,IF(INT(($L210-$D$5)/7)&lt;$A$24,$B$24,$D$10),0),W209+$N210-IF($M210,IF(INT(($L210-$D$5)/7)&lt;$A$24,$B$24,$D$10),0)))</x:f>
        <x:v>0</x:v>
      </x:c>
      <x:c r="X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Y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Z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A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B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C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D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E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F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G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H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I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J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K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L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M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N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O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P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Q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R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S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T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U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V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W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X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Y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AZ210" s="116"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c r="BA210" s="117" t="n">
        <x:f>IF(OR(INDEX('1 Budget annuel'!$A$14:$A$43,COLUMN()-COLUMN($X$42)+1)&lt;&gt;"Oui",INDEX('1 Budget annuel'!$L$14:$L$43,COLUMN()-COLUMN($X$42)+1)="",AND(INDEX('1 Budget annuel'!$B$14:$B$43,COLUMN()-COLUMN($X$42)+1)="Sortie",INDEX('1 Budget annuel'!$M$14:$M$43,COLUMN()-COLUMN($X$42)+1)="Oui"),$L210&lt;INDEX('1 Budget annuel'!$L$14:$L$43,COLUMN()-COLUMN($X$42)+1),$L210&gt;$D$5+363),0,IF(OR(AND(INDEX('1 Budget annuel'!$E$14:$E$43,COLUMN()-COLUMN($X$42)+1)="Hebdomadaire",MOD($L210-INDEX('1 Budget annuel'!$L$14:$L$43,COLUMN()-COLUMN($X$42)+1),7)=0),AND(INDEX('1 Budget annuel'!$E$14:$E$43,COLUMN()-COLUMN($X$42)+1)="Toutes les 4 semaines",MOD($L210-INDEX('1 Budget annuel'!$L$14:$L$43,COLUMN()-COLUMN($X$42)+1),28)=0),AND(INDEX('1 Budget annuel'!$E$14:$E$43,COLUMN()-COLUMN($X$42)+1)="Mensuelle",DAY($L210)=MIN(DAY(INDEX('1 Budget annuel'!$L$14:$L$43,COLUMN()-COLUMN($X$42)+1)),DAY(EOMONTH($L210,0)))),AND(INDEX('1 Budget annuel'!$E$14:$E$43,COLUMN()-COLUMN($X$42)+1)="Trimestrielle",MOD((YEAR($L210)-YEAR(INDEX('1 Budget annuel'!$L$14:$L$43,COLUMN()-COLUMN($X$42)+1)))*12+MONTH($L210)-MONTH(INDEX('1 Budget annuel'!$L$14:$L$43,COLUMN()-COLUMN($X$42)+1)),3)=0,DAY($L210)=MIN(DAY(INDEX('1 Budget annuel'!$L$14:$L$43,COLUMN()-COLUMN($X$42)+1)),DAY(EOMONTH($L210,0)))),AND(INDEX('1 Budget annuel'!$E$14:$E$43,COLUMN()-COLUMN($X$42)+1)="Semestrielle",MOD((YEAR($L210)-YEAR(INDEX('1 Budget annuel'!$L$14:$L$43,COLUMN()-COLUMN($X$42)+1)))*12+MONTH($L210)-MONTH(INDEX('1 Budget annuel'!$L$14:$L$43,COLUMN()-COLUMN($X$42)+1)),6)=0,DAY($L210)=MIN(DAY(INDEX('1 Budget annuel'!$L$14:$L$43,COLUMN()-COLUMN($X$42)+1)),DAY(EOMONTH($L210,0)))),AND(INDEX('1 Budget annuel'!$E$14:$E$43,COLUMN()-COLUMN($X$42)+1)="Annuelle",MOD((YEAR($L210)-YEAR(INDEX('1 Budget annuel'!$L$14:$L$43,COLUMN()-COLUMN($X$42)+1)))*12+MONTH($L210)-MONTH(INDEX('1 Budget annuel'!$L$14:$L$43,COLUMN()-COLUMN($X$42)+1)),12)=0,DAY($L210)=MIN(DAY(INDEX('1 Budget annuel'!$L$14:$L$43,COLUMN()-COLUMN($X$42)+1)),DAY(EOMONTH($L210,0))))),IF(INDEX('1 Budget annuel'!$B$14:$B$43,COLUMN()-COLUMN($X$42)+1)="Entrée",INDEX('1 Budget annuel'!$I$14:$I$43,COLUMN()-COLUMN($X$42)+1),-INDEX('1 Budget annuel'!$I$14:$I$43,COLUMN()-COLUMN($X$42)+1)),0))</x:f>
        <x:v>0</x:v>
      </x:c>
    </x:row>
    <x:row r="211">
      <x:c r="L211" s="114" t="n">
        <x:f>L210+1</x:f>
        <x:v>46405</x:v>
      </x:c>
      <x:c r="M211" s="115" t="b">
        <x:f>AND(L211&gt;=$D$5,L211&lt;=$D$5+363,MOD(L211-$D$5,7)=0)</x:f>
        <x:v>0</x:v>
      </x:c>
      <x:c r="N211" s="116" t="n">
        <x:f>SUM(X211:BA211)</x:f>
        <x:v>0</x:v>
      </x:c>
      <x:c r="O211" s="116" t="n">
        <x:f>IF(M211,$D$10,0)</x:f>
        <x:v>0</x:v>
      </x:c>
      <x:c r="P211" s="116" t="n">
        <x:f>N211-O211</x:f>
        <x:v>0</x:v>
      </x:c>
      <x:c r="Q211" s="116" t="n">
        <x:f>IF(L211&lt;$D$5,0,IF(L211=$D$5,P211,Q210+P211))</x:f>
        <x:v>0</x:v>
      </x:c>
      <x:c r="R211" s="116" t="n">
        <x:f>IF(L211&lt;$D$5,"",$J$10+Q211)</x:f>
        <x:v>0</x:v>
      </x:c>
      <x:c r="S211" s="116" t="n">
        <x:f>IF($L211&lt;$D$5,"",IF($L211=$D$5,$J$10+$N211-IF($M211,IF(INT(($L211-$D$5)/7)&lt;$A$20,$B$20,$D$10),0),S210+$N211-IF($M211,IF(INT(($L211-$D$5)/7)&lt;$A$20,$B$20,$D$10),0)))</x:f>
        <x:v>0</x:v>
      </x:c>
      <x:c r="T211" s="116" t="n">
        <x:f>IF($L211&lt;$D$5,"",IF($L211=$D$5,$J$10+$N211-IF($M211,IF(INT(($L211-$D$5)/7)&lt;$A$21,$B$21,$D$10),0),T210+$N211-IF($M211,IF(INT(($L211-$D$5)/7)&lt;$A$21,$B$21,$D$10),0)))</x:f>
        <x:v>0</x:v>
      </x:c>
      <x:c r="U211" s="116" t="n">
        <x:f>IF($L211&lt;$D$5,"",IF($L211=$D$5,$J$10+$N211-IF($M211,IF(INT(($L211-$D$5)/7)&lt;$A$22,$B$22,$D$10),0),U210+$N211-IF($M211,IF(INT(($L211-$D$5)/7)&lt;$A$22,$B$22,$D$10),0)))</x:f>
        <x:v>0</x:v>
      </x:c>
      <x:c r="V211" s="116" t="n">
        <x:f>IF($L211&lt;$D$5,"",IF($L211=$D$5,$J$10+$N211-IF($M211,IF(INT(($L211-$D$5)/7)&lt;$A$23,$B$23,$D$10),0),V210+$N211-IF($M211,IF(INT(($L211-$D$5)/7)&lt;$A$23,$B$23,$D$10),0)))</x:f>
        <x:v>0</x:v>
      </x:c>
      <x:c r="W211" s="116" t="n">
        <x:f>IF($L211&lt;$D$5,"",IF($L211=$D$5,$J$10+$N211-IF($M211,IF(INT(($L211-$D$5)/7)&lt;$A$24,$B$24,$D$10),0),W210+$N211-IF($M211,IF(INT(($L211-$D$5)/7)&lt;$A$24,$B$24,$D$10),0)))</x:f>
        <x:v>0</x:v>
      </x:c>
      <x:c r="X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Y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Z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A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B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C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D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E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F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G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H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I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J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K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L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M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N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O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P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Q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R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S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T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U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V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W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X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Y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AZ211" s="116"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c r="BA211" s="117" t="n">
        <x:f>IF(OR(INDEX('1 Budget annuel'!$A$14:$A$43,COLUMN()-COLUMN($X$42)+1)&lt;&gt;"Oui",INDEX('1 Budget annuel'!$L$14:$L$43,COLUMN()-COLUMN($X$42)+1)="",AND(INDEX('1 Budget annuel'!$B$14:$B$43,COLUMN()-COLUMN($X$42)+1)="Sortie",INDEX('1 Budget annuel'!$M$14:$M$43,COLUMN()-COLUMN($X$42)+1)="Oui"),$L211&lt;INDEX('1 Budget annuel'!$L$14:$L$43,COLUMN()-COLUMN($X$42)+1),$L211&gt;$D$5+363),0,IF(OR(AND(INDEX('1 Budget annuel'!$E$14:$E$43,COLUMN()-COLUMN($X$42)+1)="Hebdomadaire",MOD($L211-INDEX('1 Budget annuel'!$L$14:$L$43,COLUMN()-COLUMN($X$42)+1),7)=0),AND(INDEX('1 Budget annuel'!$E$14:$E$43,COLUMN()-COLUMN($X$42)+1)="Toutes les 4 semaines",MOD($L211-INDEX('1 Budget annuel'!$L$14:$L$43,COLUMN()-COLUMN($X$42)+1),28)=0),AND(INDEX('1 Budget annuel'!$E$14:$E$43,COLUMN()-COLUMN($X$42)+1)="Mensuelle",DAY($L211)=MIN(DAY(INDEX('1 Budget annuel'!$L$14:$L$43,COLUMN()-COLUMN($X$42)+1)),DAY(EOMONTH($L211,0)))),AND(INDEX('1 Budget annuel'!$E$14:$E$43,COLUMN()-COLUMN($X$42)+1)="Trimestrielle",MOD((YEAR($L211)-YEAR(INDEX('1 Budget annuel'!$L$14:$L$43,COLUMN()-COLUMN($X$42)+1)))*12+MONTH($L211)-MONTH(INDEX('1 Budget annuel'!$L$14:$L$43,COLUMN()-COLUMN($X$42)+1)),3)=0,DAY($L211)=MIN(DAY(INDEX('1 Budget annuel'!$L$14:$L$43,COLUMN()-COLUMN($X$42)+1)),DAY(EOMONTH($L211,0)))),AND(INDEX('1 Budget annuel'!$E$14:$E$43,COLUMN()-COLUMN($X$42)+1)="Semestrielle",MOD((YEAR($L211)-YEAR(INDEX('1 Budget annuel'!$L$14:$L$43,COLUMN()-COLUMN($X$42)+1)))*12+MONTH($L211)-MONTH(INDEX('1 Budget annuel'!$L$14:$L$43,COLUMN()-COLUMN($X$42)+1)),6)=0,DAY($L211)=MIN(DAY(INDEX('1 Budget annuel'!$L$14:$L$43,COLUMN()-COLUMN($X$42)+1)),DAY(EOMONTH($L211,0)))),AND(INDEX('1 Budget annuel'!$E$14:$E$43,COLUMN()-COLUMN($X$42)+1)="Annuelle",MOD((YEAR($L211)-YEAR(INDEX('1 Budget annuel'!$L$14:$L$43,COLUMN()-COLUMN($X$42)+1)))*12+MONTH($L211)-MONTH(INDEX('1 Budget annuel'!$L$14:$L$43,COLUMN()-COLUMN($X$42)+1)),12)=0,DAY($L211)=MIN(DAY(INDEX('1 Budget annuel'!$L$14:$L$43,COLUMN()-COLUMN($X$42)+1)),DAY(EOMONTH($L211,0))))),IF(INDEX('1 Budget annuel'!$B$14:$B$43,COLUMN()-COLUMN($X$42)+1)="Entrée",INDEX('1 Budget annuel'!$I$14:$I$43,COLUMN()-COLUMN($X$42)+1),-INDEX('1 Budget annuel'!$I$14:$I$43,COLUMN()-COLUMN($X$42)+1)),0))</x:f>
        <x:v>0</x:v>
      </x:c>
    </x:row>
    <x:row r="212">
      <x:c r="L212" s="114" t="n">
        <x:f>L211+1</x:f>
        <x:v>46406</x:v>
      </x:c>
      <x:c r="M212" s="115" t="b">
        <x:f>AND(L212&gt;=$D$5,L212&lt;=$D$5+363,MOD(L212-$D$5,7)=0)</x:f>
        <x:v>0</x:v>
      </x:c>
      <x:c r="N212" s="116" t="n">
        <x:f>SUM(X212:BA212)</x:f>
        <x:v>0</x:v>
      </x:c>
      <x:c r="O212" s="116" t="n">
        <x:f>IF(M212,$D$10,0)</x:f>
        <x:v>0</x:v>
      </x:c>
      <x:c r="P212" s="116" t="n">
        <x:f>N212-O212</x:f>
        <x:v>0</x:v>
      </x:c>
      <x:c r="Q212" s="116" t="n">
        <x:f>IF(L212&lt;$D$5,0,IF(L212=$D$5,P212,Q211+P212))</x:f>
        <x:v>0</x:v>
      </x:c>
      <x:c r="R212" s="116" t="n">
        <x:f>IF(L212&lt;$D$5,"",$J$10+Q212)</x:f>
        <x:v>0</x:v>
      </x:c>
      <x:c r="S212" s="116" t="n">
        <x:f>IF($L212&lt;$D$5,"",IF($L212=$D$5,$J$10+$N212-IF($M212,IF(INT(($L212-$D$5)/7)&lt;$A$20,$B$20,$D$10),0),S211+$N212-IF($M212,IF(INT(($L212-$D$5)/7)&lt;$A$20,$B$20,$D$10),0)))</x:f>
        <x:v>0</x:v>
      </x:c>
      <x:c r="T212" s="116" t="n">
        <x:f>IF($L212&lt;$D$5,"",IF($L212=$D$5,$J$10+$N212-IF($M212,IF(INT(($L212-$D$5)/7)&lt;$A$21,$B$21,$D$10),0),T211+$N212-IF($M212,IF(INT(($L212-$D$5)/7)&lt;$A$21,$B$21,$D$10),0)))</x:f>
        <x:v>0</x:v>
      </x:c>
      <x:c r="U212" s="116" t="n">
        <x:f>IF($L212&lt;$D$5,"",IF($L212=$D$5,$J$10+$N212-IF($M212,IF(INT(($L212-$D$5)/7)&lt;$A$22,$B$22,$D$10),0),U211+$N212-IF($M212,IF(INT(($L212-$D$5)/7)&lt;$A$22,$B$22,$D$10),0)))</x:f>
        <x:v>0</x:v>
      </x:c>
      <x:c r="V212" s="116" t="n">
        <x:f>IF($L212&lt;$D$5,"",IF($L212=$D$5,$J$10+$N212-IF($M212,IF(INT(($L212-$D$5)/7)&lt;$A$23,$B$23,$D$10),0),V211+$N212-IF($M212,IF(INT(($L212-$D$5)/7)&lt;$A$23,$B$23,$D$10),0)))</x:f>
        <x:v>0</x:v>
      </x:c>
      <x:c r="W212" s="116" t="n">
        <x:f>IF($L212&lt;$D$5,"",IF($L212=$D$5,$J$10+$N212-IF($M212,IF(INT(($L212-$D$5)/7)&lt;$A$24,$B$24,$D$10),0),W211+$N212-IF($M212,IF(INT(($L212-$D$5)/7)&lt;$A$24,$B$24,$D$10),0)))</x:f>
        <x:v>0</x:v>
      </x:c>
      <x:c r="X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Y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Z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A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B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C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D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E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F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G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H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I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J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K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L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M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N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O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P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Q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R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S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T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U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V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W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X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Y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AZ212" s="116"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c r="BA212" s="117" t="n">
        <x:f>IF(OR(INDEX('1 Budget annuel'!$A$14:$A$43,COLUMN()-COLUMN($X$42)+1)&lt;&gt;"Oui",INDEX('1 Budget annuel'!$L$14:$L$43,COLUMN()-COLUMN($X$42)+1)="",AND(INDEX('1 Budget annuel'!$B$14:$B$43,COLUMN()-COLUMN($X$42)+1)="Sortie",INDEX('1 Budget annuel'!$M$14:$M$43,COLUMN()-COLUMN($X$42)+1)="Oui"),$L212&lt;INDEX('1 Budget annuel'!$L$14:$L$43,COLUMN()-COLUMN($X$42)+1),$L212&gt;$D$5+363),0,IF(OR(AND(INDEX('1 Budget annuel'!$E$14:$E$43,COLUMN()-COLUMN($X$42)+1)="Hebdomadaire",MOD($L212-INDEX('1 Budget annuel'!$L$14:$L$43,COLUMN()-COLUMN($X$42)+1),7)=0),AND(INDEX('1 Budget annuel'!$E$14:$E$43,COLUMN()-COLUMN($X$42)+1)="Toutes les 4 semaines",MOD($L212-INDEX('1 Budget annuel'!$L$14:$L$43,COLUMN()-COLUMN($X$42)+1),28)=0),AND(INDEX('1 Budget annuel'!$E$14:$E$43,COLUMN()-COLUMN($X$42)+1)="Mensuelle",DAY($L212)=MIN(DAY(INDEX('1 Budget annuel'!$L$14:$L$43,COLUMN()-COLUMN($X$42)+1)),DAY(EOMONTH($L212,0)))),AND(INDEX('1 Budget annuel'!$E$14:$E$43,COLUMN()-COLUMN($X$42)+1)="Trimestrielle",MOD((YEAR($L212)-YEAR(INDEX('1 Budget annuel'!$L$14:$L$43,COLUMN()-COLUMN($X$42)+1)))*12+MONTH($L212)-MONTH(INDEX('1 Budget annuel'!$L$14:$L$43,COLUMN()-COLUMN($X$42)+1)),3)=0,DAY($L212)=MIN(DAY(INDEX('1 Budget annuel'!$L$14:$L$43,COLUMN()-COLUMN($X$42)+1)),DAY(EOMONTH($L212,0)))),AND(INDEX('1 Budget annuel'!$E$14:$E$43,COLUMN()-COLUMN($X$42)+1)="Semestrielle",MOD((YEAR($L212)-YEAR(INDEX('1 Budget annuel'!$L$14:$L$43,COLUMN()-COLUMN($X$42)+1)))*12+MONTH($L212)-MONTH(INDEX('1 Budget annuel'!$L$14:$L$43,COLUMN()-COLUMN($X$42)+1)),6)=0,DAY($L212)=MIN(DAY(INDEX('1 Budget annuel'!$L$14:$L$43,COLUMN()-COLUMN($X$42)+1)),DAY(EOMONTH($L212,0)))),AND(INDEX('1 Budget annuel'!$E$14:$E$43,COLUMN()-COLUMN($X$42)+1)="Annuelle",MOD((YEAR($L212)-YEAR(INDEX('1 Budget annuel'!$L$14:$L$43,COLUMN()-COLUMN($X$42)+1)))*12+MONTH($L212)-MONTH(INDEX('1 Budget annuel'!$L$14:$L$43,COLUMN()-COLUMN($X$42)+1)),12)=0,DAY($L212)=MIN(DAY(INDEX('1 Budget annuel'!$L$14:$L$43,COLUMN()-COLUMN($X$42)+1)),DAY(EOMONTH($L212,0))))),IF(INDEX('1 Budget annuel'!$B$14:$B$43,COLUMN()-COLUMN($X$42)+1)="Entrée",INDEX('1 Budget annuel'!$I$14:$I$43,COLUMN()-COLUMN($X$42)+1),-INDEX('1 Budget annuel'!$I$14:$I$43,COLUMN()-COLUMN($X$42)+1)),0))</x:f>
        <x:v>0</x:v>
      </x:c>
    </x:row>
    <x:row r="213">
      <x:c r="L213" s="114" t="n">
        <x:f>L212+1</x:f>
        <x:v>46407</x:v>
      </x:c>
      <x:c r="M213" s="115" t="b">
        <x:f>AND(L213&gt;=$D$5,L213&lt;=$D$5+363,MOD(L213-$D$5,7)=0)</x:f>
        <x:v>0</x:v>
      </x:c>
      <x:c r="N213" s="116" t="n">
        <x:f>SUM(X213:BA213)</x:f>
        <x:v>0</x:v>
      </x:c>
      <x:c r="O213" s="116" t="n">
        <x:f>IF(M213,$D$10,0)</x:f>
        <x:v>0</x:v>
      </x:c>
      <x:c r="P213" s="116" t="n">
        <x:f>N213-O213</x:f>
        <x:v>0</x:v>
      </x:c>
      <x:c r="Q213" s="116" t="n">
        <x:f>IF(L213&lt;$D$5,0,IF(L213=$D$5,P213,Q212+P213))</x:f>
        <x:v>0</x:v>
      </x:c>
      <x:c r="R213" s="116" t="n">
        <x:f>IF(L213&lt;$D$5,"",$J$10+Q213)</x:f>
        <x:v>0</x:v>
      </x:c>
      <x:c r="S213" s="116" t="n">
        <x:f>IF($L213&lt;$D$5,"",IF($L213=$D$5,$J$10+$N213-IF($M213,IF(INT(($L213-$D$5)/7)&lt;$A$20,$B$20,$D$10),0),S212+$N213-IF($M213,IF(INT(($L213-$D$5)/7)&lt;$A$20,$B$20,$D$10),0)))</x:f>
        <x:v>0</x:v>
      </x:c>
      <x:c r="T213" s="116" t="n">
        <x:f>IF($L213&lt;$D$5,"",IF($L213=$D$5,$J$10+$N213-IF($M213,IF(INT(($L213-$D$5)/7)&lt;$A$21,$B$21,$D$10),0),T212+$N213-IF($M213,IF(INT(($L213-$D$5)/7)&lt;$A$21,$B$21,$D$10),0)))</x:f>
        <x:v>0</x:v>
      </x:c>
      <x:c r="U213" s="116" t="n">
        <x:f>IF($L213&lt;$D$5,"",IF($L213=$D$5,$J$10+$N213-IF($M213,IF(INT(($L213-$D$5)/7)&lt;$A$22,$B$22,$D$10),0),U212+$N213-IF($M213,IF(INT(($L213-$D$5)/7)&lt;$A$22,$B$22,$D$10),0)))</x:f>
        <x:v>0</x:v>
      </x:c>
      <x:c r="V213" s="116" t="n">
        <x:f>IF($L213&lt;$D$5,"",IF($L213=$D$5,$J$10+$N213-IF($M213,IF(INT(($L213-$D$5)/7)&lt;$A$23,$B$23,$D$10),0),V212+$N213-IF($M213,IF(INT(($L213-$D$5)/7)&lt;$A$23,$B$23,$D$10),0)))</x:f>
        <x:v>0</x:v>
      </x:c>
      <x:c r="W213" s="116" t="n">
        <x:f>IF($L213&lt;$D$5,"",IF($L213=$D$5,$J$10+$N213-IF($M213,IF(INT(($L213-$D$5)/7)&lt;$A$24,$B$24,$D$10),0),W212+$N213-IF($M213,IF(INT(($L213-$D$5)/7)&lt;$A$24,$B$24,$D$10),0)))</x:f>
        <x:v>0</x:v>
      </x:c>
      <x:c r="X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Y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Z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A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B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C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D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E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F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G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H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I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J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K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L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M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N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O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P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Q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R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S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T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U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V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W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X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Y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AZ213" s="116"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c r="BA213" s="117" t="n">
        <x:f>IF(OR(INDEX('1 Budget annuel'!$A$14:$A$43,COLUMN()-COLUMN($X$42)+1)&lt;&gt;"Oui",INDEX('1 Budget annuel'!$L$14:$L$43,COLUMN()-COLUMN($X$42)+1)="",AND(INDEX('1 Budget annuel'!$B$14:$B$43,COLUMN()-COLUMN($X$42)+1)="Sortie",INDEX('1 Budget annuel'!$M$14:$M$43,COLUMN()-COLUMN($X$42)+1)="Oui"),$L213&lt;INDEX('1 Budget annuel'!$L$14:$L$43,COLUMN()-COLUMN($X$42)+1),$L213&gt;$D$5+363),0,IF(OR(AND(INDEX('1 Budget annuel'!$E$14:$E$43,COLUMN()-COLUMN($X$42)+1)="Hebdomadaire",MOD($L213-INDEX('1 Budget annuel'!$L$14:$L$43,COLUMN()-COLUMN($X$42)+1),7)=0),AND(INDEX('1 Budget annuel'!$E$14:$E$43,COLUMN()-COLUMN($X$42)+1)="Toutes les 4 semaines",MOD($L213-INDEX('1 Budget annuel'!$L$14:$L$43,COLUMN()-COLUMN($X$42)+1),28)=0),AND(INDEX('1 Budget annuel'!$E$14:$E$43,COLUMN()-COLUMN($X$42)+1)="Mensuelle",DAY($L213)=MIN(DAY(INDEX('1 Budget annuel'!$L$14:$L$43,COLUMN()-COLUMN($X$42)+1)),DAY(EOMONTH($L213,0)))),AND(INDEX('1 Budget annuel'!$E$14:$E$43,COLUMN()-COLUMN($X$42)+1)="Trimestrielle",MOD((YEAR($L213)-YEAR(INDEX('1 Budget annuel'!$L$14:$L$43,COLUMN()-COLUMN($X$42)+1)))*12+MONTH($L213)-MONTH(INDEX('1 Budget annuel'!$L$14:$L$43,COLUMN()-COLUMN($X$42)+1)),3)=0,DAY($L213)=MIN(DAY(INDEX('1 Budget annuel'!$L$14:$L$43,COLUMN()-COLUMN($X$42)+1)),DAY(EOMONTH($L213,0)))),AND(INDEX('1 Budget annuel'!$E$14:$E$43,COLUMN()-COLUMN($X$42)+1)="Semestrielle",MOD((YEAR($L213)-YEAR(INDEX('1 Budget annuel'!$L$14:$L$43,COLUMN()-COLUMN($X$42)+1)))*12+MONTH($L213)-MONTH(INDEX('1 Budget annuel'!$L$14:$L$43,COLUMN()-COLUMN($X$42)+1)),6)=0,DAY($L213)=MIN(DAY(INDEX('1 Budget annuel'!$L$14:$L$43,COLUMN()-COLUMN($X$42)+1)),DAY(EOMONTH($L213,0)))),AND(INDEX('1 Budget annuel'!$E$14:$E$43,COLUMN()-COLUMN($X$42)+1)="Annuelle",MOD((YEAR($L213)-YEAR(INDEX('1 Budget annuel'!$L$14:$L$43,COLUMN()-COLUMN($X$42)+1)))*12+MONTH($L213)-MONTH(INDEX('1 Budget annuel'!$L$14:$L$43,COLUMN()-COLUMN($X$42)+1)),12)=0,DAY($L213)=MIN(DAY(INDEX('1 Budget annuel'!$L$14:$L$43,COLUMN()-COLUMN($X$42)+1)),DAY(EOMONTH($L213,0))))),IF(INDEX('1 Budget annuel'!$B$14:$B$43,COLUMN()-COLUMN($X$42)+1)="Entrée",INDEX('1 Budget annuel'!$I$14:$I$43,COLUMN()-COLUMN($X$42)+1),-INDEX('1 Budget annuel'!$I$14:$I$43,COLUMN()-COLUMN($X$42)+1)),0))</x:f>
        <x:v>0</x:v>
      </x:c>
    </x:row>
    <x:row r="214">
      <x:c r="L214" s="114" t="n">
        <x:f>L213+1</x:f>
        <x:v>46408</x:v>
      </x:c>
      <x:c r="M214" s="115" t="b">
        <x:f>AND(L214&gt;=$D$5,L214&lt;=$D$5+363,MOD(L214-$D$5,7)=0)</x:f>
        <x:v>0</x:v>
      </x:c>
      <x:c r="N214" s="116" t="n">
        <x:f>SUM(X214:BA214)</x:f>
        <x:v>0</x:v>
      </x:c>
      <x:c r="O214" s="116" t="n">
        <x:f>IF(M214,$D$10,0)</x:f>
        <x:v>0</x:v>
      </x:c>
      <x:c r="P214" s="116" t="n">
        <x:f>N214-O214</x:f>
        <x:v>0</x:v>
      </x:c>
      <x:c r="Q214" s="116" t="n">
        <x:f>IF(L214&lt;$D$5,0,IF(L214=$D$5,P214,Q213+P214))</x:f>
        <x:v>0</x:v>
      </x:c>
      <x:c r="R214" s="116" t="n">
        <x:f>IF(L214&lt;$D$5,"",$J$10+Q214)</x:f>
        <x:v>0</x:v>
      </x:c>
      <x:c r="S214" s="116" t="n">
        <x:f>IF($L214&lt;$D$5,"",IF($L214=$D$5,$J$10+$N214-IF($M214,IF(INT(($L214-$D$5)/7)&lt;$A$20,$B$20,$D$10),0),S213+$N214-IF($M214,IF(INT(($L214-$D$5)/7)&lt;$A$20,$B$20,$D$10),0)))</x:f>
        <x:v>0</x:v>
      </x:c>
      <x:c r="T214" s="116" t="n">
        <x:f>IF($L214&lt;$D$5,"",IF($L214=$D$5,$J$10+$N214-IF($M214,IF(INT(($L214-$D$5)/7)&lt;$A$21,$B$21,$D$10),0),T213+$N214-IF($M214,IF(INT(($L214-$D$5)/7)&lt;$A$21,$B$21,$D$10),0)))</x:f>
        <x:v>0</x:v>
      </x:c>
      <x:c r="U214" s="116" t="n">
        <x:f>IF($L214&lt;$D$5,"",IF($L214=$D$5,$J$10+$N214-IF($M214,IF(INT(($L214-$D$5)/7)&lt;$A$22,$B$22,$D$10),0),U213+$N214-IF($M214,IF(INT(($L214-$D$5)/7)&lt;$A$22,$B$22,$D$10),0)))</x:f>
        <x:v>0</x:v>
      </x:c>
      <x:c r="V214" s="116" t="n">
        <x:f>IF($L214&lt;$D$5,"",IF($L214=$D$5,$J$10+$N214-IF($M214,IF(INT(($L214-$D$5)/7)&lt;$A$23,$B$23,$D$10),0),V213+$N214-IF($M214,IF(INT(($L214-$D$5)/7)&lt;$A$23,$B$23,$D$10),0)))</x:f>
        <x:v>0</x:v>
      </x:c>
      <x:c r="W214" s="116" t="n">
        <x:f>IF($L214&lt;$D$5,"",IF($L214=$D$5,$J$10+$N214-IF($M214,IF(INT(($L214-$D$5)/7)&lt;$A$24,$B$24,$D$10),0),W213+$N214-IF($M214,IF(INT(($L214-$D$5)/7)&lt;$A$24,$B$24,$D$10),0)))</x:f>
        <x:v>0</x:v>
      </x:c>
      <x:c r="X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Y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Z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A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B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C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D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E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F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G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H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I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J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K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L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M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N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O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P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Q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R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S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T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U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V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W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X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Y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AZ214" s="116"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c r="BA214" s="117" t="n">
        <x:f>IF(OR(INDEX('1 Budget annuel'!$A$14:$A$43,COLUMN()-COLUMN($X$42)+1)&lt;&gt;"Oui",INDEX('1 Budget annuel'!$L$14:$L$43,COLUMN()-COLUMN($X$42)+1)="",AND(INDEX('1 Budget annuel'!$B$14:$B$43,COLUMN()-COLUMN($X$42)+1)="Sortie",INDEX('1 Budget annuel'!$M$14:$M$43,COLUMN()-COLUMN($X$42)+1)="Oui"),$L214&lt;INDEX('1 Budget annuel'!$L$14:$L$43,COLUMN()-COLUMN($X$42)+1),$L214&gt;$D$5+363),0,IF(OR(AND(INDEX('1 Budget annuel'!$E$14:$E$43,COLUMN()-COLUMN($X$42)+1)="Hebdomadaire",MOD($L214-INDEX('1 Budget annuel'!$L$14:$L$43,COLUMN()-COLUMN($X$42)+1),7)=0),AND(INDEX('1 Budget annuel'!$E$14:$E$43,COLUMN()-COLUMN($X$42)+1)="Toutes les 4 semaines",MOD($L214-INDEX('1 Budget annuel'!$L$14:$L$43,COLUMN()-COLUMN($X$42)+1),28)=0),AND(INDEX('1 Budget annuel'!$E$14:$E$43,COLUMN()-COLUMN($X$42)+1)="Mensuelle",DAY($L214)=MIN(DAY(INDEX('1 Budget annuel'!$L$14:$L$43,COLUMN()-COLUMN($X$42)+1)),DAY(EOMONTH($L214,0)))),AND(INDEX('1 Budget annuel'!$E$14:$E$43,COLUMN()-COLUMN($X$42)+1)="Trimestrielle",MOD((YEAR($L214)-YEAR(INDEX('1 Budget annuel'!$L$14:$L$43,COLUMN()-COLUMN($X$42)+1)))*12+MONTH($L214)-MONTH(INDEX('1 Budget annuel'!$L$14:$L$43,COLUMN()-COLUMN($X$42)+1)),3)=0,DAY($L214)=MIN(DAY(INDEX('1 Budget annuel'!$L$14:$L$43,COLUMN()-COLUMN($X$42)+1)),DAY(EOMONTH($L214,0)))),AND(INDEX('1 Budget annuel'!$E$14:$E$43,COLUMN()-COLUMN($X$42)+1)="Semestrielle",MOD((YEAR($L214)-YEAR(INDEX('1 Budget annuel'!$L$14:$L$43,COLUMN()-COLUMN($X$42)+1)))*12+MONTH($L214)-MONTH(INDEX('1 Budget annuel'!$L$14:$L$43,COLUMN()-COLUMN($X$42)+1)),6)=0,DAY($L214)=MIN(DAY(INDEX('1 Budget annuel'!$L$14:$L$43,COLUMN()-COLUMN($X$42)+1)),DAY(EOMONTH($L214,0)))),AND(INDEX('1 Budget annuel'!$E$14:$E$43,COLUMN()-COLUMN($X$42)+1)="Annuelle",MOD((YEAR($L214)-YEAR(INDEX('1 Budget annuel'!$L$14:$L$43,COLUMN()-COLUMN($X$42)+1)))*12+MONTH($L214)-MONTH(INDEX('1 Budget annuel'!$L$14:$L$43,COLUMN()-COLUMN($X$42)+1)),12)=0,DAY($L214)=MIN(DAY(INDEX('1 Budget annuel'!$L$14:$L$43,COLUMN()-COLUMN($X$42)+1)),DAY(EOMONTH($L214,0))))),IF(INDEX('1 Budget annuel'!$B$14:$B$43,COLUMN()-COLUMN($X$42)+1)="Entrée",INDEX('1 Budget annuel'!$I$14:$I$43,COLUMN()-COLUMN($X$42)+1),-INDEX('1 Budget annuel'!$I$14:$I$43,COLUMN()-COLUMN($X$42)+1)),0))</x:f>
        <x:v>0</x:v>
      </x:c>
    </x:row>
    <x:row r="215">
      <x:c r="L215" s="114" t="n">
        <x:f>L214+1</x:f>
        <x:v>46409</x:v>
      </x:c>
      <x:c r="M215" s="115" t="b">
        <x:f>AND(L215&gt;=$D$5,L215&lt;=$D$5+363,MOD(L215-$D$5,7)=0)</x:f>
        <x:v>0</x:v>
      </x:c>
      <x:c r="N215" s="116" t="n">
        <x:f>SUM(X215:BA215)</x:f>
        <x:v>0</x:v>
      </x:c>
      <x:c r="O215" s="116" t="n">
        <x:f>IF(M215,$D$10,0)</x:f>
        <x:v>0</x:v>
      </x:c>
      <x:c r="P215" s="116" t="n">
        <x:f>N215-O215</x:f>
        <x:v>0</x:v>
      </x:c>
      <x:c r="Q215" s="116" t="n">
        <x:f>IF(L215&lt;$D$5,0,IF(L215=$D$5,P215,Q214+P215))</x:f>
        <x:v>0</x:v>
      </x:c>
      <x:c r="R215" s="116" t="n">
        <x:f>IF(L215&lt;$D$5,"",$J$10+Q215)</x:f>
        <x:v>0</x:v>
      </x:c>
      <x:c r="S215" s="116" t="n">
        <x:f>IF($L215&lt;$D$5,"",IF($L215=$D$5,$J$10+$N215-IF($M215,IF(INT(($L215-$D$5)/7)&lt;$A$20,$B$20,$D$10),0),S214+$N215-IF($M215,IF(INT(($L215-$D$5)/7)&lt;$A$20,$B$20,$D$10),0)))</x:f>
        <x:v>0</x:v>
      </x:c>
      <x:c r="T215" s="116" t="n">
        <x:f>IF($L215&lt;$D$5,"",IF($L215=$D$5,$J$10+$N215-IF($M215,IF(INT(($L215-$D$5)/7)&lt;$A$21,$B$21,$D$10),0),T214+$N215-IF($M215,IF(INT(($L215-$D$5)/7)&lt;$A$21,$B$21,$D$10),0)))</x:f>
        <x:v>0</x:v>
      </x:c>
      <x:c r="U215" s="116" t="n">
        <x:f>IF($L215&lt;$D$5,"",IF($L215=$D$5,$J$10+$N215-IF($M215,IF(INT(($L215-$D$5)/7)&lt;$A$22,$B$22,$D$10),0),U214+$N215-IF($M215,IF(INT(($L215-$D$5)/7)&lt;$A$22,$B$22,$D$10),0)))</x:f>
        <x:v>0</x:v>
      </x:c>
      <x:c r="V215" s="116" t="n">
        <x:f>IF($L215&lt;$D$5,"",IF($L215=$D$5,$J$10+$N215-IF($M215,IF(INT(($L215-$D$5)/7)&lt;$A$23,$B$23,$D$10),0),V214+$N215-IF($M215,IF(INT(($L215-$D$5)/7)&lt;$A$23,$B$23,$D$10),0)))</x:f>
        <x:v>0</x:v>
      </x:c>
      <x:c r="W215" s="116" t="n">
        <x:f>IF($L215&lt;$D$5,"",IF($L215=$D$5,$J$10+$N215-IF($M215,IF(INT(($L215-$D$5)/7)&lt;$A$24,$B$24,$D$10),0),W214+$N215-IF($M215,IF(INT(($L215-$D$5)/7)&lt;$A$24,$B$24,$D$10),0)))</x:f>
        <x:v>0</x:v>
      </x:c>
      <x:c r="X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Y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Z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A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B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C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D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E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F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G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H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I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J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K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L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M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N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O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P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Q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R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S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T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U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V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W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X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Y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AZ215" s="116"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c r="BA215" s="117" t="n">
        <x:f>IF(OR(INDEX('1 Budget annuel'!$A$14:$A$43,COLUMN()-COLUMN($X$42)+1)&lt;&gt;"Oui",INDEX('1 Budget annuel'!$L$14:$L$43,COLUMN()-COLUMN($X$42)+1)="",AND(INDEX('1 Budget annuel'!$B$14:$B$43,COLUMN()-COLUMN($X$42)+1)="Sortie",INDEX('1 Budget annuel'!$M$14:$M$43,COLUMN()-COLUMN($X$42)+1)="Oui"),$L215&lt;INDEX('1 Budget annuel'!$L$14:$L$43,COLUMN()-COLUMN($X$42)+1),$L215&gt;$D$5+363),0,IF(OR(AND(INDEX('1 Budget annuel'!$E$14:$E$43,COLUMN()-COLUMN($X$42)+1)="Hebdomadaire",MOD($L215-INDEX('1 Budget annuel'!$L$14:$L$43,COLUMN()-COLUMN($X$42)+1),7)=0),AND(INDEX('1 Budget annuel'!$E$14:$E$43,COLUMN()-COLUMN($X$42)+1)="Toutes les 4 semaines",MOD($L215-INDEX('1 Budget annuel'!$L$14:$L$43,COLUMN()-COLUMN($X$42)+1),28)=0),AND(INDEX('1 Budget annuel'!$E$14:$E$43,COLUMN()-COLUMN($X$42)+1)="Mensuelle",DAY($L215)=MIN(DAY(INDEX('1 Budget annuel'!$L$14:$L$43,COLUMN()-COLUMN($X$42)+1)),DAY(EOMONTH($L215,0)))),AND(INDEX('1 Budget annuel'!$E$14:$E$43,COLUMN()-COLUMN($X$42)+1)="Trimestrielle",MOD((YEAR($L215)-YEAR(INDEX('1 Budget annuel'!$L$14:$L$43,COLUMN()-COLUMN($X$42)+1)))*12+MONTH($L215)-MONTH(INDEX('1 Budget annuel'!$L$14:$L$43,COLUMN()-COLUMN($X$42)+1)),3)=0,DAY($L215)=MIN(DAY(INDEX('1 Budget annuel'!$L$14:$L$43,COLUMN()-COLUMN($X$42)+1)),DAY(EOMONTH($L215,0)))),AND(INDEX('1 Budget annuel'!$E$14:$E$43,COLUMN()-COLUMN($X$42)+1)="Semestrielle",MOD((YEAR($L215)-YEAR(INDEX('1 Budget annuel'!$L$14:$L$43,COLUMN()-COLUMN($X$42)+1)))*12+MONTH($L215)-MONTH(INDEX('1 Budget annuel'!$L$14:$L$43,COLUMN()-COLUMN($X$42)+1)),6)=0,DAY($L215)=MIN(DAY(INDEX('1 Budget annuel'!$L$14:$L$43,COLUMN()-COLUMN($X$42)+1)),DAY(EOMONTH($L215,0)))),AND(INDEX('1 Budget annuel'!$E$14:$E$43,COLUMN()-COLUMN($X$42)+1)="Annuelle",MOD((YEAR($L215)-YEAR(INDEX('1 Budget annuel'!$L$14:$L$43,COLUMN()-COLUMN($X$42)+1)))*12+MONTH($L215)-MONTH(INDEX('1 Budget annuel'!$L$14:$L$43,COLUMN()-COLUMN($X$42)+1)),12)=0,DAY($L215)=MIN(DAY(INDEX('1 Budget annuel'!$L$14:$L$43,COLUMN()-COLUMN($X$42)+1)),DAY(EOMONTH($L215,0))))),IF(INDEX('1 Budget annuel'!$B$14:$B$43,COLUMN()-COLUMN($X$42)+1)="Entrée",INDEX('1 Budget annuel'!$I$14:$I$43,COLUMN()-COLUMN($X$42)+1),-INDEX('1 Budget annuel'!$I$14:$I$43,COLUMN()-COLUMN($X$42)+1)),0))</x:f>
        <x:v>0</x:v>
      </x:c>
    </x:row>
    <x:row r="216">
      <x:c r="L216" s="114" t="n">
        <x:f>L215+1</x:f>
        <x:v>46410</x:v>
      </x:c>
      <x:c r="M216" s="115" t="b">
        <x:f>AND(L216&gt;=$D$5,L216&lt;=$D$5+363,MOD(L216-$D$5,7)=0)</x:f>
        <x:v>1</x:v>
      </x:c>
      <x:c r="N216" s="116" t="n">
        <x:f>SUM(X216:BA216)</x:f>
        <x:v>0</x:v>
      </x:c>
      <x:c r="O216" s="116" t="n">
        <x:f>IF(M216,$D$10,0)</x:f>
        <x:v>0</x:v>
      </x:c>
      <x:c r="P216" s="116" t="n">
        <x:f>N216-O216</x:f>
        <x:v>0</x:v>
      </x:c>
      <x:c r="Q216" s="116" t="n">
        <x:f>IF(L216&lt;$D$5,0,IF(L216=$D$5,P216,Q215+P216))</x:f>
        <x:v>0</x:v>
      </x:c>
      <x:c r="R216" s="116" t="n">
        <x:f>IF(L216&lt;$D$5,"",$J$10+Q216)</x:f>
        <x:v>0</x:v>
      </x:c>
      <x:c r="S216" s="116" t="n">
        <x:f>IF($L216&lt;$D$5,"",IF($L216=$D$5,$J$10+$N216-IF($M216,IF(INT(($L216-$D$5)/7)&lt;$A$20,$B$20,$D$10),0),S215+$N216-IF($M216,IF(INT(($L216-$D$5)/7)&lt;$A$20,$B$20,$D$10),0)))</x:f>
        <x:v>0</x:v>
      </x:c>
      <x:c r="T216" s="116" t="n">
        <x:f>IF($L216&lt;$D$5,"",IF($L216=$D$5,$J$10+$N216-IF($M216,IF(INT(($L216-$D$5)/7)&lt;$A$21,$B$21,$D$10),0),T215+$N216-IF($M216,IF(INT(($L216-$D$5)/7)&lt;$A$21,$B$21,$D$10),0)))</x:f>
        <x:v>0</x:v>
      </x:c>
      <x:c r="U216" s="116" t="n">
        <x:f>IF($L216&lt;$D$5,"",IF($L216=$D$5,$J$10+$N216-IF($M216,IF(INT(($L216-$D$5)/7)&lt;$A$22,$B$22,$D$10),0),U215+$N216-IF($M216,IF(INT(($L216-$D$5)/7)&lt;$A$22,$B$22,$D$10),0)))</x:f>
        <x:v>0</x:v>
      </x:c>
      <x:c r="V216" s="116" t="n">
        <x:f>IF($L216&lt;$D$5,"",IF($L216=$D$5,$J$10+$N216-IF($M216,IF(INT(($L216-$D$5)/7)&lt;$A$23,$B$23,$D$10),0),V215+$N216-IF($M216,IF(INT(($L216-$D$5)/7)&lt;$A$23,$B$23,$D$10),0)))</x:f>
        <x:v>0</x:v>
      </x:c>
      <x:c r="W216" s="116" t="n">
        <x:f>IF($L216&lt;$D$5,"",IF($L216=$D$5,$J$10+$N216-IF($M216,IF(INT(($L216-$D$5)/7)&lt;$A$24,$B$24,$D$10),0),W215+$N216-IF($M216,IF(INT(($L216-$D$5)/7)&lt;$A$24,$B$24,$D$10),0)))</x:f>
        <x:v>0</x:v>
      </x:c>
      <x:c r="X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Y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Z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A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B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C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D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E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F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G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H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I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J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K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L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M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N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O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P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Q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R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S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T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U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V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W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X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Y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AZ216" s="116"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c r="BA216" s="117" t="n">
        <x:f>IF(OR(INDEX('1 Budget annuel'!$A$14:$A$43,COLUMN()-COLUMN($X$42)+1)&lt;&gt;"Oui",INDEX('1 Budget annuel'!$L$14:$L$43,COLUMN()-COLUMN($X$42)+1)="",AND(INDEX('1 Budget annuel'!$B$14:$B$43,COLUMN()-COLUMN($X$42)+1)="Sortie",INDEX('1 Budget annuel'!$M$14:$M$43,COLUMN()-COLUMN($X$42)+1)="Oui"),$L216&lt;INDEX('1 Budget annuel'!$L$14:$L$43,COLUMN()-COLUMN($X$42)+1),$L216&gt;$D$5+363),0,IF(OR(AND(INDEX('1 Budget annuel'!$E$14:$E$43,COLUMN()-COLUMN($X$42)+1)="Hebdomadaire",MOD($L216-INDEX('1 Budget annuel'!$L$14:$L$43,COLUMN()-COLUMN($X$42)+1),7)=0),AND(INDEX('1 Budget annuel'!$E$14:$E$43,COLUMN()-COLUMN($X$42)+1)="Toutes les 4 semaines",MOD($L216-INDEX('1 Budget annuel'!$L$14:$L$43,COLUMN()-COLUMN($X$42)+1),28)=0),AND(INDEX('1 Budget annuel'!$E$14:$E$43,COLUMN()-COLUMN($X$42)+1)="Mensuelle",DAY($L216)=MIN(DAY(INDEX('1 Budget annuel'!$L$14:$L$43,COLUMN()-COLUMN($X$42)+1)),DAY(EOMONTH($L216,0)))),AND(INDEX('1 Budget annuel'!$E$14:$E$43,COLUMN()-COLUMN($X$42)+1)="Trimestrielle",MOD((YEAR($L216)-YEAR(INDEX('1 Budget annuel'!$L$14:$L$43,COLUMN()-COLUMN($X$42)+1)))*12+MONTH($L216)-MONTH(INDEX('1 Budget annuel'!$L$14:$L$43,COLUMN()-COLUMN($X$42)+1)),3)=0,DAY($L216)=MIN(DAY(INDEX('1 Budget annuel'!$L$14:$L$43,COLUMN()-COLUMN($X$42)+1)),DAY(EOMONTH($L216,0)))),AND(INDEX('1 Budget annuel'!$E$14:$E$43,COLUMN()-COLUMN($X$42)+1)="Semestrielle",MOD((YEAR($L216)-YEAR(INDEX('1 Budget annuel'!$L$14:$L$43,COLUMN()-COLUMN($X$42)+1)))*12+MONTH($L216)-MONTH(INDEX('1 Budget annuel'!$L$14:$L$43,COLUMN()-COLUMN($X$42)+1)),6)=0,DAY($L216)=MIN(DAY(INDEX('1 Budget annuel'!$L$14:$L$43,COLUMN()-COLUMN($X$42)+1)),DAY(EOMONTH($L216,0)))),AND(INDEX('1 Budget annuel'!$E$14:$E$43,COLUMN()-COLUMN($X$42)+1)="Annuelle",MOD((YEAR($L216)-YEAR(INDEX('1 Budget annuel'!$L$14:$L$43,COLUMN()-COLUMN($X$42)+1)))*12+MONTH($L216)-MONTH(INDEX('1 Budget annuel'!$L$14:$L$43,COLUMN()-COLUMN($X$42)+1)),12)=0,DAY($L216)=MIN(DAY(INDEX('1 Budget annuel'!$L$14:$L$43,COLUMN()-COLUMN($X$42)+1)),DAY(EOMONTH($L216,0))))),IF(INDEX('1 Budget annuel'!$B$14:$B$43,COLUMN()-COLUMN($X$42)+1)="Entrée",INDEX('1 Budget annuel'!$I$14:$I$43,COLUMN()-COLUMN($X$42)+1),-INDEX('1 Budget annuel'!$I$14:$I$43,COLUMN()-COLUMN($X$42)+1)),0))</x:f>
        <x:v>0</x:v>
      </x:c>
    </x:row>
    <x:row r="217">
      <x:c r="L217" s="114" t="n">
        <x:f>L216+1</x:f>
        <x:v>46411</x:v>
      </x:c>
      <x:c r="M217" s="115" t="b">
        <x:f>AND(L217&gt;=$D$5,L217&lt;=$D$5+363,MOD(L217-$D$5,7)=0)</x:f>
        <x:v>0</x:v>
      </x:c>
      <x:c r="N217" s="116" t="n">
        <x:f>SUM(X217:BA217)</x:f>
        <x:v>0</x:v>
      </x:c>
      <x:c r="O217" s="116" t="n">
        <x:f>IF(M217,$D$10,0)</x:f>
        <x:v>0</x:v>
      </x:c>
      <x:c r="P217" s="116" t="n">
        <x:f>N217-O217</x:f>
        <x:v>0</x:v>
      </x:c>
      <x:c r="Q217" s="116" t="n">
        <x:f>IF(L217&lt;$D$5,0,IF(L217=$D$5,P217,Q216+P217))</x:f>
        <x:v>0</x:v>
      </x:c>
      <x:c r="R217" s="116" t="n">
        <x:f>IF(L217&lt;$D$5,"",$J$10+Q217)</x:f>
        <x:v>0</x:v>
      </x:c>
      <x:c r="S217" s="116" t="n">
        <x:f>IF($L217&lt;$D$5,"",IF($L217=$D$5,$J$10+$N217-IF($M217,IF(INT(($L217-$D$5)/7)&lt;$A$20,$B$20,$D$10),0),S216+$N217-IF($M217,IF(INT(($L217-$D$5)/7)&lt;$A$20,$B$20,$D$10),0)))</x:f>
        <x:v>0</x:v>
      </x:c>
      <x:c r="T217" s="116" t="n">
        <x:f>IF($L217&lt;$D$5,"",IF($L217=$D$5,$J$10+$N217-IF($M217,IF(INT(($L217-$D$5)/7)&lt;$A$21,$B$21,$D$10),0),T216+$N217-IF($M217,IF(INT(($L217-$D$5)/7)&lt;$A$21,$B$21,$D$10),0)))</x:f>
        <x:v>0</x:v>
      </x:c>
      <x:c r="U217" s="116" t="n">
        <x:f>IF($L217&lt;$D$5,"",IF($L217=$D$5,$J$10+$N217-IF($M217,IF(INT(($L217-$D$5)/7)&lt;$A$22,$B$22,$D$10),0),U216+$N217-IF($M217,IF(INT(($L217-$D$5)/7)&lt;$A$22,$B$22,$D$10),0)))</x:f>
        <x:v>0</x:v>
      </x:c>
      <x:c r="V217" s="116" t="n">
        <x:f>IF($L217&lt;$D$5,"",IF($L217=$D$5,$J$10+$N217-IF($M217,IF(INT(($L217-$D$5)/7)&lt;$A$23,$B$23,$D$10),0),V216+$N217-IF($M217,IF(INT(($L217-$D$5)/7)&lt;$A$23,$B$23,$D$10),0)))</x:f>
        <x:v>0</x:v>
      </x:c>
      <x:c r="W217" s="116" t="n">
        <x:f>IF($L217&lt;$D$5,"",IF($L217=$D$5,$J$10+$N217-IF($M217,IF(INT(($L217-$D$5)/7)&lt;$A$24,$B$24,$D$10),0),W216+$N217-IF($M217,IF(INT(($L217-$D$5)/7)&lt;$A$24,$B$24,$D$10),0)))</x:f>
        <x:v>0</x:v>
      </x:c>
      <x:c r="X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Y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Z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A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B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C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D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E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F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G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H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I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J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K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L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M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N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O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P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Q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R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S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T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U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V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W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X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Y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AZ217" s="116"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c r="BA217" s="117" t="n">
        <x:f>IF(OR(INDEX('1 Budget annuel'!$A$14:$A$43,COLUMN()-COLUMN($X$42)+1)&lt;&gt;"Oui",INDEX('1 Budget annuel'!$L$14:$L$43,COLUMN()-COLUMN($X$42)+1)="",AND(INDEX('1 Budget annuel'!$B$14:$B$43,COLUMN()-COLUMN($X$42)+1)="Sortie",INDEX('1 Budget annuel'!$M$14:$M$43,COLUMN()-COLUMN($X$42)+1)="Oui"),$L217&lt;INDEX('1 Budget annuel'!$L$14:$L$43,COLUMN()-COLUMN($X$42)+1),$L217&gt;$D$5+363),0,IF(OR(AND(INDEX('1 Budget annuel'!$E$14:$E$43,COLUMN()-COLUMN($X$42)+1)="Hebdomadaire",MOD($L217-INDEX('1 Budget annuel'!$L$14:$L$43,COLUMN()-COLUMN($X$42)+1),7)=0),AND(INDEX('1 Budget annuel'!$E$14:$E$43,COLUMN()-COLUMN($X$42)+1)="Toutes les 4 semaines",MOD($L217-INDEX('1 Budget annuel'!$L$14:$L$43,COLUMN()-COLUMN($X$42)+1),28)=0),AND(INDEX('1 Budget annuel'!$E$14:$E$43,COLUMN()-COLUMN($X$42)+1)="Mensuelle",DAY($L217)=MIN(DAY(INDEX('1 Budget annuel'!$L$14:$L$43,COLUMN()-COLUMN($X$42)+1)),DAY(EOMONTH($L217,0)))),AND(INDEX('1 Budget annuel'!$E$14:$E$43,COLUMN()-COLUMN($X$42)+1)="Trimestrielle",MOD((YEAR($L217)-YEAR(INDEX('1 Budget annuel'!$L$14:$L$43,COLUMN()-COLUMN($X$42)+1)))*12+MONTH($L217)-MONTH(INDEX('1 Budget annuel'!$L$14:$L$43,COLUMN()-COLUMN($X$42)+1)),3)=0,DAY($L217)=MIN(DAY(INDEX('1 Budget annuel'!$L$14:$L$43,COLUMN()-COLUMN($X$42)+1)),DAY(EOMONTH($L217,0)))),AND(INDEX('1 Budget annuel'!$E$14:$E$43,COLUMN()-COLUMN($X$42)+1)="Semestrielle",MOD((YEAR($L217)-YEAR(INDEX('1 Budget annuel'!$L$14:$L$43,COLUMN()-COLUMN($X$42)+1)))*12+MONTH($L217)-MONTH(INDEX('1 Budget annuel'!$L$14:$L$43,COLUMN()-COLUMN($X$42)+1)),6)=0,DAY($L217)=MIN(DAY(INDEX('1 Budget annuel'!$L$14:$L$43,COLUMN()-COLUMN($X$42)+1)),DAY(EOMONTH($L217,0)))),AND(INDEX('1 Budget annuel'!$E$14:$E$43,COLUMN()-COLUMN($X$42)+1)="Annuelle",MOD((YEAR($L217)-YEAR(INDEX('1 Budget annuel'!$L$14:$L$43,COLUMN()-COLUMN($X$42)+1)))*12+MONTH($L217)-MONTH(INDEX('1 Budget annuel'!$L$14:$L$43,COLUMN()-COLUMN($X$42)+1)),12)=0,DAY($L217)=MIN(DAY(INDEX('1 Budget annuel'!$L$14:$L$43,COLUMN()-COLUMN($X$42)+1)),DAY(EOMONTH($L217,0))))),IF(INDEX('1 Budget annuel'!$B$14:$B$43,COLUMN()-COLUMN($X$42)+1)="Entrée",INDEX('1 Budget annuel'!$I$14:$I$43,COLUMN()-COLUMN($X$42)+1),-INDEX('1 Budget annuel'!$I$14:$I$43,COLUMN()-COLUMN($X$42)+1)),0))</x:f>
        <x:v>0</x:v>
      </x:c>
    </x:row>
    <x:row r="218">
      <x:c r="L218" s="114" t="n">
        <x:f>L217+1</x:f>
        <x:v>46412</x:v>
      </x:c>
      <x:c r="M218" s="115" t="b">
        <x:f>AND(L218&gt;=$D$5,L218&lt;=$D$5+363,MOD(L218-$D$5,7)=0)</x:f>
        <x:v>0</x:v>
      </x:c>
      <x:c r="N218" s="116" t="n">
        <x:f>SUM(X218:BA218)</x:f>
        <x:v>0</x:v>
      </x:c>
      <x:c r="O218" s="116" t="n">
        <x:f>IF(M218,$D$10,0)</x:f>
        <x:v>0</x:v>
      </x:c>
      <x:c r="P218" s="116" t="n">
        <x:f>N218-O218</x:f>
        <x:v>0</x:v>
      </x:c>
      <x:c r="Q218" s="116" t="n">
        <x:f>IF(L218&lt;$D$5,0,IF(L218=$D$5,P218,Q217+P218))</x:f>
        <x:v>0</x:v>
      </x:c>
      <x:c r="R218" s="116" t="n">
        <x:f>IF(L218&lt;$D$5,"",$J$10+Q218)</x:f>
        <x:v>0</x:v>
      </x:c>
      <x:c r="S218" s="116" t="n">
        <x:f>IF($L218&lt;$D$5,"",IF($L218=$D$5,$J$10+$N218-IF($M218,IF(INT(($L218-$D$5)/7)&lt;$A$20,$B$20,$D$10),0),S217+$N218-IF($M218,IF(INT(($L218-$D$5)/7)&lt;$A$20,$B$20,$D$10),0)))</x:f>
        <x:v>0</x:v>
      </x:c>
      <x:c r="T218" s="116" t="n">
        <x:f>IF($L218&lt;$D$5,"",IF($L218=$D$5,$J$10+$N218-IF($M218,IF(INT(($L218-$D$5)/7)&lt;$A$21,$B$21,$D$10),0),T217+$N218-IF($M218,IF(INT(($L218-$D$5)/7)&lt;$A$21,$B$21,$D$10),0)))</x:f>
        <x:v>0</x:v>
      </x:c>
      <x:c r="U218" s="116" t="n">
        <x:f>IF($L218&lt;$D$5,"",IF($L218=$D$5,$J$10+$N218-IF($M218,IF(INT(($L218-$D$5)/7)&lt;$A$22,$B$22,$D$10),0),U217+$N218-IF($M218,IF(INT(($L218-$D$5)/7)&lt;$A$22,$B$22,$D$10),0)))</x:f>
        <x:v>0</x:v>
      </x:c>
      <x:c r="V218" s="116" t="n">
        <x:f>IF($L218&lt;$D$5,"",IF($L218=$D$5,$J$10+$N218-IF($M218,IF(INT(($L218-$D$5)/7)&lt;$A$23,$B$23,$D$10),0),V217+$N218-IF($M218,IF(INT(($L218-$D$5)/7)&lt;$A$23,$B$23,$D$10),0)))</x:f>
        <x:v>0</x:v>
      </x:c>
      <x:c r="W218" s="116" t="n">
        <x:f>IF($L218&lt;$D$5,"",IF($L218=$D$5,$J$10+$N218-IF($M218,IF(INT(($L218-$D$5)/7)&lt;$A$24,$B$24,$D$10),0),W217+$N218-IF($M218,IF(INT(($L218-$D$5)/7)&lt;$A$24,$B$24,$D$10),0)))</x:f>
        <x:v>0</x:v>
      </x:c>
      <x:c r="X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Y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Z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A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B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C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D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E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F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G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H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I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J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K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L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M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N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O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P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Q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R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S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T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U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V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W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X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Y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AZ218" s="116"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c r="BA218" s="117" t="n">
        <x:f>IF(OR(INDEX('1 Budget annuel'!$A$14:$A$43,COLUMN()-COLUMN($X$42)+1)&lt;&gt;"Oui",INDEX('1 Budget annuel'!$L$14:$L$43,COLUMN()-COLUMN($X$42)+1)="",AND(INDEX('1 Budget annuel'!$B$14:$B$43,COLUMN()-COLUMN($X$42)+1)="Sortie",INDEX('1 Budget annuel'!$M$14:$M$43,COLUMN()-COLUMN($X$42)+1)="Oui"),$L218&lt;INDEX('1 Budget annuel'!$L$14:$L$43,COLUMN()-COLUMN($X$42)+1),$L218&gt;$D$5+363),0,IF(OR(AND(INDEX('1 Budget annuel'!$E$14:$E$43,COLUMN()-COLUMN($X$42)+1)="Hebdomadaire",MOD($L218-INDEX('1 Budget annuel'!$L$14:$L$43,COLUMN()-COLUMN($X$42)+1),7)=0),AND(INDEX('1 Budget annuel'!$E$14:$E$43,COLUMN()-COLUMN($X$42)+1)="Toutes les 4 semaines",MOD($L218-INDEX('1 Budget annuel'!$L$14:$L$43,COLUMN()-COLUMN($X$42)+1),28)=0),AND(INDEX('1 Budget annuel'!$E$14:$E$43,COLUMN()-COLUMN($X$42)+1)="Mensuelle",DAY($L218)=MIN(DAY(INDEX('1 Budget annuel'!$L$14:$L$43,COLUMN()-COLUMN($X$42)+1)),DAY(EOMONTH($L218,0)))),AND(INDEX('1 Budget annuel'!$E$14:$E$43,COLUMN()-COLUMN($X$42)+1)="Trimestrielle",MOD((YEAR($L218)-YEAR(INDEX('1 Budget annuel'!$L$14:$L$43,COLUMN()-COLUMN($X$42)+1)))*12+MONTH($L218)-MONTH(INDEX('1 Budget annuel'!$L$14:$L$43,COLUMN()-COLUMN($X$42)+1)),3)=0,DAY($L218)=MIN(DAY(INDEX('1 Budget annuel'!$L$14:$L$43,COLUMN()-COLUMN($X$42)+1)),DAY(EOMONTH($L218,0)))),AND(INDEX('1 Budget annuel'!$E$14:$E$43,COLUMN()-COLUMN($X$42)+1)="Semestrielle",MOD((YEAR($L218)-YEAR(INDEX('1 Budget annuel'!$L$14:$L$43,COLUMN()-COLUMN($X$42)+1)))*12+MONTH($L218)-MONTH(INDEX('1 Budget annuel'!$L$14:$L$43,COLUMN()-COLUMN($X$42)+1)),6)=0,DAY($L218)=MIN(DAY(INDEX('1 Budget annuel'!$L$14:$L$43,COLUMN()-COLUMN($X$42)+1)),DAY(EOMONTH($L218,0)))),AND(INDEX('1 Budget annuel'!$E$14:$E$43,COLUMN()-COLUMN($X$42)+1)="Annuelle",MOD((YEAR($L218)-YEAR(INDEX('1 Budget annuel'!$L$14:$L$43,COLUMN()-COLUMN($X$42)+1)))*12+MONTH($L218)-MONTH(INDEX('1 Budget annuel'!$L$14:$L$43,COLUMN()-COLUMN($X$42)+1)),12)=0,DAY($L218)=MIN(DAY(INDEX('1 Budget annuel'!$L$14:$L$43,COLUMN()-COLUMN($X$42)+1)),DAY(EOMONTH($L218,0))))),IF(INDEX('1 Budget annuel'!$B$14:$B$43,COLUMN()-COLUMN($X$42)+1)="Entrée",INDEX('1 Budget annuel'!$I$14:$I$43,COLUMN()-COLUMN($X$42)+1),-INDEX('1 Budget annuel'!$I$14:$I$43,COLUMN()-COLUMN($X$42)+1)),0))</x:f>
        <x:v>0</x:v>
      </x:c>
    </x:row>
    <x:row r="219">
      <x:c r="L219" s="114" t="n">
        <x:f>L218+1</x:f>
        <x:v>46413</x:v>
      </x:c>
      <x:c r="M219" s="115" t="b">
        <x:f>AND(L219&gt;=$D$5,L219&lt;=$D$5+363,MOD(L219-$D$5,7)=0)</x:f>
        <x:v>0</x:v>
      </x:c>
      <x:c r="N219" s="116" t="n">
        <x:f>SUM(X219:BA219)</x:f>
        <x:v>0</x:v>
      </x:c>
      <x:c r="O219" s="116" t="n">
        <x:f>IF(M219,$D$10,0)</x:f>
        <x:v>0</x:v>
      </x:c>
      <x:c r="P219" s="116" t="n">
        <x:f>N219-O219</x:f>
        <x:v>0</x:v>
      </x:c>
      <x:c r="Q219" s="116" t="n">
        <x:f>IF(L219&lt;$D$5,0,IF(L219=$D$5,P219,Q218+P219))</x:f>
        <x:v>0</x:v>
      </x:c>
      <x:c r="R219" s="116" t="n">
        <x:f>IF(L219&lt;$D$5,"",$J$10+Q219)</x:f>
        <x:v>0</x:v>
      </x:c>
      <x:c r="S219" s="116" t="n">
        <x:f>IF($L219&lt;$D$5,"",IF($L219=$D$5,$J$10+$N219-IF($M219,IF(INT(($L219-$D$5)/7)&lt;$A$20,$B$20,$D$10),0),S218+$N219-IF($M219,IF(INT(($L219-$D$5)/7)&lt;$A$20,$B$20,$D$10),0)))</x:f>
        <x:v>0</x:v>
      </x:c>
      <x:c r="T219" s="116" t="n">
        <x:f>IF($L219&lt;$D$5,"",IF($L219=$D$5,$J$10+$N219-IF($M219,IF(INT(($L219-$D$5)/7)&lt;$A$21,$B$21,$D$10),0),T218+$N219-IF($M219,IF(INT(($L219-$D$5)/7)&lt;$A$21,$B$21,$D$10),0)))</x:f>
        <x:v>0</x:v>
      </x:c>
      <x:c r="U219" s="116" t="n">
        <x:f>IF($L219&lt;$D$5,"",IF($L219=$D$5,$J$10+$N219-IF($M219,IF(INT(($L219-$D$5)/7)&lt;$A$22,$B$22,$D$10),0),U218+$N219-IF($M219,IF(INT(($L219-$D$5)/7)&lt;$A$22,$B$22,$D$10),0)))</x:f>
        <x:v>0</x:v>
      </x:c>
      <x:c r="V219" s="116" t="n">
        <x:f>IF($L219&lt;$D$5,"",IF($L219=$D$5,$J$10+$N219-IF($M219,IF(INT(($L219-$D$5)/7)&lt;$A$23,$B$23,$D$10),0),V218+$N219-IF($M219,IF(INT(($L219-$D$5)/7)&lt;$A$23,$B$23,$D$10),0)))</x:f>
        <x:v>0</x:v>
      </x:c>
      <x:c r="W219" s="116" t="n">
        <x:f>IF($L219&lt;$D$5,"",IF($L219=$D$5,$J$10+$N219-IF($M219,IF(INT(($L219-$D$5)/7)&lt;$A$24,$B$24,$D$10),0),W218+$N219-IF($M219,IF(INT(($L219-$D$5)/7)&lt;$A$24,$B$24,$D$10),0)))</x:f>
        <x:v>0</x:v>
      </x:c>
      <x:c r="X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Y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Z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A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B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C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D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E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F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G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H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I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J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K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L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M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N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O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P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Q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R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S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T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U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V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W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X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Y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AZ219" s="116"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c r="BA219" s="117" t="n">
        <x:f>IF(OR(INDEX('1 Budget annuel'!$A$14:$A$43,COLUMN()-COLUMN($X$42)+1)&lt;&gt;"Oui",INDEX('1 Budget annuel'!$L$14:$L$43,COLUMN()-COLUMN($X$42)+1)="",AND(INDEX('1 Budget annuel'!$B$14:$B$43,COLUMN()-COLUMN($X$42)+1)="Sortie",INDEX('1 Budget annuel'!$M$14:$M$43,COLUMN()-COLUMN($X$42)+1)="Oui"),$L219&lt;INDEX('1 Budget annuel'!$L$14:$L$43,COLUMN()-COLUMN($X$42)+1),$L219&gt;$D$5+363),0,IF(OR(AND(INDEX('1 Budget annuel'!$E$14:$E$43,COLUMN()-COLUMN($X$42)+1)="Hebdomadaire",MOD($L219-INDEX('1 Budget annuel'!$L$14:$L$43,COLUMN()-COLUMN($X$42)+1),7)=0),AND(INDEX('1 Budget annuel'!$E$14:$E$43,COLUMN()-COLUMN($X$42)+1)="Toutes les 4 semaines",MOD($L219-INDEX('1 Budget annuel'!$L$14:$L$43,COLUMN()-COLUMN($X$42)+1),28)=0),AND(INDEX('1 Budget annuel'!$E$14:$E$43,COLUMN()-COLUMN($X$42)+1)="Mensuelle",DAY($L219)=MIN(DAY(INDEX('1 Budget annuel'!$L$14:$L$43,COLUMN()-COLUMN($X$42)+1)),DAY(EOMONTH($L219,0)))),AND(INDEX('1 Budget annuel'!$E$14:$E$43,COLUMN()-COLUMN($X$42)+1)="Trimestrielle",MOD((YEAR($L219)-YEAR(INDEX('1 Budget annuel'!$L$14:$L$43,COLUMN()-COLUMN($X$42)+1)))*12+MONTH($L219)-MONTH(INDEX('1 Budget annuel'!$L$14:$L$43,COLUMN()-COLUMN($X$42)+1)),3)=0,DAY($L219)=MIN(DAY(INDEX('1 Budget annuel'!$L$14:$L$43,COLUMN()-COLUMN($X$42)+1)),DAY(EOMONTH($L219,0)))),AND(INDEX('1 Budget annuel'!$E$14:$E$43,COLUMN()-COLUMN($X$42)+1)="Semestrielle",MOD((YEAR($L219)-YEAR(INDEX('1 Budget annuel'!$L$14:$L$43,COLUMN()-COLUMN($X$42)+1)))*12+MONTH($L219)-MONTH(INDEX('1 Budget annuel'!$L$14:$L$43,COLUMN()-COLUMN($X$42)+1)),6)=0,DAY($L219)=MIN(DAY(INDEX('1 Budget annuel'!$L$14:$L$43,COLUMN()-COLUMN($X$42)+1)),DAY(EOMONTH($L219,0)))),AND(INDEX('1 Budget annuel'!$E$14:$E$43,COLUMN()-COLUMN($X$42)+1)="Annuelle",MOD((YEAR($L219)-YEAR(INDEX('1 Budget annuel'!$L$14:$L$43,COLUMN()-COLUMN($X$42)+1)))*12+MONTH($L219)-MONTH(INDEX('1 Budget annuel'!$L$14:$L$43,COLUMN()-COLUMN($X$42)+1)),12)=0,DAY($L219)=MIN(DAY(INDEX('1 Budget annuel'!$L$14:$L$43,COLUMN()-COLUMN($X$42)+1)),DAY(EOMONTH($L219,0))))),IF(INDEX('1 Budget annuel'!$B$14:$B$43,COLUMN()-COLUMN($X$42)+1)="Entrée",INDEX('1 Budget annuel'!$I$14:$I$43,COLUMN()-COLUMN($X$42)+1),-INDEX('1 Budget annuel'!$I$14:$I$43,COLUMN()-COLUMN($X$42)+1)),0))</x:f>
        <x:v>0</x:v>
      </x:c>
    </x:row>
    <x:row r="220">
      <x:c r="L220" s="114" t="n">
        <x:f>L219+1</x:f>
        <x:v>46414</x:v>
      </x:c>
      <x:c r="M220" s="115" t="b">
        <x:f>AND(L220&gt;=$D$5,L220&lt;=$D$5+363,MOD(L220-$D$5,7)=0)</x:f>
        <x:v>0</x:v>
      </x:c>
      <x:c r="N220" s="116" t="n">
        <x:f>SUM(X220:BA220)</x:f>
        <x:v>0</x:v>
      </x:c>
      <x:c r="O220" s="116" t="n">
        <x:f>IF(M220,$D$10,0)</x:f>
        <x:v>0</x:v>
      </x:c>
      <x:c r="P220" s="116" t="n">
        <x:f>N220-O220</x:f>
        <x:v>0</x:v>
      </x:c>
      <x:c r="Q220" s="116" t="n">
        <x:f>IF(L220&lt;$D$5,0,IF(L220=$D$5,P220,Q219+P220))</x:f>
        <x:v>0</x:v>
      </x:c>
      <x:c r="R220" s="116" t="n">
        <x:f>IF(L220&lt;$D$5,"",$J$10+Q220)</x:f>
        <x:v>0</x:v>
      </x:c>
      <x:c r="S220" s="116" t="n">
        <x:f>IF($L220&lt;$D$5,"",IF($L220=$D$5,$J$10+$N220-IF($M220,IF(INT(($L220-$D$5)/7)&lt;$A$20,$B$20,$D$10),0),S219+$N220-IF($M220,IF(INT(($L220-$D$5)/7)&lt;$A$20,$B$20,$D$10),0)))</x:f>
        <x:v>0</x:v>
      </x:c>
      <x:c r="T220" s="116" t="n">
        <x:f>IF($L220&lt;$D$5,"",IF($L220=$D$5,$J$10+$N220-IF($M220,IF(INT(($L220-$D$5)/7)&lt;$A$21,$B$21,$D$10),0),T219+$N220-IF($M220,IF(INT(($L220-$D$5)/7)&lt;$A$21,$B$21,$D$10),0)))</x:f>
        <x:v>0</x:v>
      </x:c>
      <x:c r="U220" s="116" t="n">
        <x:f>IF($L220&lt;$D$5,"",IF($L220=$D$5,$J$10+$N220-IF($M220,IF(INT(($L220-$D$5)/7)&lt;$A$22,$B$22,$D$10),0),U219+$N220-IF($M220,IF(INT(($L220-$D$5)/7)&lt;$A$22,$B$22,$D$10),0)))</x:f>
        <x:v>0</x:v>
      </x:c>
      <x:c r="V220" s="116" t="n">
        <x:f>IF($L220&lt;$D$5,"",IF($L220=$D$5,$J$10+$N220-IF($M220,IF(INT(($L220-$D$5)/7)&lt;$A$23,$B$23,$D$10),0),V219+$N220-IF($M220,IF(INT(($L220-$D$5)/7)&lt;$A$23,$B$23,$D$10),0)))</x:f>
        <x:v>0</x:v>
      </x:c>
      <x:c r="W220" s="116" t="n">
        <x:f>IF($L220&lt;$D$5,"",IF($L220=$D$5,$J$10+$N220-IF($M220,IF(INT(($L220-$D$5)/7)&lt;$A$24,$B$24,$D$10),0),W219+$N220-IF($M220,IF(INT(($L220-$D$5)/7)&lt;$A$24,$B$24,$D$10),0)))</x:f>
        <x:v>0</x:v>
      </x:c>
      <x:c r="X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Y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Z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A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B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C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D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E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F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G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H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I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J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K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L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M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N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O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P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Q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R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S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T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U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V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W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X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Y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AZ220" s="116"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c r="BA220" s="117" t="n">
        <x:f>IF(OR(INDEX('1 Budget annuel'!$A$14:$A$43,COLUMN()-COLUMN($X$42)+1)&lt;&gt;"Oui",INDEX('1 Budget annuel'!$L$14:$L$43,COLUMN()-COLUMN($X$42)+1)="",AND(INDEX('1 Budget annuel'!$B$14:$B$43,COLUMN()-COLUMN($X$42)+1)="Sortie",INDEX('1 Budget annuel'!$M$14:$M$43,COLUMN()-COLUMN($X$42)+1)="Oui"),$L220&lt;INDEX('1 Budget annuel'!$L$14:$L$43,COLUMN()-COLUMN($X$42)+1),$L220&gt;$D$5+363),0,IF(OR(AND(INDEX('1 Budget annuel'!$E$14:$E$43,COLUMN()-COLUMN($X$42)+1)="Hebdomadaire",MOD($L220-INDEX('1 Budget annuel'!$L$14:$L$43,COLUMN()-COLUMN($X$42)+1),7)=0),AND(INDEX('1 Budget annuel'!$E$14:$E$43,COLUMN()-COLUMN($X$42)+1)="Toutes les 4 semaines",MOD($L220-INDEX('1 Budget annuel'!$L$14:$L$43,COLUMN()-COLUMN($X$42)+1),28)=0),AND(INDEX('1 Budget annuel'!$E$14:$E$43,COLUMN()-COLUMN($X$42)+1)="Mensuelle",DAY($L220)=MIN(DAY(INDEX('1 Budget annuel'!$L$14:$L$43,COLUMN()-COLUMN($X$42)+1)),DAY(EOMONTH($L220,0)))),AND(INDEX('1 Budget annuel'!$E$14:$E$43,COLUMN()-COLUMN($X$42)+1)="Trimestrielle",MOD((YEAR($L220)-YEAR(INDEX('1 Budget annuel'!$L$14:$L$43,COLUMN()-COLUMN($X$42)+1)))*12+MONTH($L220)-MONTH(INDEX('1 Budget annuel'!$L$14:$L$43,COLUMN()-COLUMN($X$42)+1)),3)=0,DAY($L220)=MIN(DAY(INDEX('1 Budget annuel'!$L$14:$L$43,COLUMN()-COLUMN($X$42)+1)),DAY(EOMONTH($L220,0)))),AND(INDEX('1 Budget annuel'!$E$14:$E$43,COLUMN()-COLUMN($X$42)+1)="Semestrielle",MOD((YEAR($L220)-YEAR(INDEX('1 Budget annuel'!$L$14:$L$43,COLUMN()-COLUMN($X$42)+1)))*12+MONTH($L220)-MONTH(INDEX('1 Budget annuel'!$L$14:$L$43,COLUMN()-COLUMN($X$42)+1)),6)=0,DAY($L220)=MIN(DAY(INDEX('1 Budget annuel'!$L$14:$L$43,COLUMN()-COLUMN($X$42)+1)),DAY(EOMONTH($L220,0)))),AND(INDEX('1 Budget annuel'!$E$14:$E$43,COLUMN()-COLUMN($X$42)+1)="Annuelle",MOD((YEAR($L220)-YEAR(INDEX('1 Budget annuel'!$L$14:$L$43,COLUMN()-COLUMN($X$42)+1)))*12+MONTH($L220)-MONTH(INDEX('1 Budget annuel'!$L$14:$L$43,COLUMN()-COLUMN($X$42)+1)),12)=0,DAY($L220)=MIN(DAY(INDEX('1 Budget annuel'!$L$14:$L$43,COLUMN()-COLUMN($X$42)+1)),DAY(EOMONTH($L220,0))))),IF(INDEX('1 Budget annuel'!$B$14:$B$43,COLUMN()-COLUMN($X$42)+1)="Entrée",INDEX('1 Budget annuel'!$I$14:$I$43,COLUMN()-COLUMN($X$42)+1),-INDEX('1 Budget annuel'!$I$14:$I$43,COLUMN()-COLUMN($X$42)+1)),0))</x:f>
        <x:v>0</x:v>
      </x:c>
    </x:row>
    <x:row r="221">
      <x:c r="L221" s="114" t="n">
        <x:f>L220+1</x:f>
        <x:v>46415</x:v>
      </x:c>
      <x:c r="M221" s="115" t="b">
        <x:f>AND(L221&gt;=$D$5,L221&lt;=$D$5+363,MOD(L221-$D$5,7)=0)</x:f>
        <x:v>0</x:v>
      </x:c>
      <x:c r="N221" s="116" t="n">
        <x:f>SUM(X221:BA221)</x:f>
        <x:v>0</x:v>
      </x:c>
      <x:c r="O221" s="116" t="n">
        <x:f>IF(M221,$D$10,0)</x:f>
        <x:v>0</x:v>
      </x:c>
      <x:c r="P221" s="116" t="n">
        <x:f>N221-O221</x:f>
        <x:v>0</x:v>
      </x:c>
      <x:c r="Q221" s="116" t="n">
        <x:f>IF(L221&lt;$D$5,0,IF(L221=$D$5,P221,Q220+P221))</x:f>
        <x:v>0</x:v>
      </x:c>
      <x:c r="R221" s="116" t="n">
        <x:f>IF(L221&lt;$D$5,"",$J$10+Q221)</x:f>
        <x:v>0</x:v>
      </x:c>
      <x:c r="S221" s="116" t="n">
        <x:f>IF($L221&lt;$D$5,"",IF($L221=$D$5,$J$10+$N221-IF($M221,IF(INT(($L221-$D$5)/7)&lt;$A$20,$B$20,$D$10),0),S220+$N221-IF($M221,IF(INT(($L221-$D$5)/7)&lt;$A$20,$B$20,$D$10),0)))</x:f>
        <x:v>0</x:v>
      </x:c>
      <x:c r="T221" s="116" t="n">
        <x:f>IF($L221&lt;$D$5,"",IF($L221=$D$5,$J$10+$N221-IF($M221,IF(INT(($L221-$D$5)/7)&lt;$A$21,$B$21,$D$10),0),T220+$N221-IF($M221,IF(INT(($L221-$D$5)/7)&lt;$A$21,$B$21,$D$10),0)))</x:f>
        <x:v>0</x:v>
      </x:c>
      <x:c r="U221" s="116" t="n">
        <x:f>IF($L221&lt;$D$5,"",IF($L221=$D$5,$J$10+$N221-IF($M221,IF(INT(($L221-$D$5)/7)&lt;$A$22,$B$22,$D$10),0),U220+$N221-IF($M221,IF(INT(($L221-$D$5)/7)&lt;$A$22,$B$22,$D$10),0)))</x:f>
        <x:v>0</x:v>
      </x:c>
      <x:c r="V221" s="116" t="n">
        <x:f>IF($L221&lt;$D$5,"",IF($L221=$D$5,$J$10+$N221-IF($M221,IF(INT(($L221-$D$5)/7)&lt;$A$23,$B$23,$D$10),0),V220+$N221-IF($M221,IF(INT(($L221-$D$5)/7)&lt;$A$23,$B$23,$D$10),0)))</x:f>
        <x:v>0</x:v>
      </x:c>
      <x:c r="W221" s="116" t="n">
        <x:f>IF($L221&lt;$D$5,"",IF($L221=$D$5,$J$10+$N221-IF($M221,IF(INT(($L221-$D$5)/7)&lt;$A$24,$B$24,$D$10),0),W220+$N221-IF($M221,IF(INT(($L221-$D$5)/7)&lt;$A$24,$B$24,$D$10),0)))</x:f>
        <x:v>0</x:v>
      </x:c>
      <x:c r="X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Y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Z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A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B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C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D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E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F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G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H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I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J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K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L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M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N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O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P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Q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R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S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T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U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V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W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X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Y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AZ221" s="116"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c r="BA221" s="117" t="n">
        <x:f>IF(OR(INDEX('1 Budget annuel'!$A$14:$A$43,COLUMN()-COLUMN($X$42)+1)&lt;&gt;"Oui",INDEX('1 Budget annuel'!$L$14:$L$43,COLUMN()-COLUMN($X$42)+1)="",AND(INDEX('1 Budget annuel'!$B$14:$B$43,COLUMN()-COLUMN($X$42)+1)="Sortie",INDEX('1 Budget annuel'!$M$14:$M$43,COLUMN()-COLUMN($X$42)+1)="Oui"),$L221&lt;INDEX('1 Budget annuel'!$L$14:$L$43,COLUMN()-COLUMN($X$42)+1),$L221&gt;$D$5+363),0,IF(OR(AND(INDEX('1 Budget annuel'!$E$14:$E$43,COLUMN()-COLUMN($X$42)+1)="Hebdomadaire",MOD($L221-INDEX('1 Budget annuel'!$L$14:$L$43,COLUMN()-COLUMN($X$42)+1),7)=0),AND(INDEX('1 Budget annuel'!$E$14:$E$43,COLUMN()-COLUMN($X$42)+1)="Toutes les 4 semaines",MOD($L221-INDEX('1 Budget annuel'!$L$14:$L$43,COLUMN()-COLUMN($X$42)+1),28)=0),AND(INDEX('1 Budget annuel'!$E$14:$E$43,COLUMN()-COLUMN($X$42)+1)="Mensuelle",DAY($L221)=MIN(DAY(INDEX('1 Budget annuel'!$L$14:$L$43,COLUMN()-COLUMN($X$42)+1)),DAY(EOMONTH($L221,0)))),AND(INDEX('1 Budget annuel'!$E$14:$E$43,COLUMN()-COLUMN($X$42)+1)="Trimestrielle",MOD((YEAR($L221)-YEAR(INDEX('1 Budget annuel'!$L$14:$L$43,COLUMN()-COLUMN($X$42)+1)))*12+MONTH($L221)-MONTH(INDEX('1 Budget annuel'!$L$14:$L$43,COLUMN()-COLUMN($X$42)+1)),3)=0,DAY($L221)=MIN(DAY(INDEX('1 Budget annuel'!$L$14:$L$43,COLUMN()-COLUMN($X$42)+1)),DAY(EOMONTH($L221,0)))),AND(INDEX('1 Budget annuel'!$E$14:$E$43,COLUMN()-COLUMN($X$42)+1)="Semestrielle",MOD((YEAR($L221)-YEAR(INDEX('1 Budget annuel'!$L$14:$L$43,COLUMN()-COLUMN($X$42)+1)))*12+MONTH($L221)-MONTH(INDEX('1 Budget annuel'!$L$14:$L$43,COLUMN()-COLUMN($X$42)+1)),6)=0,DAY($L221)=MIN(DAY(INDEX('1 Budget annuel'!$L$14:$L$43,COLUMN()-COLUMN($X$42)+1)),DAY(EOMONTH($L221,0)))),AND(INDEX('1 Budget annuel'!$E$14:$E$43,COLUMN()-COLUMN($X$42)+1)="Annuelle",MOD((YEAR($L221)-YEAR(INDEX('1 Budget annuel'!$L$14:$L$43,COLUMN()-COLUMN($X$42)+1)))*12+MONTH($L221)-MONTH(INDEX('1 Budget annuel'!$L$14:$L$43,COLUMN()-COLUMN($X$42)+1)),12)=0,DAY($L221)=MIN(DAY(INDEX('1 Budget annuel'!$L$14:$L$43,COLUMN()-COLUMN($X$42)+1)),DAY(EOMONTH($L221,0))))),IF(INDEX('1 Budget annuel'!$B$14:$B$43,COLUMN()-COLUMN($X$42)+1)="Entrée",INDEX('1 Budget annuel'!$I$14:$I$43,COLUMN()-COLUMN($X$42)+1),-INDEX('1 Budget annuel'!$I$14:$I$43,COLUMN()-COLUMN($X$42)+1)),0))</x:f>
        <x:v>0</x:v>
      </x:c>
    </x:row>
    <x:row r="222">
      <x:c r="L222" s="114" t="n">
        <x:f>L221+1</x:f>
        <x:v>46416</x:v>
      </x:c>
      <x:c r="M222" s="115" t="b">
        <x:f>AND(L222&gt;=$D$5,L222&lt;=$D$5+363,MOD(L222-$D$5,7)=0)</x:f>
        <x:v>0</x:v>
      </x:c>
      <x:c r="N222" s="116" t="n">
        <x:f>SUM(X222:BA222)</x:f>
        <x:v>0</x:v>
      </x:c>
      <x:c r="O222" s="116" t="n">
        <x:f>IF(M222,$D$10,0)</x:f>
        <x:v>0</x:v>
      </x:c>
      <x:c r="P222" s="116" t="n">
        <x:f>N222-O222</x:f>
        <x:v>0</x:v>
      </x:c>
      <x:c r="Q222" s="116" t="n">
        <x:f>IF(L222&lt;$D$5,0,IF(L222=$D$5,P222,Q221+P222))</x:f>
        <x:v>0</x:v>
      </x:c>
      <x:c r="R222" s="116" t="n">
        <x:f>IF(L222&lt;$D$5,"",$J$10+Q222)</x:f>
        <x:v>0</x:v>
      </x:c>
      <x:c r="S222" s="116" t="n">
        <x:f>IF($L222&lt;$D$5,"",IF($L222=$D$5,$J$10+$N222-IF($M222,IF(INT(($L222-$D$5)/7)&lt;$A$20,$B$20,$D$10),0),S221+$N222-IF($M222,IF(INT(($L222-$D$5)/7)&lt;$A$20,$B$20,$D$10),0)))</x:f>
        <x:v>0</x:v>
      </x:c>
      <x:c r="T222" s="116" t="n">
        <x:f>IF($L222&lt;$D$5,"",IF($L222=$D$5,$J$10+$N222-IF($M222,IF(INT(($L222-$D$5)/7)&lt;$A$21,$B$21,$D$10),0),T221+$N222-IF($M222,IF(INT(($L222-$D$5)/7)&lt;$A$21,$B$21,$D$10),0)))</x:f>
        <x:v>0</x:v>
      </x:c>
      <x:c r="U222" s="116" t="n">
        <x:f>IF($L222&lt;$D$5,"",IF($L222=$D$5,$J$10+$N222-IF($M222,IF(INT(($L222-$D$5)/7)&lt;$A$22,$B$22,$D$10),0),U221+$N222-IF($M222,IF(INT(($L222-$D$5)/7)&lt;$A$22,$B$22,$D$10),0)))</x:f>
        <x:v>0</x:v>
      </x:c>
      <x:c r="V222" s="116" t="n">
        <x:f>IF($L222&lt;$D$5,"",IF($L222=$D$5,$J$10+$N222-IF($M222,IF(INT(($L222-$D$5)/7)&lt;$A$23,$B$23,$D$10),0),V221+$N222-IF($M222,IF(INT(($L222-$D$5)/7)&lt;$A$23,$B$23,$D$10),0)))</x:f>
        <x:v>0</x:v>
      </x:c>
      <x:c r="W222" s="116" t="n">
        <x:f>IF($L222&lt;$D$5,"",IF($L222=$D$5,$J$10+$N222-IF($M222,IF(INT(($L222-$D$5)/7)&lt;$A$24,$B$24,$D$10),0),W221+$N222-IF($M222,IF(INT(($L222-$D$5)/7)&lt;$A$24,$B$24,$D$10),0)))</x:f>
        <x:v>0</x:v>
      </x:c>
      <x:c r="X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Y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Z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A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B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C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D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E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F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G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H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I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J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K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L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M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N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O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P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Q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R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S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T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U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V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W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X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Y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AZ222" s="116"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c r="BA222" s="117" t="n">
        <x:f>IF(OR(INDEX('1 Budget annuel'!$A$14:$A$43,COLUMN()-COLUMN($X$42)+1)&lt;&gt;"Oui",INDEX('1 Budget annuel'!$L$14:$L$43,COLUMN()-COLUMN($X$42)+1)="",AND(INDEX('1 Budget annuel'!$B$14:$B$43,COLUMN()-COLUMN($X$42)+1)="Sortie",INDEX('1 Budget annuel'!$M$14:$M$43,COLUMN()-COLUMN($X$42)+1)="Oui"),$L222&lt;INDEX('1 Budget annuel'!$L$14:$L$43,COLUMN()-COLUMN($X$42)+1),$L222&gt;$D$5+363),0,IF(OR(AND(INDEX('1 Budget annuel'!$E$14:$E$43,COLUMN()-COLUMN($X$42)+1)="Hebdomadaire",MOD($L222-INDEX('1 Budget annuel'!$L$14:$L$43,COLUMN()-COLUMN($X$42)+1),7)=0),AND(INDEX('1 Budget annuel'!$E$14:$E$43,COLUMN()-COLUMN($X$42)+1)="Toutes les 4 semaines",MOD($L222-INDEX('1 Budget annuel'!$L$14:$L$43,COLUMN()-COLUMN($X$42)+1),28)=0),AND(INDEX('1 Budget annuel'!$E$14:$E$43,COLUMN()-COLUMN($X$42)+1)="Mensuelle",DAY($L222)=MIN(DAY(INDEX('1 Budget annuel'!$L$14:$L$43,COLUMN()-COLUMN($X$42)+1)),DAY(EOMONTH($L222,0)))),AND(INDEX('1 Budget annuel'!$E$14:$E$43,COLUMN()-COLUMN($X$42)+1)="Trimestrielle",MOD((YEAR($L222)-YEAR(INDEX('1 Budget annuel'!$L$14:$L$43,COLUMN()-COLUMN($X$42)+1)))*12+MONTH($L222)-MONTH(INDEX('1 Budget annuel'!$L$14:$L$43,COLUMN()-COLUMN($X$42)+1)),3)=0,DAY($L222)=MIN(DAY(INDEX('1 Budget annuel'!$L$14:$L$43,COLUMN()-COLUMN($X$42)+1)),DAY(EOMONTH($L222,0)))),AND(INDEX('1 Budget annuel'!$E$14:$E$43,COLUMN()-COLUMN($X$42)+1)="Semestrielle",MOD((YEAR($L222)-YEAR(INDEX('1 Budget annuel'!$L$14:$L$43,COLUMN()-COLUMN($X$42)+1)))*12+MONTH($L222)-MONTH(INDEX('1 Budget annuel'!$L$14:$L$43,COLUMN()-COLUMN($X$42)+1)),6)=0,DAY($L222)=MIN(DAY(INDEX('1 Budget annuel'!$L$14:$L$43,COLUMN()-COLUMN($X$42)+1)),DAY(EOMONTH($L222,0)))),AND(INDEX('1 Budget annuel'!$E$14:$E$43,COLUMN()-COLUMN($X$42)+1)="Annuelle",MOD((YEAR($L222)-YEAR(INDEX('1 Budget annuel'!$L$14:$L$43,COLUMN()-COLUMN($X$42)+1)))*12+MONTH($L222)-MONTH(INDEX('1 Budget annuel'!$L$14:$L$43,COLUMN()-COLUMN($X$42)+1)),12)=0,DAY($L222)=MIN(DAY(INDEX('1 Budget annuel'!$L$14:$L$43,COLUMN()-COLUMN($X$42)+1)),DAY(EOMONTH($L222,0))))),IF(INDEX('1 Budget annuel'!$B$14:$B$43,COLUMN()-COLUMN($X$42)+1)="Entrée",INDEX('1 Budget annuel'!$I$14:$I$43,COLUMN()-COLUMN($X$42)+1),-INDEX('1 Budget annuel'!$I$14:$I$43,COLUMN()-COLUMN($X$42)+1)),0))</x:f>
        <x:v>0</x:v>
      </x:c>
    </x:row>
    <x:row r="223">
      <x:c r="L223" s="114" t="n">
        <x:f>L222+1</x:f>
        <x:v>46417</x:v>
      </x:c>
      <x:c r="M223" s="115" t="b">
        <x:f>AND(L223&gt;=$D$5,L223&lt;=$D$5+363,MOD(L223-$D$5,7)=0)</x:f>
        <x:v>1</x:v>
      </x:c>
      <x:c r="N223" s="116" t="n">
        <x:f>SUM(X223:BA223)</x:f>
        <x:v>0</x:v>
      </x:c>
      <x:c r="O223" s="116" t="n">
        <x:f>IF(M223,$D$10,0)</x:f>
        <x:v>0</x:v>
      </x:c>
      <x:c r="P223" s="116" t="n">
        <x:f>N223-O223</x:f>
        <x:v>0</x:v>
      </x:c>
      <x:c r="Q223" s="116" t="n">
        <x:f>IF(L223&lt;$D$5,0,IF(L223=$D$5,P223,Q222+P223))</x:f>
        <x:v>0</x:v>
      </x:c>
      <x:c r="R223" s="116" t="n">
        <x:f>IF(L223&lt;$D$5,"",$J$10+Q223)</x:f>
        <x:v>0</x:v>
      </x:c>
      <x:c r="S223" s="116" t="n">
        <x:f>IF($L223&lt;$D$5,"",IF($L223=$D$5,$J$10+$N223-IF($M223,IF(INT(($L223-$D$5)/7)&lt;$A$20,$B$20,$D$10),0),S222+$N223-IF($M223,IF(INT(($L223-$D$5)/7)&lt;$A$20,$B$20,$D$10),0)))</x:f>
        <x:v>0</x:v>
      </x:c>
      <x:c r="T223" s="116" t="n">
        <x:f>IF($L223&lt;$D$5,"",IF($L223=$D$5,$J$10+$N223-IF($M223,IF(INT(($L223-$D$5)/7)&lt;$A$21,$B$21,$D$10),0),T222+$N223-IF($M223,IF(INT(($L223-$D$5)/7)&lt;$A$21,$B$21,$D$10),0)))</x:f>
        <x:v>0</x:v>
      </x:c>
      <x:c r="U223" s="116" t="n">
        <x:f>IF($L223&lt;$D$5,"",IF($L223=$D$5,$J$10+$N223-IF($M223,IF(INT(($L223-$D$5)/7)&lt;$A$22,$B$22,$D$10),0),U222+$N223-IF($M223,IF(INT(($L223-$D$5)/7)&lt;$A$22,$B$22,$D$10),0)))</x:f>
        <x:v>0</x:v>
      </x:c>
      <x:c r="V223" s="116" t="n">
        <x:f>IF($L223&lt;$D$5,"",IF($L223=$D$5,$J$10+$N223-IF($M223,IF(INT(($L223-$D$5)/7)&lt;$A$23,$B$23,$D$10),0),V222+$N223-IF($M223,IF(INT(($L223-$D$5)/7)&lt;$A$23,$B$23,$D$10),0)))</x:f>
        <x:v>0</x:v>
      </x:c>
      <x:c r="W223" s="116" t="n">
        <x:f>IF($L223&lt;$D$5,"",IF($L223=$D$5,$J$10+$N223-IF($M223,IF(INT(($L223-$D$5)/7)&lt;$A$24,$B$24,$D$10),0),W222+$N223-IF($M223,IF(INT(($L223-$D$5)/7)&lt;$A$24,$B$24,$D$10),0)))</x:f>
        <x:v>0</x:v>
      </x:c>
      <x:c r="X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Y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Z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A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B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C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D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E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F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G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H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I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J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K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L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M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N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O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P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Q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R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S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T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U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V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W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X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Y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AZ223" s="116"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c r="BA223" s="117" t="n">
        <x:f>IF(OR(INDEX('1 Budget annuel'!$A$14:$A$43,COLUMN()-COLUMN($X$42)+1)&lt;&gt;"Oui",INDEX('1 Budget annuel'!$L$14:$L$43,COLUMN()-COLUMN($X$42)+1)="",AND(INDEX('1 Budget annuel'!$B$14:$B$43,COLUMN()-COLUMN($X$42)+1)="Sortie",INDEX('1 Budget annuel'!$M$14:$M$43,COLUMN()-COLUMN($X$42)+1)="Oui"),$L223&lt;INDEX('1 Budget annuel'!$L$14:$L$43,COLUMN()-COLUMN($X$42)+1),$L223&gt;$D$5+363),0,IF(OR(AND(INDEX('1 Budget annuel'!$E$14:$E$43,COLUMN()-COLUMN($X$42)+1)="Hebdomadaire",MOD($L223-INDEX('1 Budget annuel'!$L$14:$L$43,COLUMN()-COLUMN($X$42)+1),7)=0),AND(INDEX('1 Budget annuel'!$E$14:$E$43,COLUMN()-COLUMN($X$42)+1)="Toutes les 4 semaines",MOD($L223-INDEX('1 Budget annuel'!$L$14:$L$43,COLUMN()-COLUMN($X$42)+1),28)=0),AND(INDEX('1 Budget annuel'!$E$14:$E$43,COLUMN()-COLUMN($X$42)+1)="Mensuelle",DAY($L223)=MIN(DAY(INDEX('1 Budget annuel'!$L$14:$L$43,COLUMN()-COLUMN($X$42)+1)),DAY(EOMONTH($L223,0)))),AND(INDEX('1 Budget annuel'!$E$14:$E$43,COLUMN()-COLUMN($X$42)+1)="Trimestrielle",MOD((YEAR($L223)-YEAR(INDEX('1 Budget annuel'!$L$14:$L$43,COLUMN()-COLUMN($X$42)+1)))*12+MONTH($L223)-MONTH(INDEX('1 Budget annuel'!$L$14:$L$43,COLUMN()-COLUMN($X$42)+1)),3)=0,DAY($L223)=MIN(DAY(INDEX('1 Budget annuel'!$L$14:$L$43,COLUMN()-COLUMN($X$42)+1)),DAY(EOMONTH($L223,0)))),AND(INDEX('1 Budget annuel'!$E$14:$E$43,COLUMN()-COLUMN($X$42)+1)="Semestrielle",MOD((YEAR($L223)-YEAR(INDEX('1 Budget annuel'!$L$14:$L$43,COLUMN()-COLUMN($X$42)+1)))*12+MONTH($L223)-MONTH(INDEX('1 Budget annuel'!$L$14:$L$43,COLUMN()-COLUMN($X$42)+1)),6)=0,DAY($L223)=MIN(DAY(INDEX('1 Budget annuel'!$L$14:$L$43,COLUMN()-COLUMN($X$42)+1)),DAY(EOMONTH($L223,0)))),AND(INDEX('1 Budget annuel'!$E$14:$E$43,COLUMN()-COLUMN($X$42)+1)="Annuelle",MOD((YEAR($L223)-YEAR(INDEX('1 Budget annuel'!$L$14:$L$43,COLUMN()-COLUMN($X$42)+1)))*12+MONTH($L223)-MONTH(INDEX('1 Budget annuel'!$L$14:$L$43,COLUMN()-COLUMN($X$42)+1)),12)=0,DAY($L223)=MIN(DAY(INDEX('1 Budget annuel'!$L$14:$L$43,COLUMN()-COLUMN($X$42)+1)),DAY(EOMONTH($L223,0))))),IF(INDEX('1 Budget annuel'!$B$14:$B$43,COLUMN()-COLUMN($X$42)+1)="Entrée",INDEX('1 Budget annuel'!$I$14:$I$43,COLUMN()-COLUMN($X$42)+1),-INDEX('1 Budget annuel'!$I$14:$I$43,COLUMN()-COLUMN($X$42)+1)),0))</x:f>
        <x:v>0</x:v>
      </x:c>
    </x:row>
    <x:row r="224">
      <x:c r="L224" s="114" t="n">
        <x:f>L223+1</x:f>
        <x:v>46418</x:v>
      </x:c>
      <x:c r="M224" s="115" t="b">
        <x:f>AND(L224&gt;=$D$5,L224&lt;=$D$5+363,MOD(L224-$D$5,7)=0)</x:f>
        <x:v>0</x:v>
      </x:c>
      <x:c r="N224" s="116" t="n">
        <x:f>SUM(X224:BA224)</x:f>
        <x:v>0</x:v>
      </x:c>
      <x:c r="O224" s="116" t="n">
        <x:f>IF(M224,$D$10,0)</x:f>
        <x:v>0</x:v>
      </x:c>
      <x:c r="P224" s="116" t="n">
        <x:f>N224-O224</x:f>
        <x:v>0</x:v>
      </x:c>
      <x:c r="Q224" s="116" t="n">
        <x:f>IF(L224&lt;$D$5,0,IF(L224=$D$5,P224,Q223+P224))</x:f>
        <x:v>0</x:v>
      </x:c>
      <x:c r="R224" s="116" t="n">
        <x:f>IF(L224&lt;$D$5,"",$J$10+Q224)</x:f>
        <x:v>0</x:v>
      </x:c>
      <x:c r="S224" s="116" t="n">
        <x:f>IF($L224&lt;$D$5,"",IF($L224=$D$5,$J$10+$N224-IF($M224,IF(INT(($L224-$D$5)/7)&lt;$A$20,$B$20,$D$10),0),S223+$N224-IF($M224,IF(INT(($L224-$D$5)/7)&lt;$A$20,$B$20,$D$10),0)))</x:f>
        <x:v>0</x:v>
      </x:c>
      <x:c r="T224" s="116" t="n">
        <x:f>IF($L224&lt;$D$5,"",IF($L224=$D$5,$J$10+$N224-IF($M224,IF(INT(($L224-$D$5)/7)&lt;$A$21,$B$21,$D$10),0),T223+$N224-IF($M224,IF(INT(($L224-$D$5)/7)&lt;$A$21,$B$21,$D$10),0)))</x:f>
        <x:v>0</x:v>
      </x:c>
      <x:c r="U224" s="116" t="n">
        <x:f>IF($L224&lt;$D$5,"",IF($L224=$D$5,$J$10+$N224-IF($M224,IF(INT(($L224-$D$5)/7)&lt;$A$22,$B$22,$D$10),0),U223+$N224-IF($M224,IF(INT(($L224-$D$5)/7)&lt;$A$22,$B$22,$D$10),0)))</x:f>
        <x:v>0</x:v>
      </x:c>
      <x:c r="V224" s="116" t="n">
        <x:f>IF($L224&lt;$D$5,"",IF($L224=$D$5,$J$10+$N224-IF($M224,IF(INT(($L224-$D$5)/7)&lt;$A$23,$B$23,$D$10),0),V223+$N224-IF($M224,IF(INT(($L224-$D$5)/7)&lt;$A$23,$B$23,$D$10),0)))</x:f>
        <x:v>0</x:v>
      </x:c>
      <x:c r="W224" s="116" t="n">
        <x:f>IF($L224&lt;$D$5,"",IF($L224=$D$5,$J$10+$N224-IF($M224,IF(INT(($L224-$D$5)/7)&lt;$A$24,$B$24,$D$10),0),W223+$N224-IF($M224,IF(INT(($L224-$D$5)/7)&lt;$A$24,$B$24,$D$10),0)))</x:f>
        <x:v>0</x:v>
      </x:c>
      <x:c r="X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Y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Z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A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B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C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D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E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F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G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H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I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J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K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L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M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N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O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P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Q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R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S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T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U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V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W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X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Y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AZ224" s="116"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c r="BA224" s="117" t="n">
        <x:f>IF(OR(INDEX('1 Budget annuel'!$A$14:$A$43,COLUMN()-COLUMN($X$42)+1)&lt;&gt;"Oui",INDEX('1 Budget annuel'!$L$14:$L$43,COLUMN()-COLUMN($X$42)+1)="",AND(INDEX('1 Budget annuel'!$B$14:$B$43,COLUMN()-COLUMN($X$42)+1)="Sortie",INDEX('1 Budget annuel'!$M$14:$M$43,COLUMN()-COLUMN($X$42)+1)="Oui"),$L224&lt;INDEX('1 Budget annuel'!$L$14:$L$43,COLUMN()-COLUMN($X$42)+1),$L224&gt;$D$5+363),0,IF(OR(AND(INDEX('1 Budget annuel'!$E$14:$E$43,COLUMN()-COLUMN($X$42)+1)="Hebdomadaire",MOD($L224-INDEX('1 Budget annuel'!$L$14:$L$43,COLUMN()-COLUMN($X$42)+1),7)=0),AND(INDEX('1 Budget annuel'!$E$14:$E$43,COLUMN()-COLUMN($X$42)+1)="Toutes les 4 semaines",MOD($L224-INDEX('1 Budget annuel'!$L$14:$L$43,COLUMN()-COLUMN($X$42)+1),28)=0),AND(INDEX('1 Budget annuel'!$E$14:$E$43,COLUMN()-COLUMN($X$42)+1)="Mensuelle",DAY($L224)=MIN(DAY(INDEX('1 Budget annuel'!$L$14:$L$43,COLUMN()-COLUMN($X$42)+1)),DAY(EOMONTH($L224,0)))),AND(INDEX('1 Budget annuel'!$E$14:$E$43,COLUMN()-COLUMN($X$42)+1)="Trimestrielle",MOD((YEAR($L224)-YEAR(INDEX('1 Budget annuel'!$L$14:$L$43,COLUMN()-COLUMN($X$42)+1)))*12+MONTH($L224)-MONTH(INDEX('1 Budget annuel'!$L$14:$L$43,COLUMN()-COLUMN($X$42)+1)),3)=0,DAY($L224)=MIN(DAY(INDEX('1 Budget annuel'!$L$14:$L$43,COLUMN()-COLUMN($X$42)+1)),DAY(EOMONTH($L224,0)))),AND(INDEX('1 Budget annuel'!$E$14:$E$43,COLUMN()-COLUMN($X$42)+1)="Semestrielle",MOD((YEAR($L224)-YEAR(INDEX('1 Budget annuel'!$L$14:$L$43,COLUMN()-COLUMN($X$42)+1)))*12+MONTH($L224)-MONTH(INDEX('1 Budget annuel'!$L$14:$L$43,COLUMN()-COLUMN($X$42)+1)),6)=0,DAY($L224)=MIN(DAY(INDEX('1 Budget annuel'!$L$14:$L$43,COLUMN()-COLUMN($X$42)+1)),DAY(EOMONTH($L224,0)))),AND(INDEX('1 Budget annuel'!$E$14:$E$43,COLUMN()-COLUMN($X$42)+1)="Annuelle",MOD((YEAR($L224)-YEAR(INDEX('1 Budget annuel'!$L$14:$L$43,COLUMN()-COLUMN($X$42)+1)))*12+MONTH($L224)-MONTH(INDEX('1 Budget annuel'!$L$14:$L$43,COLUMN()-COLUMN($X$42)+1)),12)=0,DAY($L224)=MIN(DAY(INDEX('1 Budget annuel'!$L$14:$L$43,COLUMN()-COLUMN($X$42)+1)),DAY(EOMONTH($L224,0))))),IF(INDEX('1 Budget annuel'!$B$14:$B$43,COLUMN()-COLUMN($X$42)+1)="Entrée",INDEX('1 Budget annuel'!$I$14:$I$43,COLUMN()-COLUMN($X$42)+1),-INDEX('1 Budget annuel'!$I$14:$I$43,COLUMN()-COLUMN($X$42)+1)),0))</x:f>
        <x:v>0</x:v>
      </x:c>
    </x:row>
    <x:row r="225">
      <x:c r="L225" s="114" t="n">
        <x:f>L224+1</x:f>
        <x:v>46419</x:v>
      </x:c>
      <x:c r="M225" s="115" t="b">
        <x:f>AND(L225&gt;=$D$5,L225&lt;=$D$5+363,MOD(L225-$D$5,7)=0)</x:f>
        <x:v>0</x:v>
      </x:c>
      <x:c r="N225" s="116" t="n">
        <x:f>SUM(X225:BA225)</x:f>
        <x:v>0</x:v>
      </x:c>
      <x:c r="O225" s="116" t="n">
        <x:f>IF(M225,$D$10,0)</x:f>
        <x:v>0</x:v>
      </x:c>
      <x:c r="P225" s="116" t="n">
        <x:f>N225-O225</x:f>
        <x:v>0</x:v>
      </x:c>
      <x:c r="Q225" s="116" t="n">
        <x:f>IF(L225&lt;$D$5,0,IF(L225=$D$5,P225,Q224+P225))</x:f>
        <x:v>0</x:v>
      </x:c>
      <x:c r="R225" s="116" t="n">
        <x:f>IF(L225&lt;$D$5,"",$J$10+Q225)</x:f>
        <x:v>0</x:v>
      </x:c>
      <x:c r="S225" s="116" t="n">
        <x:f>IF($L225&lt;$D$5,"",IF($L225=$D$5,$J$10+$N225-IF($M225,IF(INT(($L225-$D$5)/7)&lt;$A$20,$B$20,$D$10),0),S224+$N225-IF($M225,IF(INT(($L225-$D$5)/7)&lt;$A$20,$B$20,$D$10),0)))</x:f>
        <x:v>0</x:v>
      </x:c>
      <x:c r="T225" s="116" t="n">
        <x:f>IF($L225&lt;$D$5,"",IF($L225=$D$5,$J$10+$N225-IF($M225,IF(INT(($L225-$D$5)/7)&lt;$A$21,$B$21,$D$10),0),T224+$N225-IF($M225,IF(INT(($L225-$D$5)/7)&lt;$A$21,$B$21,$D$10),0)))</x:f>
        <x:v>0</x:v>
      </x:c>
      <x:c r="U225" s="116" t="n">
        <x:f>IF($L225&lt;$D$5,"",IF($L225=$D$5,$J$10+$N225-IF($M225,IF(INT(($L225-$D$5)/7)&lt;$A$22,$B$22,$D$10),0),U224+$N225-IF($M225,IF(INT(($L225-$D$5)/7)&lt;$A$22,$B$22,$D$10),0)))</x:f>
        <x:v>0</x:v>
      </x:c>
      <x:c r="V225" s="116" t="n">
        <x:f>IF($L225&lt;$D$5,"",IF($L225=$D$5,$J$10+$N225-IF($M225,IF(INT(($L225-$D$5)/7)&lt;$A$23,$B$23,$D$10),0),V224+$N225-IF($M225,IF(INT(($L225-$D$5)/7)&lt;$A$23,$B$23,$D$10),0)))</x:f>
        <x:v>0</x:v>
      </x:c>
      <x:c r="W225" s="116" t="n">
        <x:f>IF($L225&lt;$D$5,"",IF($L225=$D$5,$J$10+$N225-IF($M225,IF(INT(($L225-$D$5)/7)&lt;$A$24,$B$24,$D$10),0),W224+$N225-IF($M225,IF(INT(($L225-$D$5)/7)&lt;$A$24,$B$24,$D$10),0)))</x:f>
        <x:v>0</x:v>
      </x:c>
      <x:c r="X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Y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Z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A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B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C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D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E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F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G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H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I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J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K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L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M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N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O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P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Q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R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S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T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U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V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W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X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Y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AZ225" s="116"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c r="BA225" s="117" t="n">
        <x:f>IF(OR(INDEX('1 Budget annuel'!$A$14:$A$43,COLUMN()-COLUMN($X$42)+1)&lt;&gt;"Oui",INDEX('1 Budget annuel'!$L$14:$L$43,COLUMN()-COLUMN($X$42)+1)="",AND(INDEX('1 Budget annuel'!$B$14:$B$43,COLUMN()-COLUMN($X$42)+1)="Sortie",INDEX('1 Budget annuel'!$M$14:$M$43,COLUMN()-COLUMN($X$42)+1)="Oui"),$L225&lt;INDEX('1 Budget annuel'!$L$14:$L$43,COLUMN()-COLUMN($X$42)+1),$L225&gt;$D$5+363),0,IF(OR(AND(INDEX('1 Budget annuel'!$E$14:$E$43,COLUMN()-COLUMN($X$42)+1)="Hebdomadaire",MOD($L225-INDEX('1 Budget annuel'!$L$14:$L$43,COLUMN()-COLUMN($X$42)+1),7)=0),AND(INDEX('1 Budget annuel'!$E$14:$E$43,COLUMN()-COLUMN($X$42)+1)="Toutes les 4 semaines",MOD($L225-INDEX('1 Budget annuel'!$L$14:$L$43,COLUMN()-COLUMN($X$42)+1),28)=0),AND(INDEX('1 Budget annuel'!$E$14:$E$43,COLUMN()-COLUMN($X$42)+1)="Mensuelle",DAY($L225)=MIN(DAY(INDEX('1 Budget annuel'!$L$14:$L$43,COLUMN()-COLUMN($X$42)+1)),DAY(EOMONTH($L225,0)))),AND(INDEX('1 Budget annuel'!$E$14:$E$43,COLUMN()-COLUMN($X$42)+1)="Trimestrielle",MOD((YEAR($L225)-YEAR(INDEX('1 Budget annuel'!$L$14:$L$43,COLUMN()-COLUMN($X$42)+1)))*12+MONTH($L225)-MONTH(INDEX('1 Budget annuel'!$L$14:$L$43,COLUMN()-COLUMN($X$42)+1)),3)=0,DAY($L225)=MIN(DAY(INDEX('1 Budget annuel'!$L$14:$L$43,COLUMN()-COLUMN($X$42)+1)),DAY(EOMONTH($L225,0)))),AND(INDEX('1 Budget annuel'!$E$14:$E$43,COLUMN()-COLUMN($X$42)+1)="Semestrielle",MOD((YEAR($L225)-YEAR(INDEX('1 Budget annuel'!$L$14:$L$43,COLUMN()-COLUMN($X$42)+1)))*12+MONTH($L225)-MONTH(INDEX('1 Budget annuel'!$L$14:$L$43,COLUMN()-COLUMN($X$42)+1)),6)=0,DAY($L225)=MIN(DAY(INDEX('1 Budget annuel'!$L$14:$L$43,COLUMN()-COLUMN($X$42)+1)),DAY(EOMONTH($L225,0)))),AND(INDEX('1 Budget annuel'!$E$14:$E$43,COLUMN()-COLUMN($X$42)+1)="Annuelle",MOD((YEAR($L225)-YEAR(INDEX('1 Budget annuel'!$L$14:$L$43,COLUMN()-COLUMN($X$42)+1)))*12+MONTH($L225)-MONTH(INDEX('1 Budget annuel'!$L$14:$L$43,COLUMN()-COLUMN($X$42)+1)),12)=0,DAY($L225)=MIN(DAY(INDEX('1 Budget annuel'!$L$14:$L$43,COLUMN()-COLUMN($X$42)+1)),DAY(EOMONTH($L225,0))))),IF(INDEX('1 Budget annuel'!$B$14:$B$43,COLUMN()-COLUMN($X$42)+1)="Entrée",INDEX('1 Budget annuel'!$I$14:$I$43,COLUMN()-COLUMN($X$42)+1),-INDEX('1 Budget annuel'!$I$14:$I$43,COLUMN()-COLUMN($X$42)+1)),0))</x:f>
        <x:v>0</x:v>
      </x:c>
    </x:row>
    <x:row r="226">
      <x:c r="L226" s="114" t="n">
        <x:f>L225+1</x:f>
        <x:v>46420</x:v>
      </x:c>
      <x:c r="M226" s="115" t="b">
        <x:f>AND(L226&gt;=$D$5,L226&lt;=$D$5+363,MOD(L226-$D$5,7)=0)</x:f>
        <x:v>0</x:v>
      </x:c>
      <x:c r="N226" s="116" t="n">
        <x:f>SUM(X226:BA226)</x:f>
        <x:v>0</x:v>
      </x:c>
      <x:c r="O226" s="116" t="n">
        <x:f>IF(M226,$D$10,0)</x:f>
        <x:v>0</x:v>
      </x:c>
      <x:c r="P226" s="116" t="n">
        <x:f>N226-O226</x:f>
        <x:v>0</x:v>
      </x:c>
      <x:c r="Q226" s="116" t="n">
        <x:f>IF(L226&lt;$D$5,0,IF(L226=$D$5,P226,Q225+P226))</x:f>
        <x:v>0</x:v>
      </x:c>
      <x:c r="R226" s="116" t="n">
        <x:f>IF(L226&lt;$D$5,"",$J$10+Q226)</x:f>
        <x:v>0</x:v>
      </x:c>
      <x:c r="S226" s="116" t="n">
        <x:f>IF($L226&lt;$D$5,"",IF($L226=$D$5,$J$10+$N226-IF($M226,IF(INT(($L226-$D$5)/7)&lt;$A$20,$B$20,$D$10),0),S225+$N226-IF($M226,IF(INT(($L226-$D$5)/7)&lt;$A$20,$B$20,$D$10),0)))</x:f>
        <x:v>0</x:v>
      </x:c>
      <x:c r="T226" s="116" t="n">
        <x:f>IF($L226&lt;$D$5,"",IF($L226=$D$5,$J$10+$N226-IF($M226,IF(INT(($L226-$D$5)/7)&lt;$A$21,$B$21,$D$10),0),T225+$N226-IF($M226,IF(INT(($L226-$D$5)/7)&lt;$A$21,$B$21,$D$10),0)))</x:f>
        <x:v>0</x:v>
      </x:c>
      <x:c r="U226" s="116" t="n">
        <x:f>IF($L226&lt;$D$5,"",IF($L226=$D$5,$J$10+$N226-IF($M226,IF(INT(($L226-$D$5)/7)&lt;$A$22,$B$22,$D$10),0),U225+$N226-IF($M226,IF(INT(($L226-$D$5)/7)&lt;$A$22,$B$22,$D$10),0)))</x:f>
        <x:v>0</x:v>
      </x:c>
      <x:c r="V226" s="116" t="n">
        <x:f>IF($L226&lt;$D$5,"",IF($L226=$D$5,$J$10+$N226-IF($M226,IF(INT(($L226-$D$5)/7)&lt;$A$23,$B$23,$D$10),0),V225+$N226-IF($M226,IF(INT(($L226-$D$5)/7)&lt;$A$23,$B$23,$D$10),0)))</x:f>
        <x:v>0</x:v>
      </x:c>
      <x:c r="W226" s="116" t="n">
        <x:f>IF($L226&lt;$D$5,"",IF($L226=$D$5,$J$10+$N226-IF($M226,IF(INT(($L226-$D$5)/7)&lt;$A$24,$B$24,$D$10),0),W225+$N226-IF($M226,IF(INT(($L226-$D$5)/7)&lt;$A$24,$B$24,$D$10),0)))</x:f>
        <x:v>0</x:v>
      </x:c>
      <x:c r="X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Y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Z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A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B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C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D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E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F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G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H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I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J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K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L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M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N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O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P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Q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R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S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T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U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V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W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X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Y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AZ226" s="116"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c r="BA226" s="117" t="n">
        <x:f>IF(OR(INDEX('1 Budget annuel'!$A$14:$A$43,COLUMN()-COLUMN($X$42)+1)&lt;&gt;"Oui",INDEX('1 Budget annuel'!$L$14:$L$43,COLUMN()-COLUMN($X$42)+1)="",AND(INDEX('1 Budget annuel'!$B$14:$B$43,COLUMN()-COLUMN($X$42)+1)="Sortie",INDEX('1 Budget annuel'!$M$14:$M$43,COLUMN()-COLUMN($X$42)+1)="Oui"),$L226&lt;INDEX('1 Budget annuel'!$L$14:$L$43,COLUMN()-COLUMN($X$42)+1),$L226&gt;$D$5+363),0,IF(OR(AND(INDEX('1 Budget annuel'!$E$14:$E$43,COLUMN()-COLUMN($X$42)+1)="Hebdomadaire",MOD($L226-INDEX('1 Budget annuel'!$L$14:$L$43,COLUMN()-COLUMN($X$42)+1),7)=0),AND(INDEX('1 Budget annuel'!$E$14:$E$43,COLUMN()-COLUMN($X$42)+1)="Toutes les 4 semaines",MOD($L226-INDEX('1 Budget annuel'!$L$14:$L$43,COLUMN()-COLUMN($X$42)+1),28)=0),AND(INDEX('1 Budget annuel'!$E$14:$E$43,COLUMN()-COLUMN($X$42)+1)="Mensuelle",DAY($L226)=MIN(DAY(INDEX('1 Budget annuel'!$L$14:$L$43,COLUMN()-COLUMN($X$42)+1)),DAY(EOMONTH($L226,0)))),AND(INDEX('1 Budget annuel'!$E$14:$E$43,COLUMN()-COLUMN($X$42)+1)="Trimestrielle",MOD((YEAR($L226)-YEAR(INDEX('1 Budget annuel'!$L$14:$L$43,COLUMN()-COLUMN($X$42)+1)))*12+MONTH($L226)-MONTH(INDEX('1 Budget annuel'!$L$14:$L$43,COLUMN()-COLUMN($X$42)+1)),3)=0,DAY($L226)=MIN(DAY(INDEX('1 Budget annuel'!$L$14:$L$43,COLUMN()-COLUMN($X$42)+1)),DAY(EOMONTH($L226,0)))),AND(INDEX('1 Budget annuel'!$E$14:$E$43,COLUMN()-COLUMN($X$42)+1)="Semestrielle",MOD((YEAR($L226)-YEAR(INDEX('1 Budget annuel'!$L$14:$L$43,COLUMN()-COLUMN($X$42)+1)))*12+MONTH($L226)-MONTH(INDEX('1 Budget annuel'!$L$14:$L$43,COLUMN()-COLUMN($X$42)+1)),6)=0,DAY($L226)=MIN(DAY(INDEX('1 Budget annuel'!$L$14:$L$43,COLUMN()-COLUMN($X$42)+1)),DAY(EOMONTH($L226,0)))),AND(INDEX('1 Budget annuel'!$E$14:$E$43,COLUMN()-COLUMN($X$42)+1)="Annuelle",MOD((YEAR($L226)-YEAR(INDEX('1 Budget annuel'!$L$14:$L$43,COLUMN()-COLUMN($X$42)+1)))*12+MONTH($L226)-MONTH(INDEX('1 Budget annuel'!$L$14:$L$43,COLUMN()-COLUMN($X$42)+1)),12)=0,DAY($L226)=MIN(DAY(INDEX('1 Budget annuel'!$L$14:$L$43,COLUMN()-COLUMN($X$42)+1)),DAY(EOMONTH($L226,0))))),IF(INDEX('1 Budget annuel'!$B$14:$B$43,COLUMN()-COLUMN($X$42)+1)="Entrée",INDEX('1 Budget annuel'!$I$14:$I$43,COLUMN()-COLUMN($X$42)+1),-INDEX('1 Budget annuel'!$I$14:$I$43,COLUMN()-COLUMN($X$42)+1)),0))</x:f>
        <x:v>0</x:v>
      </x:c>
    </x:row>
    <x:row r="227">
      <x:c r="L227" s="114" t="n">
        <x:f>L226+1</x:f>
        <x:v>46421</x:v>
      </x:c>
      <x:c r="M227" s="115" t="b">
        <x:f>AND(L227&gt;=$D$5,L227&lt;=$D$5+363,MOD(L227-$D$5,7)=0)</x:f>
        <x:v>0</x:v>
      </x:c>
      <x:c r="N227" s="116" t="n">
        <x:f>SUM(X227:BA227)</x:f>
        <x:v>0</x:v>
      </x:c>
      <x:c r="O227" s="116" t="n">
        <x:f>IF(M227,$D$10,0)</x:f>
        <x:v>0</x:v>
      </x:c>
      <x:c r="P227" s="116" t="n">
        <x:f>N227-O227</x:f>
        <x:v>0</x:v>
      </x:c>
      <x:c r="Q227" s="116" t="n">
        <x:f>IF(L227&lt;$D$5,0,IF(L227=$D$5,P227,Q226+P227))</x:f>
        <x:v>0</x:v>
      </x:c>
      <x:c r="R227" s="116" t="n">
        <x:f>IF(L227&lt;$D$5,"",$J$10+Q227)</x:f>
        <x:v>0</x:v>
      </x:c>
      <x:c r="S227" s="116" t="n">
        <x:f>IF($L227&lt;$D$5,"",IF($L227=$D$5,$J$10+$N227-IF($M227,IF(INT(($L227-$D$5)/7)&lt;$A$20,$B$20,$D$10),0),S226+$N227-IF($M227,IF(INT(($L227-$D$5)/7)&lt;$A$20,$B$20,$D$10),0)))</x:f>
        <x:v>0</x:v>
      </x:c>
      <x:c r="T227" s="116" t="n">
        <x:f>IF($L227&lt;$D$5,"",IF($L227=$D$5,$J$10+$N227-IF($M227,IF(INT(($L227-$D$5)/7)&lt;$A$21,$B$21,$D$10),0),T226+$N227-IF($M227,IF(INT(($L227-$D$5)/7)&lt;$A$21,$B$21,$D$10),0)))</x:f>
        <x:v>0</x:v>
      </x:c>
      <x:c r="U227" s="116" t="n">
        <x:f>IF($L227&lt;$D$5,"",IF($L227=$D$5,$J$10+$N227-IF($M227,IF(INT(($L227-$D$5)/7)&lt;$A$22,$B$22,$D$10),0),U226+$N227-IF($M227,IF(INT(($L227-$D$5)/7)&lt;$A$22,$B$22,$D$10),0)))</x:f>
        <x:v>0</x:v>
      </x:c>
      <x:c r="V227" s="116" t="n">
        <x:f>IF($L227&lt;$D$5,"",IF($L227=$D$5,$J$10+$N227-IF($M227,IF(INT(($L227-$D$5)/7)&lt;$A$23,$B$23,$D$10),0),V226+$N227-IF($M227,IF(INT(($L227-$D$5)/7)&lt;$A$23,$B$23,$D$10),0)))</x:f>
        <x:v>0</x:v>
      </x:c>
      <x:c r="W227" s="116" t="n">
        <x:f>IF($L227&lt;$D$5,"",IF($L227=$D$5,$J$10+$N227-IF($M227,IF(INT(($L227-$D$5)/7)&lt;$A$24,$B$24,$D$10),0),W226+$N227-IF($M227,IF(INT(($L227-$D$5)/7)&lt;$A$24,$B$24,$D$10),0)))</x:f>
        <x:v>0</x:v>
      </x:c>
      <x:c r="X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Y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Z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A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B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C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D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E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F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G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H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I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J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K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L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M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N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O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P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Q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R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S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T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U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V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W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X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Y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AZ227" s="116"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c r="BA227" s="117" t="n">
        <x:f>IF(OR(INDEX('1 Budget annuel'!$A$14:$A$43,COLUMN()-COLUMN($X$42)+1)&lt;&gt;"Oui",INDEX('1 Budget annuel'!$L$14:$L$43,COLUMN()-COLUMN($X$42)+1)="",AND(INDEX('1 Budget annuel'!$B$14:$B$43,COLUMN()-COLUMN($X$42)+1)="Sortie",INDEX('1 Budget annuel'!$M$14:$M$43,COLUMN()-COLUMN($X$42)+1)="Oui"),$L227&lt;INDEX('1 Budget annuel'!$L$14:$L$43,COLUMN()-COLUMN($X$42)+1),$L227&gt;$D$5+363),0,IF(OR(AND(INDEX('1 Budget annuel'!$E$14:$E$43,COLUMN()-COLUMN($X$42)+1)="Hebdomadaire",MOD($L227-INDEX('1 Budget annuel'!$L$14:$L$43,COLUMN()-COLUMN($X$42)+1),7)=0),AND(INDEX('1 Budget annuel'!$E$14:$E$43,COLUMN()-COLUMN($X$42)+1)="Toutes les 4 semaines",MOD($L227-INDEX('1 Budget annuel'!$L$14:$L$43,COLUMN()-COLUMN($X$42)+1),28)=0),AND(INDEX('1 Budget annuel'!$E$14:$E$43,COLUMN()-COLUMN($X$42)+1)="Mensuelle",DAY($L227)=MIN(DAY(INDEX('1 Budget annuel'!$L$14:$L$43,COLUMN()-COLUMN($X$42)+1)),DAY(EOMONTH($L227,0)))),AND(INDEX('1 Budget annuel'!$E$14:$E$43,COLUMN()-COLUMN($X$42)+1)="Trimestrielle",MOD((YEAR($L227)-YEAR(INDEX('1 Budget annuel'!$L$14:$L$43,COLUMN()-COLUMN($X$42)+1)))*12+MONTH($L227)-MONTH(INDEX('1 Budget annuel'!$L$14:$L$43,COLUMN()-COLUMN($X$42)+1)),3)=0,DAY($L227)=MIN(DAY(INDEX('1 Budget annuel'!$L$14:$L$43,COLUMN()-COLUMN($X$42)+1)),DAY(EOMONTH($L227,0)))),AND(INDEX('1 Budget annuel'!$E$14:$E$43,COLUMN()-COLUMN($X$42)+1)="Semestrielle",MOD((YEAR($L227)-YEAR(INDEX('1 Budget annuel'!$L$14:$L$43,COLUMN()-COLUMN($X$42)+1)))*12+MONTH($L227)-MONTH(INDEX('1 Budget annuel'!$L$14:$L$43,COLUMN()-COLUMN($X$42)+1)),6)=0,DAY($L227)=MIN(DAY(INDEX('1 Budget annuel'!$L$14:$L$43,COLUMN()-COLUMN($X$42)+1)),DAY(EOMONTH($L227,0)))),AND(INDEX('1 Budget annuel'!$E$14:$E$43,COLUMN()-COLUMN($X$42)+1)="Annuelle",MOD((YEAR($L227)-YEAR(INDEX('1 Budget annuel'!$L$14:$L$43,COLUMN()-COLUMN($X$42)+1)))*12+MONTH($L227)-MONTH(INDEX('1 Budget annuel'!$L$14:$L$43,COLUMN()-COLUMN($X$42)+1)),12)=0,DAY($L227)=MIN(DAY(INDEX('1 Budget annuel'!$L$14:$L$43,COLUMN()-COLUMN($X$42)+1)),DAY(EOMONTH($L227,0))))),IF(INDEX('1 Budget annuel'!$B$14:$B$43,COLUMN()-COLUMN($X$42)+1)="Entrée",INDEX('1 Budget annuel'!$I$14:$I$43,COLUMN()-COLUMN($X$42)+1),-INDEX('1 Budget annuel'!$I$14:$I$43,COLUMN()-COLUMN($X$42)+1)),0))</x:f>
        <x:v>0</x:v>
      </x:c>
    </x:row>
    <x:row r="228">
      <x:c r="L228" s="114" t="n">
        <x:f>L227+1</x:f>
        <x:v>46422</x:v>
      </x:c>
      <x:c r="M228" s="115" t="b">
        <x:f>AND(L228&gt;=$D$5,L228&lt;=$D$5+363,MOD(L228-$D$5,7)=0)</x:f>
        <x:v>0</x:v>
      </x:c>
      <x:c r="N228" s="116" t="n">
        <x:f>SUM(X228:BA228)</x:f>
        <x:v>0</x:v>
      </x:c>
      <x:c r="O228" s="116" t="n">
        <x:f>IF(M228,$D$10,0)</x:f>
        <x:v>0</x:v>
      </x:c>
      <x:c r="P228" s="116" t="n">
        <x:f>N228-O228</x:f>
        <x:v>0</x:v>
      </x:c>
      <x:c r="Q228" s="116" t="n">
        <x:f>IF(L228&lt;$D$5,0,IF(L228=$D$5,P228,Q227+P228))</x:f>
        <x:v>0</x:v>
      </x:c>
      <x:c r="R228" s="116" t="n">
        <x:f>IF(L228&lt;$D$5,"",$J$10+Q228)</x:f>
        <x:v>0</x:v>
      </x:c>
      <x:c r="S228" s="116" t="n">
        <x:f>IF($L228&lt;$D$5,"",IF($L228=$D$5,$J$10+$N228-IF($M228,IF(INT(($L228-$D$5)/7)&lt;$A$20,$B$20,$D$10),0),S227+$N228-IF($M228,IF(INT(($L228-$D$5)/7)&lt;$A$20,$B$20,$D$10),0)))</x:f>
        <x:v>0</x:v>
      </x:c>
      <x:c r="T228" s="116" t="n">
        <x:f>IF($L228&lt;$D$5,"",IF($L228=$D$5,$J$10+$N228-IF($M228,IF(INT(($L228-$D$5)/7)&lt;$A$21,$B$21,$D$10),0),T227+$N228-IF($M228,IF(INT(($L228-$D$5)/7)&lt;$A$21,$B$21,$D$10),0)))</x:f>
        <x:v>0</x:v>
      </x:c>
      <x:c r="U228" s="116" t="n">
        <x:f>IF($L228&lt;$D$5,"",IF($L228=$D$5,$J$10+$N228-IF($M228,IF(INT(($L228-$D$5)/7)&lt;$A$22,$B$22,$D$10),0),U227+$N228-IF($M228,IF(INT(($L228-$D$5)/7)&lt;$A$22,$B$22,$D$10),0)))</x:f>
        <x:v>0</x:v>
      </x:c>
      <x:c r="V228" s="116" t="n">
        <x:f>IF($L228&lt;$D$5,"",IF($L228=$D$5,$J$10+$N228-IF($M228,IF(INT(($L228-$D$5)/7)&lt;$A$23,$B$23,$D$10),0),V227+$N228-IF($M228,IF(INT(($L228-$D$5)/7)&lt;$A$23,$B$23,$D$10),0)))</x:f>
        <x:v>0</x:v>
      </x:c>
      <x:c r="W228" s="116" t="n">
        <x:f>IF($L228&lt;$D$5,"",IF($L228=$D$5,$J$10+$N228-IF($M228,IF(INT(($L228-$D$5)/7)&lt;$A$24,$B$24,$D$10),0),W227+$N228-IF($M228,IF(INT(($L228-$D$5)/7)&lt;$A$24,$B$24,$D$10),0)))</x:f>
        <x:v>0</x:v>
      </x:c>
      <x:c r="X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Y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Z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A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B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C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D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E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F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G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H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I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J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K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L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M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N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O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P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Q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R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S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T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U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V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W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X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Y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AZ228" s="116"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c r="BA228" s="117" t="n">
        <x:f>IF(OR(INDEX('1 Budget annuel'!$A$14:$A$43,COLUMN()-COLUMN($X$42)+1)&lt;&gt;"Oui",INDEX('1 Budget annuel'!$L$14:$L$43,COLUMN()-COLUMN($X$42)+1)="",AND(INDEX('1 Budget annuel'!$B$14:$B$43,COLUMN()-COLUMN($X$42)+1)="Sortie",INDEX('1 Budget annuel'!$M$14:$M$43,COLUMN()-COLUMN($X$42)+1)="Oui"),$L228&lt;INDEX('1 Budget annuel'!$L$14:$L$43,COLUMN()-COLUMN($X$42)+1),$L228&gt;$D$5+363),0,IF(OR(AND(INDEX('1 Budget annuel'!$E$14:$E$43,COLUMN()-COLUMN($X$42)+1)="Hebdomadaire",MOD($L228-INDEX('1 Budget annuel'!$L$14:$L$43,COLUMN()-COLUMN($X$42)+1),7)=0),AND(INDEX('1 Budget annuel'!$E$14:$E$43,COLUMN()-COLUMN($X$42)+1)="Toutes les 4 semaines",MOD($L228-INDEX('1 Budget annuel'!$L$14:$L$43,COLUMN()-COLUMN($X$42)+1),28)=0),AND(INDEX('1 Budget annuel'!$E$14:$E$43,COLUMN()-COLUMN($X$42)+1)="Mensuelle",DAY($L228)=MIN(DAY(INDEX('1 Budget annuel'!$L$14:$L$43,COLUMN()-COLUMN($X$42)+1)),DAY(EOMONTH($L228,0)))),AND(INDEX('1 Budget annuel'!$E$14:$E$43,COLUMN()-COLUMN($X$42)+1)="Trimestrielle",MOD((YEAR($L228)-YEAR(INDEX('1 Budget annuel'!$L$14:$L$43,COLUMN()-COLUMN($X$42)+1)))*12+MONTH($L228)-MONTH(INDEX('1 Budget annuel'!$L$14:$L$43,COLUMN()-COLUMN($X$42)+1)),3)=0,DAY($L228)=MIN(DAY(INDEX('1 Budget annuel'!$L$14:$L$43,COLUMN()-COLUMN($X$42)+1)),DAY(EOMONTH($L228,0)))),AND(INDEX('1 Budget annuel'!$E$14:$E$43,COLUMN()-COLUMN($X$42)+1)="Semestrielle",MOD((YEAR($L228)-YEAR(INDEX('1 Budget annuel'!$L$14:$L$43,COLUMN()-COLUMN($X$42)+1)))*12+MONTH($L228)-MONTH(INDEX('1 Budget annuel'!$L$14:$L$43,COLUMN()-COLUMN($X$42)+1)),6)=0,DAY($L228)=MIN(DAY(INDEX('1 Budget annuel'!$L$14:$L$43,COLUMN()-COLUMN($X$42)+1)),DAY(EOMONTH($L228,0)))),AND(INDEX('1 Budget annuel'!$E$14:$E$43,COLUMN()-COLUMN($X$42)+1)="Annuelle",MOD((YEAR($L228)-YEAR(INDEX('1 Budget annuel'!$L$14:$L$43,COLUMN()-COLUMN($X$42)+1)))*12+MONTH($L228)-MONTH(INDEX('1 Budget annuel'!$L$14:$L$43,COLUMN()-COLUMN($X$42)+1)),12)=0,DAY($L228)=MIN(DAY(INDEX('1 Budget annuel'!$L$14:$L$43,COLUMN()-COLUMN($X$42)+1)),DAY(EOMONTH($L228,0))))),IF(INDEX('1 Budget annuel'!$B$14:$B$43,COLUMN()-COLUMN($X$42)+1)="Entrée",INDEX('1 Budget annuel'!$I$14:$I$43,COLUMN()-COLUMN($X$42)+1),-INDEX('1 Budget annuel'!$I$14:$I$43,COLUMN()-COLUMN($X$42)+1)),0))</x:f>
        <x:v>0</x:v>
      </x:c>
    </x:row>
    <x:row r="229">
      <x:c r="L229" s="114" t="n">
        <x:f>L228+1</x:f>
        <x:v>46423</x:v>
      </x:c>
      <x:c r="M229" s="115" t="b">
        <x:f>AND(L229&gt;=$D$5,L229&lt;=$D$5+363,MOD(L229-$D$5,7)=0)</x:f>
        <x:v>0</x:v>
      </x:c>
      <x:c r="N229" s="116" t="n">
        <x:f>SUM(X229:BA229)</x:f>
        <x:v>0</x:v>
      </x:c>
      <x:c r="O229" s="116" t="n">
        <x:f>IF(M229,$D$10,0)</x:f>
        <x:v>0</x:v>
      </x:c>
      <x:c r="P229" s="116" t="n">
        <x:f>N229-O229</x:f>
        <x:v>0</x:v>
      </x:c>
      <x:c r="Q229" s="116" t="n">
        <x:f>IF(L229&lt;$D$5,0,IF(L229=$D$5,P229,Q228+P229))</x:f>
        <x:v>0</x:v>
      </x:c>
      <x:c r="R229" s="116" t="n">
        <x:f>IF(L229&lt;$D$5,"",$J$10+Q229)</x:f>
        <x:v>0</x:v>
      </x:c>
      <x:c r="S229" s="116" t="n">
        <x:f>IF($L229&lt;$D$5,"",IF($L229=$D$5,$J$10+$N229-IF($M229,IF(INT(($L229-$D$5)/7)&lt;$A$20,$B$20,$D$10),0),S228+$N229-IF($M229,IF(INT(($L229-$D$5)/7)&lt;$A$20,$B$20,$D$10),0)))</x:f>
        <x:v>0</x:v>
      </x:c>
      <x:c r="T229" s="116" t="n">
        <x:f>IF($L229&lt;$D$5,"",IF($L229=$D$5,$J$10+$N229-IF($M229,IF(INT(($L229-$D$5)/7)&lt;$A$21,$B$21,$D$10),0),T228+$N229-IF($M229,IF(INT(($L229-$D$5)/7)&lt;$A$21,$B$21,$D$10),0)))</x:f>
        <x:v>0</x:v>
      </x:c>
      <x:c r="U229" s="116" t="n">
        <x:f>IF($L229&lt;$D$5,"",IF($L229=$D$5,$J$10+$N229-IF($M229,IF(INT(($L229-$D$5)/7)&lt;$A$22,$B$22,$D$10),0),U228+$N229-IF($M229,IF(INT(($L229-$D$5)/7)&lt;$A$22,$B$22,$D$10),0)))</x:f>
        <x:v>0</x:v>
      </x:c>
      <x:c r="V229" s="116" t="n">
        <x:f>IF($L229&lt;$D$5,"",IF($L229=$D$5,$J$10+$N229-IF($M229,IF(INT(($L229-$D$5)/7)&lt;$A$23,$B$23,$D$10),0),V228+$N229-IF($M229,IF(INT(($L229-$D$5)/7)&lt;$A$23,$B$23,$D$10),0)))</x:f>
        <x:v>0</x:v>
      </x:c>
      <x:c r="W229" s="116" t="n">
        <x:f>IF($L229&lt;$D$5,"",IF($L229=$D$5,$J$10+$N229-IF($M229,IF(INT(($L229-$D$5)/7)&lt;$A$24,$B$24,$D$10),0),W228+$N229-IF($M229,IF(INT(($L229-$D$5)/7)&lt;$A$24,$B$24,$D$10),0)))</x:f>
        <x:v>0</x:v>
      </x:c>
      <x:c r="X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Y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Z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A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B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C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D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E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F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G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H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I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J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K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L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M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N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O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P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Q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R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S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T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U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V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W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X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Y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AZ229" s="116"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c r="BA229" s="117" t="n">
        <x:f>IF(OR(INDEX('1 Budget annuel'!$A$14:$A$43,COLUMN()-COLUMN($X$42)+1)&lt;&gt;"Oui",INDEX('1 Budget annuel'!$L$14:$L$43,COLUMN()-COLUMN($X$42)+1)="",AND(INDEX('1 Budget annuel'!$B$14:$B$43,COLUMN()-COLUMN($X$42)+1)="Sortie",INDEX('1 Budget annuel'!$M$14:$M$43,COLUMN()-COLUMN($X$42)+1)="Oui"),$L229&lt;INDEX('1 Budget annuel'!$L$14:$L$43,COLUMN()-COLUMN($X$42)+1),$L229&gt;$D$5+363),0,IF(OR(AND(INDEX('1 Budget annuel'!$E$14:$E$43,COLUMN()-COLUMN($X$42)+1)="Hebdomadaire",MOD($L229-INDEX('1 Budget annuel'!$L$14:$L$43,COLUMN()-COLUMN($X$42)+1),7)=0),AND(INDEX('1 Budget annuel'!$E$14:$E$43,COLUMN()-COLUMN($X$42)+1)="Toutes les 4 semaines",MOD($L229-INDEX('1 Budget annuel'!$L$14:$L$43,COLUMN()-COLUMN($X$42)+1),28)=0),AND(INDEX('1 Budget annuel'!$E$14:$E$43,COLUMN()-COLUMN($X$42)+1)="Mensuelle",DAY($L229)=MIN(DAY(INDEX('1 Budget annuel'!$L$14:$L$43,COLUMN()-COLUMN($X$42)+1)),DAY(EOMONTH($L229,0)))),AND(INDEX('1 Budget annuel'!$E$14:$E$43,COLUMN()-COLUMN($X$42)+1)="Trimestrielle",MOD((YEAR($L229)-YEAR(INDEX('1 Budget annuel'!$L$14:$L$43,COLUMN()-COLUMN($X$42)+1)))*12+MONTH($L229)-MONTH(INDEX('1 Budget annuel'!$L$14:$L$43,COLUMN()-COLUMN($X$42)+1)),3)=0,DAY($L229)=MIN(DAY(INDEX('1 Budget annuel'!$L$14:$L$43,COLUMN()-COLUMN($X$42)+1)),DAY(EOMONTH($L229,0)))),AND(INDEX('1 Budget annuel'!$E$14:$E$43,COLUMN()-COLUMN($X$42)+1)="Semestrielle",MOD((YEAR($L229)-YEAR(INDEX('1 Budget annuel'!$L$14:$L$43,COLUMN()-COLUMN($X$42)+1)))*12+MONTH($L229)-MONTH(INDEX('1 Budget annuel'!$L$14:$L$43,COLUMN()-COLUMN($X$42)+1)),6)=0,DAY($L229)=MIN(DAY(INDEX('1 Budget annuel'!$L$14:$L$43,COLUMN()-COLUMN($X$42)+1)),DAY(EOMONTH($L229,0)))),AND(INDEX('1 Budget annuel'!$E$14:$E$43,COLUMN()-COLUMN($X$42)+1)="Annuelle",MOD((YEAR($L229)-YEAR(INDEX('1 Budget annuel'!$L$14:$L$43,COLUMN()-COLUMN($X$42)+1)))*12+MONTH($L229)-MONTH(INDEX('1 Budget annuel'!$L$14:$L$43,COLUMN()-COLUMN($X$42)+1)),12)=0,DAY($L229)=MIN(DAY(INDEX('1 Budget annuel'!$L$14:$L$43,COLUMN()-COLUMN($X$42)+1)),DAY(EOMONTH($L229,0))))),IF(INDEX('1 Budget annuel'!$B$14:$B$43,COLUMN()-COLUMN($X$42)+1)="Entrée",INDEX('1 Budget annuel'!$I$14:$I$43,COLUMN()-COLUMN($X$42)+1),-INDEX('1 Budget annuel'!$I$14:$I$43,COLUMN()-COLUMN($X$42)+1)),0))</x:f>
        <x:v>0</x:v>
      </x:c>
    </x:row>
    <x:row r="230">
      <x:c r="L230" s="114" t="n">
        <x:f>L229+1</x:f>
        <x:v>46424</x:v>
      </x:c>
      <x:c r="M230" s="115" t="b">
        <x:f>AND(L230&gt;=$D$5,L230&lt;=$D$5+363,MOD(L230-$D$5,7)=0)</x:f>
        <x:v>1</x:v>
      </x:c>
      <x:c r="N230" s="116" t="n">
        <x:f>SUM(X230:BA230)</x:f>
        <x:v>0</x:v>
      </x:c>
      <x:c r="O230" s="116" t="n">
        <x:f>IF(M230,$D$10,0)</x:f>
        <x:v>0</x:v>
      </x:c>
      <x:c r="P230" s="116" t="n">
        <x:f>N230-O230</x:f>
        <x:v>0</x:v>
      </x:c>
      <x:c r="Q230" s="116" t="n">
        <x:f>IF(L230&lt;$D$5,0,IF(L230=$D$5,P230,Q229+P230))</x:f>
        <x:v>0</x:v>
      </x:c>
      <x:c r="R230" s="116" t="n">
        <x:f>IF(L230&lt;$D$5,"",$J$10+Q230)</x:f>
        <x:v>0</x:v>
      </x:c>
      <x:c r="S230" s="116" t="n">
        <x:f>IF($L230&lt;$D$5,"",IF($L230=$D$5,$J$10+$N230-IF($M230,IF(INT(($L230-$D$5)/7)&lt;$A$20,$B$20,$D$10),0),S229+$N230-IF($M230,IF(INT(($L230-$D$5)/7)&lt;$A$20,$B$20,$D$10),0)))</x:f>
        <x:v>0</x:v>
      </x:c>
      <x:c r="T230" s="116" t="n">
        <x:f>IF($L230&lt;$D$5,"",IF($L230=$D$5,$J$10+$N230-IF($M230,IF(INT(($L230-$D$5)/7)&lt;$A$21,$B$21,$D$10),0),T229+$N230-IF($M230,IF(INT(($L230-$D$5)/7)&lt;$A$21,$B$21,$D$10),0)))</x:f>
        <x:v>0</x:v>
      </x:c>
      <x:c r="U230" s="116" t="n">
        <x:f>IF($L230&lt;$D$5,"",IF($L230=$D$5,$J$10+$N230-IF($M230,IF(INT(($L230-$D$5)/7)&lt;$A$22,$B$22,$D$10),0),U229+$N230-IF($M230,IF(INT(($L230-$D$5)/7)&lt;$A$22,$B$22,$D$10),0)))</x:f>
        <x:v>0</x:v>
      </x:c>
      <x:c r="V230" s="116" t="n">
        <x:f>IF($L230&lt;$D$5,"",IF($L230=$D$5,$J$10+$N230-IF($M230,IF(INT(($L230-$D$5)/7)&lt;$A$23,$B$23,$D$10),0),V229+$N230-IF($M230,IF(INT(($L230-$D$5)/7)&lt;$A$23,$B$23,$D$10),0)))</x:f>
        <x:v>0</x:v>
      </x:c>
      <x:c r="W230" s="116" t="n">
        <x:f>IF($L230&lt;$D$5,"",IF($L230=$D$5,$J$10+$N230-IF($M230,IF(INT(($L230-$D$5)/7)&lt;$A$24,$B$24,$D$10),0),W229+$N230-IF($M230,IF(INT(($L230-$D$5)/7)&lt;$A$24,$B$24,$D$10),0)))</x:f>
        <x:v>0</x:v>
      </x:c>
      <x:c r="X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Y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Z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A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B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C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D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E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F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G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H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I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J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K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L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M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N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O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P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Q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R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S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T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U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V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W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X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Y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AZ230" s="116"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c r="BA230" s="117" t="n">
        <x:f>IF(OR(INDEX('1 Budget annuel'!$A$14:$A$43,COLUMN()-COLUMN($X$42)+1)&lt;&gt;"Oui",INDEX('1 Budget annuel'!$L$14:$L$43,COLUMN()-COLUMN($X$42)+1)="",AND(INDEX('1 Budget annuel'!$B$14:$B$43,COLUMN()-COLUMN($X$42)+1)="Sortie",INDEX('1 Budget annuel'!$M$14:$M$43,COLUMN()-COLUMN($X$42)+1)="Oui"),$L230&lt;INDEX('1 Budget annuel'!$L$14:$L$43,COLUMN()-COLUMN($X$42)+1),$L230&gt;$D$5+363),0,IF(OR(AND(INDEX('1 Budget annuel'!$E$14:$E$43,COLUMN()-COLUMN($X$42)+1)="Hebdomadaire",MOD($L230-INDEX('1 Budget annuel'!$L$14:$L$43,COLUMN()-COLUMN($X$42)+1),7)=0),AND(INDEX('1 Budget annuel'!$E$14:$E$43,COLUMN()-COLUMN($X$42)+1)="Toutes les 4 semaines",MOD($L230-INDEX('1 Budget annuel'!$L$14:$L$43,COLUMN()-COLUMN($X$42)+1),28)=0),AND(INDEX('1 Budget annuel'!$E$14:$E$43,COLUMN()-COLUMN($X$42)+1)="Mensuelle",DAY($L230)=MIN(DAY(INDEX('1 Budget annuel'!$L$14:$L$43,COLUMN()-COLUMN($X$42)+1)),DAY(EOMONTH($L230,0)))),AND(INDEX('1 Budget annuel'!$E$14:$E$43,COLUMN()-COLUMN($X$42)+1)="Trimestrielle",MOD((YEAR($L230)-YEAR(INDEX('1 Budget annuel'!$L$14:$L$43,COLUMN()-COLUMN($X$42)+1)))*12+MONTH($L230)-MONTH(INDEX('1 Budget annuel'!$L$14:$L$43,COLUMN()-COLUMN($X$42)+1)),3)=0,DAY($L230)=MIN(DAY(INDEX('1 Budget annuel'!$L$14:$L$43,COLUMN()-COLUMN($X$42)+1)),DAY(EOMONTH($L230,0)))),AND(INDEX('1 Budget annuel'!$E$14:$E$43,COLUMN()-COLUMN($X$42)+1)="Semestrielle",MOD((YEAR($L230)-YEAR(INDEX('1 Budget annuel'!$L$14:$L$43,COLUMN()-COLUMN($X$42)+1)))*12+MONTH($L230)-MONTH(INDEX('1 Budget annuel'!$L$14:$L$43,COLUMN()-COLUMN($X$42)+1)),6)=0,DAY($L230)=MIN(DAY(INDEX('1 Budget annuel'!$L$14:$L$43,COLUMN()-COLUMN($X$42)+1)),DAY(EOMONTH($L230,0)))),AND(INDEX('1 Budget annuel'!$E$14:$E$43,COLUMN()-COLUMN($X$42)+1)="Annuelle",MOD((YEAR($L230)-YEAR(INDEX('1 Budget annuel'!$L$14:$L$43,COLUMN()-COLUMN($X$42)+1)))*12+MONTH($L230)-MONTH(INDEX('1 Budget annuel'!$L$14:$L$43,COLUMN()-COLUMN($X$42)+1)),12)=0,DAY($L230)=MIN(DAY(INDEX('1 Budget annuel'!$L$14:$L$43,COLUMN()-COLUMN($X$42)+1)),DAY(EOMONTH($L230,0))))),IF(INDEX('1 Budget annuel'!$B$14:$B$43,COLUMN()-COLUMN($X$42)+1)="Entrée",INDEX('1 Budget annuel'!$I$14:$I$43,COLUMN()-COLUMN($X$42)+1),-INDEX('1 Budget annuel'!$I$14:$I$43,COLUMN()-COLUMN($X$42)+1)),0))</x:f>
        <x:v>0</x:v>
      </x:c>
    </x:row>
    <x:row r="231">
      <x:c r="L231" s="114" t="n">
        <x:f>L230+1</x:f>
        <x:v>46425</x:v>
      </x:c>
      <x:c r="M231" s="115" t="b">
        <x:f>AND(L231&gt;=$D$5,L231&lt;=$D$5+363,MOD(L231-$D$5,7)=0)</x:f>
        <x:v>0</x:v>
      </x:c>
      <x:c r="N231" s="116" t="n">
        <x:f>SUM(X231:BA231)</x:f>
        <x:v>0</x:v>
      </x:c>
      <x:c r="O231" s="116" t="n">
        <x:f>IF(M231,$D$10,0)</x:f>
        <x:v>0</x:v>
      </x:c>
      <x:c r="P231" s="116" t="n">
        <x:f>N231-O231</x:f>
        <x:v>0</x:v>
      </x:c>
      <x:c r="Q231" s="116" t="n">
        <x:f>IF(L231&lt;$D$5,0,IF(L231=$D$5,P231,Q230+P231))</x:f>
        <x:v>0</x:v>
      </x:c>
      <x:c r="R231" s="116" t="n">
        <x:f>IF(L231&lt;$D$5,"",$J$10+Q231)</x:f>
        <x:v>0</x:v>
      </x:c>
      <x:c r="S231" s="116" t="n">
        <x:f>IF($L231&lt;$D$5,"",IF($L231=$D$5,$J$10+$N231-IF($M231,IF(INT(($L231-$D$5)/7)&lt;$A$20,$B$20,$D$10),0),S230+$N231-IF($M231,IF(INT(($L231-$D$5)/7)&lt;$A$20,$B$20,$D$10),0)))</x:f>
        <x:v>0</x:v>
      </x:c>
      <x:c r="T231" s="116" t="n">
        <x:f>IF($L231&lt;$D$5,"",IF($L231=$D$5,$J$10+$N231-IF($M231,IF(INT(($L231-$D$5)/7)&lt;$A$21,$B$21,$D$10),0),T230+$N231-IF($M231,IF(INT(($L231-$D$5)/7)&lt;$A$21,$B$21,$D$10),0)))</x:f>
        <x:v>0</x:v>
      </x:c>
      <x:c r="U231" s="116" t="n">
        <x:f>IF($L231&lt;$D$5,"",IF($L231=$D$5,$J$10+$N231-IF($M231,IF(INT(($L231-$D$5)/7)&lt;$A$22,$B$22,$D$10),0),U230+$N231-IF($M231,IF(INT(($L231-$D$5)/7)&lt;$A$22,$B$22,$D$10),0)))</x:f>
        <x:v>0</x:v>
      </x:c>
      <x:c r="V231" s="116" t="n">
        <x:f>IF($L231&lt;$D$5,"",IF($L231=$D$5,$J$10+$N231-IF($M231,IF(INT(($L231-$D$5)/7)&lt;$A$23,$B$23,$D$10),0),V230+$N231-IF($M231,IF(INT(($L231-$D$5)/7)&lt;$A$23,$B$23,$D$10),0)))</x:f>
        <x:v>0</x:v>
      </x:c>
      <x:c r="W231" s="116" t="n">
        <x:f>IF($L231&lt;$D$5,"",IF($L231=$D$5,$J$10+$N231-IF($M231,IF(INT(($L231-$D$5)/7)&lt;$A$24,$B$24,$D$10),0),W230+$N231-IF($M231,IF(INT(($L231-$D$5)/7)&lt;$A$24,$B$24,$D$10),0)))</x:f>
        <x:v>0</x:v>
      </x:c>
      <x:c r="X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Y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Z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A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B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C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D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E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F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G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H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I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J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K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L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M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N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O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P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Q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R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S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T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U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V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W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X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Y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AZ231" s="116"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c r="BA231" s="117" t="n">
        <x:f>IF(OR(INDEX('1 Budget annuel'!$A$14:$A$43,COLUMN()-COLUMN($X$42)+1)&lt;&gt;"Oui",INDEX('1 Budget annuel'!$L$14:$L$43,COLUMN()-COLUMN($X$42)+1)="",AND(INDEX('1 Budget annuel'!$B$14:$B$43,COLUMN()-COLUMN($X$42)+1)="Sortie",INDEX('1 Budget annuel'!$M$14:$M$43,COLUMN()-COLUMN($X$42)+1)="Oui"),$L231&lt;INDEX('1 Budget annuel'!$L$14:$L$43,COLUMN()-COLUMN($X$42)+1),$L231&gt;$D$5+363),0,IF(OR(AND(INDEX('1 Budget annuel'!$E$14:$E$43,COLUMN()-COLUMN($X$42)+1)="Hebdomadaire",MOD($L231-INDEX('1 Budget annuel'!$L$14:$L$43,COLUMN()-COLUMN($X$42)+1),7)=0),AND(INDEX('1 Budget annuel'!$E$14:$E$43,COLUMN()-COLUMN($X$42)+1)="Toutes les 4 semaines",MOD($L231-INDEX('1 Budget annuel'!$L$14:$L$43,COLUMN()-COLUMN($X$42)+1),28)=0),AND(INDEX('1 Budget annuel'!$E$14:$E$43,COLUMN()-COLUMN($X$42)+1)="Mensuelle",DAY($L231)=MIN(DAY(INDEX('1 Budget annuel'!$L$14:$L$43,COLUMN()-COLUMN($X$42)+1)),DAY(EOMONTH($L231,0)))),AND(INDEX('1 Budget annuel'!$E$14:$E$43,COLUMN()-COLUMN($X$42)+1)="Trimestrielle",MOD((YEAR($L231)-YEAR(INDEX('1 Budget annuel'!$L$14:$L$43,COLUMN()-COLUMN($X$42)+1)))*12+MONTH($L231)-MONTH(INDEX('1 Budget annuel'!$L$14:$L$43,COLUMN()-COLUMN($X$42)+1)),3)=0,DAY($L231)=MIN(DAY(INDEX('1 Budget annuel'!$L$14:$L$43,COLUMN()-COLUMN($X$42)+1)),DAY(EOMONTH($L231,0)))),AND(INDEX('1 Budget annuel'!$E$14:$E$43,COLUMN()-COLUMN($X$42)+1)="Semestrielle",MOD((YEAR($L231)-YEAR(INDEX('1 Budget annuel'!$L$14:$L$43,COLUMN()-COLUMN($X$42)+1)))*12+MONTH($L231)-MONTH(INDEX('1 Budget annuel'!$L$14:$L$43,COLUMN()-COLUMN($X$42)+1)),6)=0,DAY($L231)=MIN(DAY(INDEX('1 Budget annuel'!$L$14:$L$43,COLUMN()-COLUMN($X$42)+1)),DAY(EOMONTH($L231,0)))),AND(INDEX('1 Budget annuel'!$E$14:$E$43,COLUMN()-COLUMN($X$42)+1)="Annuelle",MOD((YEAR($L231)-YEAR(INDEX('1 Budget annuel'!$L$14:$L$43,COLUMN()-COLUMN($X$42)+1)))*12+MONTH($L231)-MONTH(INDEX('1 Budget annuel'!$L$14:$L$43,COLUMN()-COLUMN($X$42)+1)),12)=0,DAY($L231)=MIN(DAY(INDEX('1 Budget annuel'!$L$14:$L$43,COLUMN()-COLUMN($X$42)+1)),DAY(EOMONTH($L231,0))))),IF(INDEX('1 Budget annuel'!$B$14:$B$43,COLUMN()-COLUMN($X$42)+1)="Entrée",INDEX('1 Budget annuel'!$I$14:$I$43,COLUMN()-COLUMN($X$42)+1),-INDEX('1 Budget annuel'!$I$14:$I$43,COLUMN()-COLUMN($X$42)+1)),0))</x:f>
        <x:v>0</x:v>
      </x:c>
    </x:row>
    <x:row r="232">
      <x:c r="L232" s="114" t="n">
        <x:f>L231+1</x:f>
        <x:v>46426</x:v>
      </x:c>
      <x:c r="M232" s="115" t="b">
        <x:f>AND(L232&gt;=$D$5,L232&lt;=$D$5+363,MOD(L232-$D$5,7)=0)</x:f>
        <x:v>0</x:v>
      </x:c>
      <x:c r="N232" s="116" t="n">
        <x:f>SUM(X232:BA232)</x:f>
        <x:v>0</x:v>
      </x:c>
      <x:c r="O232" s="116" t="n">
        <x:f>IF(M232,$D$10,0)</x:f>
        <x:v>0</x:v>
      </x:c>
      <x:c r="P232" s="116" t="n">
        <x:f>N232-O232</x:f>
        <x:v>0</x:v>
      </x:c>
      <x:c r="Q232" s="116" t="n">
        <x:f>IF(L232&lt;$D$5,0,IF(L232=$D$5,P232,Q231+P232))</x:f>
        <x:v>0</x:v>
      </x:c>
      <x:c r="R232" s="116" t="n">
        <x:f>IF(L232&lt;$D$5,"",$J$10+Q232)</x:f>
        <x:v>0</x:v>
      </x:c>
      <x:c r="S232" s="116" t="n">
        <x:f>IF($L232&lt;$D$5,"",IF($L232=$D$5,$J$10+$N232-IF($M232,IF(INT(($L232-$D$5)/7)&lt;$A$20,$B$20,$D$10),0),S231+$N232-IF($M232,IF(INT(($L232-$D$5)/7)&lt;$A$20,$B$20,$D$10),0)))</x:f>
        <x:v>0</x:v>
      </x:c>
      <x:c r="T232" s="116" t="n">
        <x:f>IF($L232&lt;$D$5,"",IF($L232=$D$5,$J$10+$N232-IF($M232,IF(INT(($L232-$D$5)/7)&lt;$A$21,$B$21,$D$10),0),T231+$N232-IF($M232,IF(INT(($L232-$D$5)/7)&lt;$A$21,$B$21,$D$10),0)))</x:f>
        <x:v>0</x:v>
      </x:c>
      <x:c r="U232" s="116" t="n">
        <x:f>IF($L232&lt;$D$5,"",IF($L232=$D$5,$J$10+$N232-IF($M232,IF(INT(($L232-$D$5)/7)&lt;$A$22,$B$22,$D$10),0),U231+$N232-IF($M232,IF(INT(($L232-$D$5)/7)&lt;$A$22,$B$22,$D$10),0)))</x:f>
        <x:v>0</x:v>
      </x:c>
      <x:c r="V232" s="116" t="n">
        <x:f>IF($L232&lt;$D$5,"",IF($L232=$D$5,$J$10+$N232-IF($M232,IF(INT(($L232-$D$5)/7)&lt;$A$23,$B$23,$D$10),0),V231+$N232-IF($M232,IF(INT(($L232-$D$5)/7)&lt;$A$23,$B$23,$D$10),0)))</x:f>
        <x:v>0</x:v>
      </x:c>
      <x:c r="W232" s="116" t="n">
        <x:f>IF($L232&lt;$D$5,"",IF($L232=$D$5,$J$10+$N232-IF($M232,IF(INT(($L232-$D$5)/7)&lt;$A$24,$B$24,$D$10),0),W231+$N232-IF($M232,IF(INT(($L232-$D$5)/7)&lt;$A$24,$B$24,$D$10),0)))</x:f>
        <x:v>0</x:v>
      </x:c>
      <x:c r="X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Y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Z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A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B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C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D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E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F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G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H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I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J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K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L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M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N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O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P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Q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R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S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T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U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V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W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X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Y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AZ232" s="116"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c r="BA232" s="117" t="n">
        <x:f>IF(OR(INDEX('1 Budget annuel'!$A$14:$A$43,COLUMN()-COLUMN($X$42)+1)&lt;&gt;"Oui",INDEX('1 Budget annuel'!$L$14:$L$43,COLUMN()-COLUMN($X$42)+1)="",AND(INDEX('1 Budget annuel'!$B$14:$B$43,COLUMN()-COLUMN($X$42)+1)="Sortie",INDEX('1 Budget annuel'!$M$14:$M$43,COLUMN()-COLUMN($X$42)+1)="Oui"),$L232&lt;INDEX('1 Budget annuel'!$L$14:$L$43,COLUMN()-COLUMN($X$42)+1),$L232&gt;$D$5+363),0,IF(OR(AND(INDEX('1 Budget annuel'!$E$14:$E$43,COLUMN()-COLUMN($X$42)+1)="Hebdomadaire",MOD($L232-INDEX('1 Budget annuel'!$L$14:$L$43,COLUMN()-COLUMN($X$42)+1),7)=0),AND(INDEX('1 Budget annuel'!$E$14:$E$43,COLUMN()-COLUMN($X$42)+1)="Toutes les 4 semaines",MOD($L232-INDEX('1 Budget annuel'!$L$14:$L$43,COLUMN()-COLUMN($X$42)+1),28)=0),AND(INDEX('1 Budget annuel'!$E$14:$E$43,COLUMN()-COLUMN($X$42)+1)="Mensuelle",DAY($L232)=MIN(DAY(INDEX('1 Budget annuel'!$L$14:$L$43,COLUMN()-COLUMN($X$42)+1)),DAY(EOMONTH($L232,0)))),AND(INDEX('1 Budget annuel'!$E$14:$E$43,COLUMN()-COLUMN($X$42)+1)="Trimestrielle",MOD((YEAR($L232)-YEAR(INDEX('1 Budget annuel'!$L$14:$L$43,COLUMN()-COLUMN($X$42)+1)))*12+MONTH($L232)-MONTH(INDEX('1 Budget annuel'!$L$14:$L$43,COLUMN()-COLUMN($X$42)+1)),3)=0,DAY($L232)=MIN(DAY(INDEX('1 Budget annuel'!$L$14:$L$43,COLUMN()-COLUMN($X$42)+1)),DAY(EOMONTH($L232,0)))),AND(INDEX('1 Budget annuel'!$E$14:$E$43,COLUMN()-COLUMN($X$42)+1)="Semestrielle",MOD((YEAR($L232)-YEAR(INDEX('1 Budget annuel'!$L$14:$L$43,COLUMN()-COLUMN($X$42)+1)))*12+MONTH($L232)-MONTH(INDEX('1 Budget annuel'!$L$14:$L$43,COLUMN()-COLUMN($X$42)+1)),6)=0,DAY($L232)=MIN(DAY(INDEX('1 Budget annuel'!$L$14:$L$43,COLUMN()-COLUMN($X$42)+1)),DAY(EOMONTH($L232,0)))),AND(INDEX('1 Budget annuel'!$E$14:$E$43,COLUMN()-COLUMN($X$42)+1)="Annuelle",MOD((YEAR($L232)-YEAR(INDEX('1 Budget annuel'!$L$14:$L$43,COLUMN()-COLUMN($X$42)+1)))*12+MONTH($L232)-MONTH(INDEX('1 Budget annuel'!$L$14:$L$43,COLUMN()-COLUMN($X$42)+1)),12)=0,DAY($L232)=MIN(DAY(INDEX('1 Budget annuel'!$L$14:$L$43,COLUMN()-COLUMN($X$42)+1)),DAY(EOMONTH($L232,0))))),IF(INDEX('1 Budget annuel'!$B$14:$B$43,COLUMN()-COLUMN($X$42)+1)="Entrée",INDEX('1 Budget annuel'!$I$14:$I$43,COLUMN()-COLUMN($X$42)+1),-INDEX('1 Budget annuel'!$I$14:$I$43,COLUMN()-COLUMN($X$42)+1)),0))</x:f>
        <x:v>0</x:v>
      </x:c>
    </x:row>
    <x:row r="233">
      <x:c r="L233" s="114" t="n">
        <x:f>L232+1</x:f>
        <x:v>46427</x:v>
      </x:c>
      <x:c r="M233" s="115" t="b">
        <x:f>AND(L233&gt;=$D$5,L233&lt;=$D$5+363,MOD(L233-$D$5,7)=0)</x:f>
        <x:v>0</x:v>
      </x:c>
      <x:c r="N233" s="116" t="n">
        <x:f>SUM(X233:BA233)</x:f>
        <x:v>0</x:v>
      </x:c>
      <x:c r="O233" s="116" t="n">
        <x:f>IF(M233,$D$10,0)</x:f>
        <x:v>0</x:v>
      </x:c>
      <x:c r="P233" s="116" t="n">
        <x:f>N233-O233</x:f>
        <x:v>0</x:v>
      </x:c>
      <x:c r="Q233" s="116" t="n">
        <x:f>IF(L233&lt;$D$5,0,IF(L233=$D$5,P233,Q232+P233))</x:f>
        <x:v>0</x:v>
      </x:c>
      <x:c r="R233" s="116" t="n">
        <x:f>IF(L233&lt;$D$5,"",$J$10+Q233)</x:f>
        <x:v>0</x:v>
      </x:c>
      <x:c r="S233" s="116" t="n">
        <x:f>IF($L233&lt;$D$5,"",IF($L233=$D$5,$J$10+$N233-IF($M233,IF(INT(($L233-$D$5)/7)&lt;$A$20,$B$20,$D$10),0),S232+$N233-IF($M233,IF(INT(($L233-$D$5)/7)&lt;$A$20,$B$20,$D$10),0)))</x:f>
        <x:v>0</x:v>
      </x:c>
      <x:c r="T233" s="116" t="n">
        <x:f>IF($L233&lt;$D$5,"",IF($L233=$D$5,$J$10+$N233-IF($M233,IF(INT(($L233-$D$5)/7)&lt;$A$21,$B$21,$D$10),0),T232+$N233-IF($M233,IF(INT(($L233-$D$5)/7)&lt;$A$21,$B$21,$D$10),0)))</x:f>
        <x:v>0</x:v>
      </x:c>
      <x:c r="U233" s="116" t="n">
        <x:f>IF($L233&lt;$D$5,"",IF($L233=$D$5,$J$10+$N233-IF($M233,IF(INT(($L233-$D$5)/7)&lt;$A$22,$B$22,$D$10),0),U232+$N233-IF($M233,IF(INT(($L233-$D$5)/7)&lt;$A$22,$B$22,$D$10),0)))</x:f>
        <x:v>0</x:v>
      </x:c>
      <x:c r="V233" s="116" t="n">
        <x:f>IF($L233&lt;$D$5,"",IF($L233=$D$5,$J$10+$N233-IF($M233,IF(INT(($L233-$D$5)/7)&lt;$A$23,$B$23,$D$10),0),V232+$N233-IF($M233,IF(INT(($L233-$D$5)/7)&lt;$A$23,$B$23,$D$10),0)))</x:f>
        <x:v>0</x:v>
      </x:c>
      <x:c r="W233" s="116" t="n">
        <x:f>IF($L233&lt;$D$5,"",IF($L233=$D$5,$J$10+$N233-IF($M233,IF(INT(($L233-$D$5)/7)&lt;$A$24,$B$24,$D$10),0),W232+$N233-IF($M233,IF(INT(($L233-$D$5)/7)&lt;$A$24,$B$24,$D$10),0)))</x:f>
        <x:v>0</x:v>
      </x:c>
      <x:c r="X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Y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Z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A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B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C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D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E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F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G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H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I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J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K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L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M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N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O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P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Q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R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S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T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U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V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W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X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Y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AZ233" s="116"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c r="BA233" s="117" t="n">
        <x:f>IF(OR(INDEX('1 Budget annuel'!$A$14:$A$43,COLUMN()-COLUMN($X$42)+1)&lt;&gt;"Oui",INDEX('1 Budget annuel'!$L$14:$L$43,COLUMN()-COLUMN($X$42)+1)="",AND(INDEX('1 Budget annuel'!$B$14:$B$43,COLUMN()-COLUMN($X$42)+1)="Sortie",INDEX('1 Budget annuel'!$M$14:$M$43,COLUMN()-COLUMN($X$42)+1)="Oui"),$L233&lt;INDEX('1 Budget annuel'!$L$14:$L$43,COLUMN()-COLUMN($X$42)+1),$L233&gt;$D$5+363),0,IF(OR(AND(INDEX('1 Budget annuel'!$E$14:$E$43,COLUMN()-COLUMN($X$42)+1)="Hebdomadaire",MOD($L233-INDEX('1 Budget annuel'!$L$14:$L$43,COLUMN()-COLUMN($X$42)+1),7)=0),AND(INDEX('1 Budget annuel'!$E$14:$E$43,COLUMN()-COLUMN($X$42)+1)="Toutes les 4 semaines",MOD($L233-INDEX('1 Budget annuel'!$L$14:$L$43,COLUMN()-COLUMN($X$42)+1),28)=0),AND(INDEX('1 Budget annuel'!$E$14:$E$43,COLUMN()-COLUMN($X$42)+1)="Mensuelle",DAY($L233)=MIN(DAY(INDEX('1 Budget annuel'!$L$14:$L$43,COLUMN()-COLUMN($X$42)+1)),DAY(EOMONTH($L233,0)))),AND(INDEX('1 Budget annuel'!$E$14:$E$43,COLUMN()-COLUMN($X$42)+1)="Trimestrielle",MOD((YEAR($L233)-YEAR(INDEX('1 Budget annuel'!$L$14:$L$43,COLUMN()-COLUMN($X$42)+1)))*12+MONTH($L233)-MONTH(INDEX('1 Budget annuel'!$L$14:$L$43,COLUMN()-COLUMN($X$42)+1)),3)=0,DAY($L233)=MIN(DAY(INDEX('1 Budget annuel'!$L$14:$L$43,COLUMN()-COLUMN($X$42)+1)),DAY(EOMONTH($L233,0)))),AND(INDEX('1 Budget annuel'!$E$14:$E$43,COLUMN()-COLUMN($X$42)+1)="Semestrielle",MOD((YEAR($L233)-YEAR(INDEX('1 Budget annuel'!$L$14:$L$43,COLUMN()-COLUMN($X$42)+1)))*12+MONTH($L233)-MONTH(INDEX('1 Budget annuel'!$L$14:$L$43,COLUMN()-COLUMN($X$42)+1)),6)=0,DAY($L233)=MIN(DAY(INDEX('1 Budget annuel'!$L$14:$L$43,COLUMN()-COLUMN($X$42)+1)),DAY(EOMONTH($L233,0)))),AND(INDEX('1 Budget annuel'!$E$14:$E$43,COLUMN()-COLUMN($X$42)+1)="Annuelle",MOD((YEAR($L233)-YEAR(INDEX('1 Budget annuel'!$L$14:$L$43,COLUMN()-COLUMN($X$42)+1)))*12+MONTH($L233)-MONTH(INDEX('1 Budget annuel'!$L$14:$L$43,COLUMN()-COLUMN($X$42)+1)),12)=0,DAY($L233)=MIN(DAY(INDEX('1 Budget annuel'!$L$14:$L$43,COLUMN()-COLUMN($X$42)+1)),DAY(EOMONTH($L233,0))))),IF(INDEX('1 Budget annuel'!$B$14:$B$43,COLUMN()-COLUMN($X$42)+1)="Entrée",INDEX('1 Budget annuel'!$I$14:$I$43,COLUMN()-COLUMN($X$42)+1),-INDEX('1 Budget annuel'!$I$14:$I$43,COLUMN()-COLUMN($X$42)+1)),0))</x:f>
        <x:v>0</x:v>
      </x:c>
    </x:row>
    <x:row r="234">
      <x:c r="L234" s="114" t="n">
        <x:f>L233+1</x:f>
        <x:v>46428</x:v>
      </x:c>
      <x:c r="M234" s="115" t="b">
        <x:f>AND(L234&gt;=$D$5,L234&lt;=$D$5+363,MOD(L234-$D$5,7)=0)</x:f>
        <x:v>0</x:v>
      </x:c>
      <x:c r="N234" s="116" t="n">
        <x:f>SUM(X234:BA234)</x:f>
        <x:v>0</x:v>
      </x:c>
      <x:c r="O234" s="116" t="n">
        <x:f>IF(M234,$D$10,0)</x:f>
        <x:v>0</x:v>
      </x:c>
      <x:c r="P234" s="116" t="n">
        <x:f>N234-O234</x:f>
        <x:v>0</x:v>
      </x:c>
      <x:c r="Q234" s="116" t="n">
        <x:f>IF(L234&lt;$D$5,0,IF(L234=$D$5,P234,Q233+P234))</x:f>
        <x:v>0</x:v>
      </x:c>
      <x:c r="R234" s="116" t="n">
        <x:f>IF(L234&lt;$D$5,"",$J$10+Q234)</x:f>
        <x:v>0</x:v>
      </x:c>
      <x:c r="S234" s="116" t="n">
        <x:f>IF($L234&lt;$D$5,"",IF($L234=$D$5,$J$10+$N234-IF($M234,IF(INT(($L234-$D$5)/7)&lt;$A$20,$B$20,$D$10),0),S233+$N234-IF($M234,IF(INT(($L234-$D$5)/7)&lt;$A$20,$B$20,$D$10),0)))</x:f>
        <x:v>0</x:v>
      </x:c>
      <x:c r="T234" s="116" t="n">
        <x:f>IF($L234&lt;$D$5,"",IF($L234=$D$5,$J$10+$N234-IF($M234,IF(INT(($L234-$D$5)/7)&lt;$A$21,$B$21,$D$10),0),T233+$N234-IF($M234,IF(INT(($L234-$D$5)/7)&lt;$A$21,$B$21,$D$10),0)))</x:f>
        <x:v>0</x:v>
      </x:c>
      <x:c r="U234" s="116" t="n">
        <x:f>IF($L234&lt;$D$5,"",IF($L234=$D$5,$J$10+$N234-IF($M234,IF(INT(($L234-$D$5)/7)&lt;$A$22,$B$22,$D$10),0),U233+$N234-IF($M234,IF(INT(($L234-$D$5)/7)&lt;$A$22,$B$22,$D$10),0)))</x:f>
        <x:v>0</x:v>
      </x:c>
      <x:c r="V234" s="116" t="n">
        <x:f>IF($L234&lt;$D$5,"",IF($L234=$D$5,$J$10+$N234-IF($M234,IF(INT(($L234-$D$5)/7)&lt;$A$23,$B$23,$D$10),0),V233+$N234-IF($M234,IF(INT(($L234-$D$5)/7)&lt;$A$23,$B$23,$D$10),0)))</x:f>
        <x:v>0</x:v>
      </x:c>
      <x:c r="W234" s="116" t="n">
        <x:f>IF($L234&lt;$D$5,"",IF($L234=$D$5,$J$10+$N234-IF($M234,IF(INT(($L234-$D$5)/7)&lt;$A$24,$B$24,$D$10),0),W233+$N234-IF($M234,IF(INT(($L234-$D$5)/7)&lt;$A$24,$B$24,$D$10),0)))</x:f>
        <x:v>0</x:v>
      </x:c>
      <x:c r="X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Y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Z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A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B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C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D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E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F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G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H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I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J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K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L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M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N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O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P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Q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R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S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T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U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V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W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X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Y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AZ234" s="116"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c r="BA234" s="117" t="n">
        <x:f>IF(OR(INDEX('1 Budget annuel'!$A$14:$A$43,COLUMN()-COLUMN($X$42)+1)&lt;&gt;"Oui",INDEX('1 Budget annuel'!$L$14:$L$43,COLUMN()-COLUMN($X$42)+1)="",AND(INDEX('1 Budget annuel'!$B$14:$B$43,COLUMN()-COLUMN($X$42)+1)="Sortie",INDEX('1 Budget annuel'!$M$14:$M$43,COLUMN()-COLUMN($X$42)+1)="Oui"),$L234&lt;INDEX('1 Budget annuel'!$L$14:$L$43,COLUMN()-COLUMN($X$42)+1),$L234&gt;$D$5+363),0,IF(OR(AND(INDEX('1 Budget annuel'!$E$14:$E$43,COLUMN()-COLUMN($X$42)+1)="Hebdomadaire",MOD($L234-INDEX('1 Budget annuel'!$L$14:$L$43,COLUMN()-COLUMN($X$42)+1),7)=0),AND(INDEX('1 Budget annuel'!$E$14:$E$43,COLUMN()-COLUMN($X$42)+1)="Toutes les 4 semaines",MOD($L234-INDEX('1 Budget annuel'!$L$14:$L$43,COLUMN()-COLUMN($X$42)+1),28)=0),AND(INDEX('1 Budget annuel'!$E$14:$E$43,COLUMN()-COLUMN($X$42)+1)="Mensuelle",DAY($L234)=MIN(DAY(INDEX('1 Budget annuel'!$L$14:$L$43,COLUMN()-COLUMN($X$42)+1)),DAY(EOMONTH($L234,0)))),AND(INDEX('1 Budget annuel'!$E$14:$E$43,COLUMN()-COLUMN($X$42)+1)="Trimestrielle",MOD((YEAR($L234)-YEAR(INDEX('1 Budget annuel'!$L$14:$L$43,COLUMN()-COLUMN($X$42)+1)))*12+MONTH($L234)-MONTH(INDEX('1 Budget annuel'!$L$14:$L$43,COLUMN()-COLUMN($X$42)+1)),3)=0,DAY($L234)=MIN(DAY(INDEX('1 Budget annuel'!$L$14:$L$43,COLUMN()-COLUMN($X$42)+1)),DAY(EOMONTH($L234,0)))),AND(INDEX('1 Budget annuel'!$E$14:$E$43,COLUMN()-COLUMN($X$42)+1)="Semestrielle",MOD((YEAR($L234)-YEAR(INDEX('1 Budget annuel'!$L$14:$L$43,COLUMN()-COLUMN($X$42)+1)))*12+MONTH($L234)-MONTH(INDEX('1 Budget annuel'!$L$14:$L$43,COLUMN()-COLUMN($X$42)+1)),6)=0,DAY($L234)=MIN(DAY(INDEX('1 Budget annuel'!$L$14:$L$43,COLUMN()-COLUMN($X$42)+1)),DAY(EOMONTH($L234,0)))),AND(INDEX('1 Budget annuel'!$E$14:$E$43,COLUMN()-COLUMN($X$42)+1)="Annuelle",MOD((YEAR($L234)-YEAR(INDEX('1 Budget annuel'!$L$14:$L$43,COLUMN()-COLUMN($X$42)+1)))*12+MONTH($L234)-MONTH(INDEX('1 Budget annuel'!$L$14:$L$43,COLUMN()-COLUMN($X$42)+1)),12)=0,DAY($L234)=MIN(DAY(INDEX('1 Budget annuel'!$L$14:$L$43,COLUMN()-COLUMN($X$42)+1)),DAY(EOMONTH($L234,0))))),IF(INDEX('1 Budget annuel'!$B$14:$B$43,COLUMN()-COLUMN($X$42)+1)="Entrée",INDEX('1 Budget annuel'!$I$14:$I$43,COLUMN()-COLUMN($X$42)+1),-INDEX('1 Budget annuel'!$I$14:$I$43,COLUMN()-COLUMN($X$42)+1)),0))</x:f>
        <x:v>0</x:v>
      </x:c>
    </x:row>
    <x:row r="235">
      <x:c r="L235" s="114" t="n">
        <x:f>L234+1</x:f>
        <x:v>46429</x:v>
      </x:c>
      <x:c r="M235" s="115" t="b">
        <x:f>AND(L235&gt;=$D$5,L235&lt;=$D$5+363,MOD(L235-$D$5,7)=0)</x:f>
        <x:v>0</x:v>
      </x:c>
      <x:c r="N235" s="116" t="n">
        <x:f>SUM(X235:BA235)</x:f>
        <x:v>0</x:v>
      </x:c>
      <x:c r="O235" s="116" t="n">
        <x:f>IF(M235,$D$10,0)</x:f>
        <x:v>0</x:v>
      </x:c>
      <x:c r="P235" s="116" t="n">
        <x:f>N235-O235</x:f>
        <x:v>0</x:v>
      </x:c>
      <x:c r="Q235" s="116" t="n">
        <x:f>IF(L235&lt;$D$5,0,IF(L235=$D$5,P235,Q234+P235))</x:f>
        <x:v>0</x:v>
      </x:c>
      <x:c r="R235" s="116" t="n">
        <x:f>IF(L235&lt;$D$5,"",$J$10+Q235)</x:f>
        <x:v>0</x:v>
      </x:c>
      <x:c r="S235" s="116" t="n">
        <x:f>IF($L235&lt;$D$5,"",IF($L235=$D$5,$J$10+$N235-IF($M235,IF(INT(($L235-$D$5)/7)&lt;$A$20,$B$20,$D$10),0),S234+$N235-IF($M235,IF(INT(($L235-$D$5)/7)&lt;$A$20,$B$20,$D$10),0)))</x:f>
        <x:v>0</x:v>
      </x:c>
      <x:c r="T235" s="116" t="n">
        <x:f>IF($L235&lt;$D$5,"",IF($L235=$D$5,$J$10+$N235-IF($M235,IF(INT(($L235-$D$5)/7)&lt;$A$21,$B$21,$D$10),0),T234+$N235-IF($M235,IF(INT(($L235-$D$5)/7)&lt;$A$21,$B$21,$D$10),0)))</x:f>
        <x:v>0</x:v>
      </x:c>
      <x:c r="U235" s="116" t="n">
        <x:f>IF($L235&lt;$D$5,"",IF($L235=$D$5,$J$10+$N235-IF($M235,IF(INT(($L235-$D$5)/7)&lt;$A$22,$B$22,$D$10),0),U234+$N235-IF($M235,IF(INT(($L235-$D$5)/7)&lt;$A$22,$B$22,$D$10),0)))</x:f>
        <x:v>0</x:v>
      </x:c>
      <x:c r="V235" s="116" t="n">
        <x:f>IF($L235&lt;$D$5,"",IF($L235=$D$5,$J$10+$N235-IF($M235,IF(INT(($L235-$D$5)/7)&lt;$A$23,$B$23,$D$10),0),V234+$N235-IF($M235,IF(INT(($L235-$D$5)/7)&lt;$A$23,$B$23,$D$10),0)))</x:f>
        <x:v>0</x:v>
      </x:c>
      <x:c r="W235" s="116" t="n">
        <x:f>IF($L235&lt;$D$5,"",IF($L235=$D$5,$J$10+$N235-IF($M235,IF(INT(($L235-$D$5)/7)&lt;$A$24,$B$24,$D$10),0),W234+$N235-IF($M235,IF(INT(($L235-$D$5)/7)&lt;$A$24,$B$24,$D$10),0)))</x:f>
        <x:v>0</x:v>
      </x:c>
      <x:c r="X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Y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Z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A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B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C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D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E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F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G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H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I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J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K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L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M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N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O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P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Q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R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S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T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U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V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W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X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Y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AZ235" s="116"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c r="BA235" s="117" t="n">
        <x:f>IF(OR(INDEX('1 Budget annuel'!$A$14:$A$43,COLUMN()-COLUMN($X$42)+1)&lt;&gt;"Oui",INDEX('1 Budget annuel'!$L$14:$L$43,COLUMN()-COLUMN($X$42)+1)="",AND(INDEX('1 Budget annuel'!$B$14:$B$43,COLUMN()-COLUMN($X$42)+1)="Sortie",INDEX('1 Budget annuel'!$M$14:$M$43,COLUMN()-COLUMN($X$42)+1)="Oui"),$L235&lt;INDEX('1 Budget annuel'!$L$14:$L$43,COLUMN()-COLUMN($X$42)+1),$L235&gt;$D$5+363),0,IF(OR(AND(INDEX('1 Budget annuel'!$E$14:$E$43,COLUMN()-COLUMN($X$42)+1)="Hebdomadaire",MOD($L235-INDEX('1 Budget annuel'!$L$14:$L$43,COLUMN()-COLUMN($X$42)+1),7)=0),AND(INDEX('1 Budget annuel'!$E$14:$E$43,COLUMN()-COLUMN($X$42)+1)="Toutes les 4 semaines",MOD($L235-INDEX('1 Budget annuel'!$L$14:$L$43,COLUMN()-COLUMN($X$42)+1),28)=0),AND(INDEX('1 Budget annuel'!$E$14:$E$43,COLUMN()-COLUMN($X$42)+1)="Mensuelle",DAY($L235)=MIN(DAY(INDEX('1 Budget annuel'!$L$14:$L$43,COLUMN()-COLUMN($X$42)+1)),DAY(EOMONTH($L235,0)))),AND(INDEX('1 Budget annuel'!$E$14:$E$43,COLUMN()-COLUMN($X$42)+1)="Trimestrielle",MOD((YEAR($L235)-YEAR(INDEX('1 Budget annuel'!$L$14:$L$43,COLUMN()-COLUMN($X$42)+1)))*12+MONTH($L235)-MONTH(INDEX('1 Budget annuel'!$L$14:$L$43,COLUMN()-COLUMN($X$42)+1)),3)=0,DAY($L235)=MIN(DAY(INDEX('1 Budget annuel'!$L$14:$L$43,COLUMN()-COLUMN($X$42)+1)),DAY(EOMONTH($L235,0)))),AND(INDEX('1 Budget annuel'!$E$14:$E$43,COLUMN()-COLUMN($X$42)+1)="Semestrielle",MOD((YEAR($L235)-YEAR(INDEX('1 Budget annuel'!$L$14:$L$43,COLUMN()-COLUMN($X$42)+1)))*12+MONTH($L235)-MONTH(INDEX('1 Budget annuel'!$L$14:$L$43,COLUMN()-COLUMN($X$42)+1)),6)=0,DAY($L235)=MIN(DAY(INDEX('1 Budget annuel'!$L$14:$L$43,COLUMN()-COLUMN($X$42)+1)),DAY(EOMONTH($L235,0)))),AND(INDEX('1 Budget annuel'!$E$14:$E$43,COLUMN()-COLUMN($X$42)+1)="Annuelle",MOD((YEAR($L235)-YEAR(INDEX('1 Budget annuel'!$L$14:$L$43,COLUMN()-COLUMN($X$42)+1)))*12+MONTH($L235)-MONTH(INDEX('1 Budget annuel'!$L$14:$L$43,COLUMN()-COLUMN($X$42)+1)),12)=0,DAY($L235)=MIN(DAY(INDEX('1 Budget annuel'!$L$14:$L$43,COLUMN()-COLUMN($X$42)+1)),DAY(EOMONTH($L235,0))))),IF(INDEX('1 Budget annuel'!$B$14:$B$43,COLUMN()-COLUMN($X$42)+1)="Entrée",INDEX('1 Budget annuel'!$I$14:$I$43,COLUMN()-COLUMN($X$42)+1),-INDEX('1 Budget annuel'!$I$14:$I$43,COLUMN()-COLUMN($X$42)+1)),0))</x:f>
        <x:v>0</x:v>
      </x:c>
    </x:row>
    <x:row r="236">
      <x:c r="L236" s="114" t="n">
        <x:f>L235+1</x:f>
        <x:v>46430</x:v>
      </x:c>
      <x:c r="M236" s="115" t="b">
        <x:f>AND(L236&gt;=$D$5,L236&lt;=$D$5+363,MOD(L236-$D$5,7)=0)</x:f>
        <x:v>0</x:v>
      </x:c>
      <x:c r="N236" s="116" t="n">
        <x:f>SUM(X236:BA236)</x:f>
        <x:v>0</x:v>
      </x:c>
      <x:c r="O236" s="116" t="n">
        <x:f>IF(M236,$D$10,0)</x:f>
        <x:v>0</x:v>
      </x:c>
      <x:c r="P236" s="116" t="n">
        <x:f>N236-O236</x:f>
        <x:v>0</x:v>
      </x:c>
      <x:c r="Q236" s="116" t="n">
        <x:f>IF(L236&lt;$D$5,0,IF(L236=$D$5,P236,Q235+P236))</x:f>
        <x:v>0</x:v>
      </x:c>
      <x:c r="R236" s="116" t="n">
        <x:f>IF(L236&lt;$D$5,"",$J$10+Q236)</x:f>
        <x:v>0</x:v>
      </x:c>
      <x:c r="S236" s="116" t="n">
        <x:f>IF($L236&lt;$D$5,"",IF($L236=$D$5,$J$10+$N236-IF($M236,IF(INT(($L236-$D$5)/7)&lt;$A$20,$B$20,$D$10),0),S235+$N236-IF($M236,IF(INT(($L236-$D$5)/7)&lt;$A$20,$B$20,$D$10),0)))</x:f>
        <x:v>0</x:v>
      </x:c>
      <x:c r="T236" s="116" t="n">
        <x:f>IF($L236&lt;$D$5,"",IF($L236=$D$5,$J$10+$N236-IF($M236,IF(INT(($L236-$D$5)/7)&lt;$A$21,$B$21,$D$10),0),T235+$N236-IF($M236,IF(INT(($L236-$D$5)/7)&lt;$A$21,$B$21,$D$10),0)))</x:f>
        <x:v>0</x:v>
      </x:c>
      <x:c r="U236" s="116" t="n">
        <x:f>IF($L236&lt;$D$5,"",IF($L236=$D$5,$J$10+$N236-IF($M236,IF(INT(($L236-$D$5)/7)&lt;$A$22,$B$22,$D$10),0),U235+$N236-IF($M236,IF(INT(($L236-$D$5)/7)&lt;$A$22,$B$22,$D$10),0)))</x:f>
        <x:v>0</x:v>
      </x:c>
      <x:c r="V236" s="116" t="n">
        <x:f>IF($L236&lt;$D$5,"",IF($L236=$D$5,$J$10+$N236-IF($M236,IF(INT(($L236-$D$5)/7)&lt;$A$23,$B$23,$D$10),0),V235+$N236-IF($M236,IF(INT(($L236-$D$5)/7)&lt;$A$23,$B$23,$D$10),0)))</x:f>
        <x:v>0</x:v>
      </x:c>
      <x:c r="W236" s="116" t="n">
        <x:f>IF($L236&lt;$D$5,"",IF($L236=$D$5,$J$10+$N236-IF($M236,IF(INT(($L236-$D$5)/7)&lt;$A$24,$B$24,$D$10),0),W235+$N236-IF($M236,IF(INT(($L236-$D$5)/7)&lt;$A$24,$B$24,$D$10),0)))</x:f>
        <x:v>0</x:v>
      </x:c>
      <x:c r="X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Y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Z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A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B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C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D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E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F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G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H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I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J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K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L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M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N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O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P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Q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R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S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T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U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V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W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X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Y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AZ236" s="116"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c r="BA236" s="117" t="n">
        <x:f>IF(OR(INDEX('1 Budget annuel'!$A$14:$A$43,COLUMN()-COLUMN($X$42)+1)&lt;&gt;"Oui",INDEX('1 Budget annuel'!$L$14:$L$43,COLUMN()-COLUMN($X$42)+1)="",AND(INDEX('1 Budget annuel'!$B$14:$B$43,COLUMN()-COLUMN($X$42)+1)="Sortie",INDEX('1 Budget annuel'!$M$14:$M$43,COLUMN()-COLUMN($X$42)+1)="Oui"),$L236&lt;INDEX('1 Budget annuel'!$L$14:$L$43,COLUMN()-COLUMN($X$42)+1),$L236&gt;$D$5+363),0,IF(OR(AND(INDEX('1 Budget annuel'!$E$14:$E$43,COLUMN()-COLUMN($X$42)+1)="Hebdomadaire",MOD($L236-INDEX('1 Budget annuel'!$L$14:$L$43,COLUMN()-COLUMN($X$42)+1),7)=0),AND(INDEX('1 Budget annuel'!$E$14:$E$43,COLUMN()-COLUMN($X$42)+1)="Toutes les 4 semaines",MOD($L236-INDEX('1 Budget annuel'!$L$14:$L$43,COLUMN()-COLUMN($X$42)+1),28)=0),AND(INDEX('1 Budget annuel'!$E$14:$E$43,COLUMN()-COLUMN($X$42)+1)="Mensuelle",DAY($L236)=MIN(DAY(INDEX('1 Budget annuel'!$L$14:$L$43,COLUMN()-COLUMN($X$42)+1)),DAY(EOMONTH($L236,0)))),AND(INDEX('1 Budget annuel'!$E$14:$E$43,COLUMN()-COLUMN($X$42)+1)="Trimestrielle",MOD((YEAR($L236)-YEAR(INDEX('1 Budget annuel'!$L$14:$L$43,COLUMN()-COLUMN($X$42)+1)))*12+MONTH($L236)-MONTH(INDEX('1 Budget annuel'!$L$14:$L$43,COLUMN()-COLUMN($X$42)+1)),3)=0,DAY($L236)=MIN(DAY(INDEX('1 Budget annuel'!$L$14:$L$43,COLUMN()-COLUMN($X$42)+1)),DAY(EOMONTH($L236,0)))),AND(INDEX('1 Budget annuel'!$E$14:$E$43,COLUMN()-COLUMN($X$42)+1)="Semestrielle",MOD((YEAR($L236)-YEAR(INDEX('1 Budget annuel'!$L$14:$L$43,COLUMN()-COLUMN($X$42)+1)))*12+MONTH($L236)-MONTH(INDEX('1 Budget annuel'!$L$14:$L$43,COLUMN()-COLUMN($X$42)+1)),6)=0,DAY($L236)=MIN(DAY(INDEX('1 Budget annuel'!$L$14:$L$43,COLUMN()-COLUMN($X$42)+1)),DAY(EOMONTH($L236,0)))),AND(INDEX('1 Budget annuel'!$E$14:$E$43,COLUMN()-COLUMN($X$42)+1)="Annuelle",MOD((YEAR($L236)-YEAR(INDEX('1 Budget annuel'!$L$14:$L$43,COLUMN()-COLUMN($X$42)+1)))*12+MONTH($L236)-MONTH(INDEX('1 Budget annuel'!$L$14:$L$43,COLUMN()-COLUMN($X$42)+1)),12)=0,DAY($L236)=MIN(DAY(INDEX('1 Budget annuel'!$L$14:$L$43,COLUMN()-COLUMN($X$42)+1)),DAY(EOMONTH($L236,0))))),IF(INDEX('1 Budget annuel'!$B$14:$B$43,COLUMN()-COLUMN($X$42)+1)="Entrée",INDEX('1 Budget annuel'!$I$14:$I$43,COLUMN()-COLUMN($X$42)+1),-INDEX('1 Budget annuel'!$I$14:$I$43,COLUMN()-COLUMN($X$42)+1)),0))</x:f>
        <x:v>0</x:v>
      </x:c>
    </x:row>
    <x:row r="237">
      <x:c r="L237" s="114" t="n">
        <x:f>L236+1</x:f>
        <x:v>46431</x:v>
      </x:c>
      <x:c r="M237" s="115" t="b">
        <x:f>AND(L237&gt;=$D$5,L237&lt;=$D$5+363,MOD(L237-$D$5,7)=0)</x:f>
        <x:v>1</x:v>
      </x:c>
      <x:c r="N237" s="116" t="n">
        <x:f>SUM(X237:BA237)</x:f>
        <x:v>0</x:v>
      </x:c>
      <x:c r="O237" s="116" t="n">
        <x:f>IF(M237,$D$10,0)</x:f>
        <x:v>0</x:v>
      </x:c>
      <x:c r="P237" s="116" t="n">
        <x:f>N237-O237</x:f>
        <x:v>0</x:v>
      </x:c>
      <x:c r="Q237" s="116" t="n">
        <x:f>IF(L237&lt;$D$5,0,IF(L237=$D$5,P237,Q236+P237))</x:f>
        <x:v>0</x:v>
      </x:c>
      <x:c r="R237" s="116" t="n">
        <x:f>IF(L237&lt;$D$5,"",$J$10+Q237)</x:f>
        <x:v>0</x:v>
      </x:c>
      <x:c r="S237" s="116" t="n">
        <x:f>IF($L237&lt;$D$5,"",IF($L237=$D$5,$J$10+$N237-IF($M237,IF(INT(($L237-$D$5)/7)&lt;$A$20,$B$20,$D$10),0),S236+$N237-IF($M237,IF(INT(($L237-$D$5)/7)&lt;$A$20,$B$20,$D$10),0)))</x:f>
        <x:v>0</x:v>
      </x:c>
      <x:c r="T237" s="116" t="n">
        <x:f>IF($L237&lt;$D$5,"",IF($L237=$D$5,$J$10+$N237-IF($M237,IF(INT(($L237-$D$5)/7)&lt;$A$21,$B$21,$D$10),0),T236+$N237-IF($M237,IF(INT(($L237-$D$5)/7)&lt;$A$21,$B$21,$D$10),0)))</x:f>
        <x:v>0</x:v>
      </x:c>
      <x:c r="U237" s="116" t="n">
        <x:f>IF($L237&lt;$D$5,"",IF($L237=$D$5,$J$10+$N237-IF($M237,IF(INT(($L237-$D$5)/7)&lt;$A$22,$B$22,$D$10),0),U236+$N237-IF($M237,IF(INT(($L237-$D$5)/7)&lt;$A$22,$B$22,$D$10),0)))</x:f>
        <x:v>0</x:v>
      </x:c>
      <x:c r="V237" s="116" t="n">
        <x:f>IF($L237&lt;$D$5,"",IF($L237=$D$5,$J$10+$N237-IF($M237,IF(INT(($L237-$D$5)/7)&lt;$A$23,$B$23,$D$10),0),V236+$N237-IF($M237,IF(INT(($L237-$D$5)/7)&lt;$A$23,$B$23,$D$10),0)))</x:f>
        <x:v>0</x:v>
      </x:c>
      <x:c r="W237" s="116" t="n">
        <x:f>IF($L237&lt;$D$5,"",IF($L237=$D$5,$J$10+$N237-IF($M237,IF(INT(($L237-$D$5)/7)&lt;$A$24,$B$24,$D$10),0),W236+$N237-IF($M237,IF(INT(($L237-$D$5)/7)&lt;$A$24,$B$24,$D$10),0)))</x:f>
        <x:v>0</x:v>
      </x:c>
      <x:c r="X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Y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Z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A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B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C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D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E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F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G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H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I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J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K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L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M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N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O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P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Q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R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S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T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U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V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W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X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Y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AZ237" s="116"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c r="BA237" s="117" t="n">
        <x:f>IF(OR(INDEX('1 Budget annuel'!$A$14:$A$43,COLUMN()-COLUMN($X$42)+1)&lt;&gt;"Oui",INDEX('1 Budget annuel'!$L$14:$L$43,COLUMN()-COLUMN($X$42)+1)="",AND(INDEX('1 Budget annuel'!$B$14:$B$43,COLUMN()-COLUMN($X$42)+1)="Sortie",INDEX('1 Budget annuel'!$M$14:$M$43,COLUMN()-COLUMN($X$42)+1)="Oui"),$L237&lt;INDEX('1 Budget annuel'!$L$14:$L$43,COLUMN()-COLUMN($X$42)+1),$L237&gt;$D$5+363),0,IF(OR(AND(INDEX('1 Budget annuel'!$E$14:$E$43,COLUMN()-COLUMN($X$42)+1)="Hebdomadaire",MOD($L237-INDEX('1 Budget annuel'!$L$14:$L$43,COLUMN()-COLUMN($X$42)+1),7)=0),AND(INDEX('1 Budget annuel'!$E$14:$E$43,COLUMN()-COLUMN($X$42)+1)="Toutes les 4 semaines",MOD($L237-INDEX('1 Budget annuel'!$L$14:$L$43,COLUMN()-COLUMN($X$42)+1),28)=0),AND(INDEX('1 Budget annuel'!$E$14:$E$43,COLUMN()-COLUMN($X$42)+1)="Mensuelle",DAY($L237)=MIN(DAY(INDEX('1 Budget annuel'!$L$14:$L$43,COLUMN()-COLUMN($X$42)+1)),DAY(EOMONTH($L237,0)))),AND(INDEX('1 Budget annuel'!$E$14:$E$43,COLUMN()-COLUMN($X$42)+1)="Trimestrielle",MOD((YEAR($L237)-YEAR(INDEX('1 Budget annuel'!$L$14:$L$43,COLUMN()-COLUMN($X$42)+1)))*12+MONTH($L237)-MONTH(INDEX('1 Budget annuel'!$L$14:$L$43,COLUMN()-COLUMN($X$42)+1)),3)=0,DAY($L237)=MIN(DAY(INDEX('1 Budget annuel'!$L$14:$L$43,COLUMN()-COLUMN($X$42)+1)),DAY(EOMONTH($L237,0)))),AND(INDEX('1 Budget annuel'!$E$14:$E$43,COLUMN()-COLUMN($X$42)+1)="Semestrielle",MOD((YEAR($L237)-YEAR(INDEX('1 Budget annuel'!$L$14:$L$43,COLUMN()-COLUMN($X$42)+1)))*12+MONTH($L237)-MONTH(INDEX('1 Budget annuel'!$L$14:$L$43,COLUMN()-COLUMN($X$42)+1)),6)=0,DAY($L237)=MIN(DAY(INDEX('1 Budget annuel'!$L$14:$L$43,COLUMN()-COLUMN($X$42)+1)),DAY(EOMONTH($L237,0)))),AND(INDEX('1 Budget annuel'!$E$14:$E$43,COLUMN()-COLUMN($X$42)+1)="Annuelle",MOD((YEAR($L237)-YEAR(INDEX('1 Budget annuel'!$L$14:$L$43,COLUMN()-COLUMN($X$42)+1)))*12+MONTH($L237)-MONTH(INDEX('1 Budget annuel'!$L$14:$L$43,COLUMN()-COLUMN($X$42)+1)),12)=0,DAY($L237)=MIN(DAY(INDEX('1 Budget annuel'!$L$14:$L$43,COLUMN()-COLUMN($X$42)+1)),DAY(EOMONTH($L237,0))))),IF(INDEX('1 Budget annuel'!$B$14:$B$43,COLUMN()-COLUMN($X$42)+1)="Entrée",INDEX('1 Budget annuel'!$I$14:$I$43,COLUMN()-COLUMN($X$42)+1),-INDEX('1 Budget annuel'!$I$14:$I$43,COLUMN()-COLUMN($X$42)+1)),0))</x:f>
        <x:v>0</x:v>
      </x:c>
    </x:row>
    <x:row r="238">
      <x:c r="L238" s="114" t="n">
        <x:f>L237+1</x:f>
        <x:v>46432</x:v>
      </x:c>
      <x:c r="M238" s="115" t="b">
        <x:f>AND(L238&gt;=$D$5,L238&lt;=$D$5+363,MOD(L238-$D$5,7)=0)</x:f>
        <x:v>0</x:v>
      </x:c>
      <x:c r="N238" s="116" t="n">
        <x:f>SUM(X238:BA238)</x:f>
        <x:v>0</x:v>
      </x:c>
      <x:c r="O238" s="116" t="n">
        <x:f>IF(M238,$D$10,0)</x:f>
        <x:v>0</x:v>
      </x:c>
      <x:c r="P238" s="116" t="n">
        <x:f>N238-O238</x:f>
        <x:v>0</x:v>
      </x:c>
      <x:c r="Q238" s="116" t="n">
        <x:f>IF(L238&lt;$D$5,0,IF(L238=$D$5,P238,Q237+P238))</x:f>
        <x:v>0</x:v>
      </x:c>
      <x:c r="R238" s="116" t="n">
        <x:f>IF(L238&lt;$D$5,"",$J$10+Q238)</x:f>
        <x:v>0</x:v>
      </x:c>
      <x:c r="S238" s="116" t="n">
        <x:f>IF($L238&lt;$D$5,"",IF($L238=$D$5,$J$10+$N238-IF($M238,IF(INT(($L238-$D$5)/7)&lt;$A$20,$B$20,$D$10),0),S237+$N238-IF($M238,IF(INT(($L238-$D$5)/7)&lt;$A$20,$B$20,$D$10),0)))</x:f>
        <x:v>0</x:v>
      </x:c>
      <x:c r="T238" s="116" t="n">
        <x:f>IF($L238&lt;$D$5,"",IF($L238=$D$5,$J$10+$N238-IF($M238,IF(INT(($L238-$D$5)/7)&lt;$A$21,$B$21,$D$10),0),T237+$N238-IF($M238,IF(INT(($L238-$D$5)/7)&lt;$A$21,$B$21,$D$10),0)))</x:f>
        <x:v>0</x:v>
      </x:c>
      <x:c r="U238" s="116" t="n">
        <x:f>IF($L238&lt;$D$5,"",IF($L238=$D$5,$J$10+$N238-IF($M238,IF(INT(($L238-$D$5)/7)&lt;$A$22,$B$22,$D$10),0),U237+$N238-IF($M238,IF(INT(($L238-$D$5)/7)&lt;$A$22,$B$22,$D$10),0)))</x:f>
        <x:v>0</x:v>
      </x:c>
      <x:c r="V238" s="116" t="n">
        <x:f>IF($L238&lt;$D$5,"",IF($L238=$D$5,$J$10+$N238-IF($M238,IF(INT(($L238-$D$5)/7)&lt;$A$23,$B$23,$D$10),0),V237+$N238-IF($M238,IF(INT(($L238-$D$5)/7)&lt;$A$23,$B$23,$D$10),0)))</x:f>
        <x:v>0</x:v>
      </x:c>
      <x:c r="W238" s="116" t="n">
        <x:f>IF($L238&lt;$D$5,"",IF($L238=$D$5,$J$10+$N238-IF($M238,IF(INT(($L238-$D$5)/7)&lt;$A$24,$B$24,$D$10),0),W237+$N238-IF($M238,IF(INT(($L238-$D$5)/7)&lt;$A$24,$B$24,$D$10),0)))</x:f>
        <x:v>0</x:v>
      </x:c>
      <x:c r="X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Y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Z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A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B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C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D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E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F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G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H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I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J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K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L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M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N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O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P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Q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R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S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T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U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V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W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X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Y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AZ238" s="116"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c r="BA238" s="117" t="n">
        <x:f>IF(OR(INDEX('1 Budget annuel'!$A$14:$A$43,COLUMN()-COLUMN($X$42)+1)&lt;&gt;"Oui",INDEX('1 Budget annuel'!$L$14:$L$43,COLUMN()-COLUMN($X$42)+1)="",AND(INDEX('1 Budget annuel'!$B$14:$B$43,COLUMN()-COLUMN($X$42)+1)="Sortie",INDEX('1 Budget annuel'!$M$14:$M$43,COLUMN()-COLUMN($X$42)+1)="Oui"),$L238&lt;INDEX('1 Budget annuel'!$L$14:$L$43,COLUMN()-COLUMN($X$42)+1),$L238&gt;$D$5+363),0,IF(OR(AND(INDEX('1 Budget annuel'!$E$14:$E$43,COLUMN()-COLUMN($X$42)+1)="Hebdomadaire",MOD($L238-INDEX('1 Budget annuel'!$L$14:$L$43,COLUMN()-COLUMN($X$42)+1),7)=0),AND(INDEX('1 Budget annuel'!$E$14:$E$43,COLUMN()-COLUMN($X$42)+1)="Toutes les 4 semaines",MOD($L238-INDEX('1 Budget annuel'!$L$14:$L$43,COLUMN()-COLUMN($X$42)+1),28)=0),AND(INDEX('1 Budget annuel'!$E$14:$E$43,COLUMN()-COLUMN($X$42)+1)="Mensuelle",DAY($L238)=MIN(DAY(INDEX('1 Budget annuel'!$L$14:$L$43,COLUMN()-COLUMN($X$42)+1)),DAY(EOMONTH($L238,0)))),AND(INDEX('1 Budget annuel'!$E$14:$E$43,COLUMN()-COLUMN($X$42)+1)="Trimestrielle",MOD((YEAR($L238)-YEAR(INDEX('1 Budget annuel'!$L$14:$L$43,COLUMN()-COLUMN($X$42)+1)))*12+MONTH($L238)-MONTH(INDEX('1 Budget annuel'!$L$14:$L$43,COLUMN()-COLUMN($X$42)+1)),3)=0,DAY($L238)=MIN(DAY(INDEX('1 Budget annuel'!$L$14:$L$43,COLUMN()-COLUMN($X$42)+1)),DAY(EOMONTH($L238,0)))),AND(INDEX('1 Budget annuel'!$E$14:$E$43,COLUMN()-COLUMN($X$42)+1)="Semestrielle",MOD((YEAR($L238)-YEAR(INDEX('1 Budget annuel'!$L$14:$L$43,COLUMN()-COLUMN($X$42)+1)))*12+MONTH($L238)-MONTH(INDEX('1 Budget annuel'!$L$14:$L$43,COLUMN()-COLUMN($X$42)+1)),6)=0,DAY($L238)=MIN(DAY(INDEX('1 Budget annuel'!$L$14:$L$43,COLUMN()-COLUMN($X$42)+1)),DAY(EOMONTH($L238,0)))),AND(INDEX('1 Budget annuel'!$E$14:$E$43,COLUMN()-COLUMN($X$42)+1)="Annuelle",MOD((YEAR($L238)-YEAR(INDEX('1 Budget annuel'!$L$14:$L$43,COLUMN()-COLUMN($X$42)+1)))*12+MONTH($L238)-MONTH(INDEX('1 Budget annuel'!$L$14:$L$43,COLUMN()-COLUMN($X$42)+1)),12)=0,DAY($L238)=MIN(DAY(INDEX('1 Budget annuel'!$L$14:$L$43,COLUMN()-COLUMN($X$42)+1)),DAY(EOMONTH($L238,0))))),IF(INDEX('1 Budget annuel'!$B$14:$B$43,COLUMN()-COLUMN($X$42)+1)="Entrée",INDEX('1 Budget annuel'!$I$14:$I$43,COLUMN()-COLUMN($X$42)+1),-INDEX('1 Budget annuel'!$I$14:$I$43,COLUMN()-COLUMN($X$42)+1)),0))</x:f>
        <x:v>0</x:v>
      </x:c>
    </x:row>
    <x:row r="239">
      <x:c r="L239" s="114" t="n">
        <x:f>L238+1</x:f>
        <x:v>46433</x:v>
      </x:c>
      <x:c r="M239" s="115" t="b">
        <x:f>AND(L239&gt;=$D$5,L239&lt;=$D$5+363,MOD(L239-$D$5,7)=0)</x:f>
        <x:v>0</x:v>
      </x:c>
      <x:c r="N239" s="116" t="n">
        <x:f>SUM(X239:BA239)</x:f>
        <x:v>0</x:v>
      </x:c>
      <x:c r="O239" s="116" t="n">
        <x:f>IF(M239,$D$10,0)</x:f>
        <x:v>0</x:v>
      </x:c>
      <x:c r="P239" s="116" t="n">
        <x:f>N239-O239</x:f>
        <x:v>0</x:v>
      </x:c>
      <x:c r="Q239" s="116" t="n">
        <x:f>IF(L239&lt;$D$5,0,IF(L239=$D$5,P239,Q238+P239))</x:f>
        <x:v>0</x:v>
      </x:c>
      <x:c r="R239" s="116" t="n">
        <x:f>IF(L239&lt;$D$5,"",$J$10+Q239)</x:f>
        <x:v>0</x:v>
      </x:c>
      <x:c r="S239" s="116" t="n">
        <x:f>IF($L239&lt;$D$5,"",IF($L239=$D$5,$J$10+$N239-IF($M239,IF(INT(($L239-$D$5)/7)&lt;$A$20,$B$20,$D$10),0),S238+$N239-IF($M239,IF(INT(($L239-$D$5)/7)&lt;$A$20,$B$20,$D$10),0)))</x:f>
        <x:v>0</x:v>
      </x:c>
      <x:c r="T239" s="116" t="n">
        <x:f>IF($L239&lt;$D$5,"",IF($L239=$D$5,$J$10+$N239-IF($M239,IF(INT(($L239-$D$5)/7)&lt;$A$21,$B$21,$D$10),0),T238+$N239-IF($M239,IF(INT(($L239-$D$5)/7)&lt;$A$21,$B$21,$D$10),0)))</x:f>
        <x:v>0</x:v>
      </x:c>
      <x:c r="U239" s="116" t="n">
        <x:f>IF($L239&lt;$D$5,"",IF($L239=$D$5,$J$10+$N239-IF($M239,IF(INT(($L239-$D$5)/7)&lt;$A$22,$B$22,$D$10),0),U238+$N239-IF($M239,IF(INT(($L239-$D$5)/7)&lt;$A$22,$B$22,$D$10),0)))</x:f>
        <x:v>0</x:v>
      </x:c>
      <x:c r="V239" s="116" t="n">
        <x:f>IF($L239&lt;$D$5,"",IF($L239=$D$5,$J$10+$N239-IF($M239,IF(INT(($L239-$D$5)/7)&lt;$A$23,$B$23,$D$10),0),V238+$N239-IF($M239,IF(INT(($L239-$D$5)/7)&lt;$A$23,$B$23,$D$10),0)))</x:f>
        <x:v>0</x:v>
      </x:c>
      <x:c r="W239" s="116" t="n">
        <x:f>IF($L239&lt;$D$5,"",IF($L239=$D$5,$J$10+$N239-IF($M239,IF(INT(($L239-$D$5)/7)&lt;$A$24,$B$24,$D$10),0),W238+$N239-IF($M239,IF(INT(($L239-$D$5)/7)&lt;$A$24,$B$24,$D$10),0)))</x:f>
        <x:v>0</x:v>
      </x:c>
      <x:c r="X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Y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Z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A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B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C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D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E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F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G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H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I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J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K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L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M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N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O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P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Q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R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S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T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U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V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W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X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Y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AZ239" s="116"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c r="BA239" s="117" t="n">
        <x:f>IF(OR(INDEX('1 Budget annuel'!$A$14:$A$43,COLUMN()-COLUMN($X$42)+1)&lt;&gt;"Oui",INDEX('1 Budget annuel'!$L$14:$L$43,COLUMN()-COLUMN($X$42)+1)="",AND(INDEX('1 Budget annuel'!$B$14:$B$43,COLUMN()-COLUMN($X$42)+1)="Sortie",INDEX('1 Budget annuel'!$M$14:$M$43,COLUMN()-COLUMN($X$42)+1)="Oui"),$L239&lt;INDEX('1 Budget annuel'!$L$14:$L$43,COLUMN()-COLUMN($X$42)+1),$L239&gt;$D$5+363),0,IF(OR(AND(INDEX('1 Budget annuel'!$E$14:$E$43,COLUMN()-COLUMN($X$42)+1)="Hebdomadaire",MOD($L239-INDEX('1 Budget annuel'!$L$14:$L$43,COLUMN()-COLUMN($X$42)+1),7)=0),AND(INDEX('1 Budget annuel'!$E$14:$E$43,COLUMN()-COLUMN($X$42)+1)="Toutes les 4 semaines",MOD($L239-INDEX('1 Budget annuel'!$L$14:$L$43,COLUMN()-COLUMN($X$42)+1),28)=0),AND(INDEX('1 Budget annuel'!$E$14:$E$43,COLUMN()-COLUMN($X$42)+1)="Mensuelle",DAY($L239)=MIN(DAY(INDEX('1 Budget annuel'!$L$14:$L$43,COLUMN()-COLUMN($X$42)+1)),DAY(EOMONTH($L239,0)))),AND(INDEX('1 Budget annuel'!$E$14:$E$43,COLUMN()-COLUMN($X$42)+1)="Trimestrielle",MOD((YEAR($L239)-YEAR(INDEX('1 Budget annuel'!$L$14:$L$43,COLUMN()-COLUMN($X$42)+1)))*12+MONTH($L239)-MONTH(INDEX('1 Budget annuel'!$L$14:$L$43,COLUMN()-COLUMN($X$42)+1)),3)=0,DAY($L239)=MIN(DAY(INDEX('1 Budget annuel'!$L$14:$L$43,COLUMN()-COLUMN($X$42)+1)),DAY(EOMONTH($L239,0)))),AND(INDEX('1 Budget annuel'!$E$14:$E$43,COLUMN()-COLUMN($X$42)+1)="Semestrielle",MOD((YEAR($L239)-YEAR(INDEX('1 Budget annuel'!$L$14:$L$43,COLUMN()-COLUMN($X$42)+1)))*12+MONTH($L239)-MONTH(INDEX('1 Budget annuel'!$L$14:$L$43,COLUMN()-COLUMN($X$42)+1)),6)=0,DAY($L239)=MIN(DAY(INDEX('1 Budget annuel'!$L$14:$L$43,COLUMN()-COLUMN($X$42)+1)),DAY(EOMONTH($L239,0)))),AND(INDEX('1 Budget annuel'!$E$14:$E$43,COLUMN()-COLUMN($X$42)+1)="Annuelle",MOD((YEAR($L239)-YEAR(INDEX('1 Budget annuel'!$L$14:$L$43,COLUMN()-COLUMN($X$42)+1)))*12+MONTH($L239)-MONTH(INDEX('1 Budget annuel'!$L$14:$L$43,COLUMN()-COLUMN($X$42)+1)),12)=0,DAY($L239)=MIN(DAY(INDEX('1 Budget annuel'!$L$14:$L$43,COLUMN()-COLUMN($X$42)+1)),DAY(EOMONTH($L239,0))))),IF(INDEX('1 Budget annuel'!$B$14:$B$43,COLUMN()-COLUMN($X$42)+1)="Entrée",INDEX('1 Budget annuel'!$I$14:$I$43,COLUMN()-COLUMN($X$42)+1),-INDEX('1 Budget annuel'!$I$14:$I$43,COLUMN()-COLUMN($X$42)+1)),0))</x:f>
        <x:v>0</x:v>
      </x:c>
    </x:row>
    <x:row r="240">
      <x:c r="L240" s="114" t="n">
        <x:f>L239+1</x:f>
        <x:v>46434</x:v>
      </x:c>
      <x:c r="M240" s="115" t="b">
        <x:f>AND(L240&gt;=$D$5,L240&lt;=$D$5+363,MOD(L240-$D$5,7)=0)</x:f>
        <x:v>0</x:v>
      </x:c>
      <x:c r="N240" s="116" t="n">
        <x:f>SUM(X240:BA240)</x:f>
        <x:v>0</x:v>
      </x:c>
      <x:c r="O240" s="116" t="n">
        <x:f>IF(M240,$D$10,0)</x:f>
        <x:v>0</x:v>
      </x:c>
      <x:c r="P240" s="116" t="n">
        <x:f>N240-O240</x:f>
        <x:v>0</x:v>
      </x:c>
      <x:c r="Q240" s="116" t="n">
        <x:f>IF(L240&lt;$D$5,0,IF(L240=$D$5,P240,Q239+P240))</x:f>
        <x:v>0</x:v>
      </x:c>
      <x:c r="R240" s="116" t="n">
        <x:f>IF(L240&lt;$D$5,"",$J$10+Q240)</x:f>
        <x:v>0</x:v>
      </x:c>
      <x:c r="S240" s="116" t="n">
        <x:f>IF($L240&lt;$D$5,"",IF($L240=$D$5,$J$10+$N240-IF($M240,IF(INT(($L240-$D$5)/7)&lt;$A$20,$B$20,$D$10),0),S239+$N240-IF($M240,IF(INT(($L240-$D$5)/7)&lt;$A$20,$B$20,$D$10),0)))</x:f>
        <x:v>0</x:v>
      </x:c>
      <x:c r="T240" s="116" t="n">
        <x:f>IF($L240&lt;$D$5,"",IF($L240=$D$5,$J$10+$N240-IF($M240,IF(INT(($L240-$D$5)/7)&lt;$A$21,$B$21,$D$10),0),T239+$N240-IF($M240,IF(INT(($L240-$D$5)/7)&lt;$A$21,$B$21,$D$10),0)))</x:f>
        <x:v>0</x:v>
      </x:c>
      <x:c r="U240" s="116" t="n">
        <x:f>IF($L240&lt;$D$5,"",IF($L240=$D$5,$J$10+$N240-IF($M240,IF(INT(($L240-$D$5)/7)&lt;$A$22,$B$22,$D$10),0),U239+$N240-IF($M240,IF(INT(($L240-$D$5)/7)&lt;$A$22,$B$22,$D$10),0)))</x:f>
        <x:v>0</x:v>
      </x:c>
      <x:c r="V240" s="116" t="n">
        <x:f>IF($L240&lt;$D$5,"",IF($L240=$D$5,$J$10+$N240-IF($M240,IF(INT(($L240-$D$5)/7)&lt;$A$23,$B$23,$D$10),0),V239+$N240-IF($M240,IF(INT(($L240-$D$5)/7)&lt;$A$23,$B$23,$D$10),0)))</x:f>
        <x:v>0</x:v>
      </x:c>
      <x:c r="W240" s="116" t="n">
        <x:f>IF($L240&lt;$D$5,"",IF($L240=$D$5,$J$10+$N240-IF($M240,IF(INT(($L240-$D$5)/7)&lt;$A$24,$B$24,$D$10),0),W239+$N240-IF($M240,IF(INT(($L240-$D$5)/7)&lt;$A$24,$B$24,$D$10),0)))</x:f>
        <x:v>0</x:v>
      </x:c>
      <x:c r="X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Y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Z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A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B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C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D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E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F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G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H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I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J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K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L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M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N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O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P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Q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R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S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T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U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V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W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X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Y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AZ240" s="116"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c r="BA240" s="117" t="n">
        <x:f>IF(OR(INDEX('1 Budget annuel'!$A$14:$A$43,COLUMN()-COLUMN($X$42)+1)&lt;&gt;"Oui",INDEX('1 Budget annuel'!$L$14:$L$43,COLUMN()-COLUMN($X$42)+1)="",AND(INDEX('1 Budget annuel'!$B$14:$B$43,COLUMN()-COLUMN($X$42)+1)="Sortie",INDEX('1 Budget annuel'!$M$14:$M$43,COLUMN()-COLUMN($X$42)+1)="Oui"),$L240&lt;INDEX('1 Budget annuel'!$L$14:$L$43,COLUMN()-COLUMN($X$42)+1),$L240&gt;$D$5+363),0,IF(OR(AND(INDEX('1 Budget annuel'!$E$14:$E$43,COLUMN()-COLUMN($X$42)+1)="Hebdomadaire",MOD($L240-INDEX('1 Budget annuel'!$L$14:$L$43,COLUMN()-COLUMN($X$42)+1),7)=0),AND(INDEX('1 Budget annuel'!$E$14:$E$43,COLUMN()-COLUMN($X$42)+1)="Toutes les 4 semaines",MOD($L240-INDEX('1 Budget annuel'!$L$14:$L$43,COLUMN()-COLUMN($X$42)+1),28)=0),AND(INDEX('1 Budget annuel'!$E$14:$E$43,COLUMN()-COLUMN($X$42)+1)="Mensuelle",DAY($L240)=MIN(DAY(INDEX('1 Budget annuel'!$L$14:$L$43,COLUMN()-COLUMN($X$42)+1)),DAY(EOMONTH($L240,0)))),AND(INDEX('1 Budget annuel'!$E$14:$E$43,COLUMN()-COLUMN($X$42)+1)="Trimestrielle",MOD((YEAR($L240)-YEAR(INDEX('1 Budget annuel'!$L$14:$L$43,COLUMN()-COLUMN($X$42)+1)))*12+MONTH($L240)-MONTH(INDEX('1 Budget annuel'!$L$14:$L$43,COLUMN()-COLUMN($X$42)+1)),3)=0,DAY($L240)=MIN(DAY(INDEX('1 Budget annuel'!$L$14:$L$43,COLUMN()-COLUMN($X$42)+1)),DAY(EOMONTH($L240,0)))),AND(INDEX('1 Budget annuel'!$E$14:$E$43,COLUMN()-COLUMN($X$42)+1)="Semestrielle",MOD((YEAR($L240)-YEAR(INDEX('1 Budget annuel'!$L$14:$L$43,COLUMN()-COLUMN($X$42)+1)))*12+MONTH($L240)-MONTH(INDEX('1 Budget annuel'!$L$14:$L$43,COLUMN()-COLUMN($X$42)+1)),6)=0,DAY($L240)=MIN(DAY(INDEX('1 Budget annuel'!$L$14:$L$43,COLUMN()-COLUMN($X$42)+1)),DAY(EOMONTH($L240,0)))),AND(INDEX('1 Budget annuel'!$E$14:$E$43,COLUMN()-COLUMN($X$42)+1)="Annuelle",MOD((YEAR($L240)-YEAR(INDEX('1 Budget annuel'!$L$14:$L$43,COLUMN()-COLUMN($X$42)+1)))*12+MONTH($L240)-MONTH(INDEX('1 Budget annuel'!$L$14:$L$43,COLUMN()-COLUMN($X$42)+1)),12)=0,DAY($L240)=MIN(DAY(INDEX('1 Budget annuel'!$L$14:$L$43,COLUMN()-COLUMN($X$42)+1)),DAY(EOMONTH($L240,0))))),IF(INDEX('1 Budget annuel'!$B$14:$B$43,COLUMN()-COLUMN($X$42)+1)="Entrée",INDEX('1 Budget annuel'!$I$14:$I$43,COLUMN()-COLUMN($X$42)+1),-INDEX('1 Budget annuel'!$I$14:$I$43,COLUMN()-COLUMN($X$42)+1)),0))</x:f>
        <x:v>0</x:v>
      </x:c>
    </x:row>
    <x:row r="241">
      <x:c r="L241" s="114" t="n">
        <x:f>L240+1</x:f>
        <x:v>46435</x:v>
      </x:c>
      <x:c r="M241" s="115" t="b">
        <x:f>AND(L241&gt;=$D$5,L241&lt;=$D$5+363,MOD(L241-$D$5,7)=0)</x:f>
        <x:v>0</x:v>
      </x:c>
      <x:c r="N241" s="116" t="n">
        <x:f>SUM(X241:BA241)</x:f>
        <x:v>0</x:v>
      </x:c>
      <x:c r="O241" s="116" t="n">
        <x:f>IF(M241,$D$10,0)</x:f>
        <x:v>0</x:v>
      </x:c>
      <x:c r="P241" s="116" t="n">
        <x:f>N241-O241</x:f>
        <x:v>0</x:v>
      </x:c>
      <x:c r="Q241" s="116" t="n">
        <x:f>IF(L241&lt;$D$5,0,IF(L241=$D$5,P241,Q240+P241))</x:f>
        <x:v>0</x:v>
      </x:c>
      <x:c r="R241" s="116" t="n">
        <x:f>IF(L241&lt;$D$5,"",$J$10+Q241)</x:f>
        <x:v>0</x:v>
      </x:c>
      <x:c r="S241" s="116" t="n">
        <x:f>IF($L241&lt;$D$5,"",IF($L241=$D$5,$J$10+$N241-IF($M241,IF(INT(($L241-$D$5)/7)&lt;$A$20,$B$20,$D$10),0),S240+$N241-IF($M241,IF(INT(($L241-$D$5)/7)&lt;$A$20,$B$20,$D$10),0)))</x:f>
        <x:v>0</x:v>
      </x:c>
      <x:c r="T241" s="116" t="n">
        <x:f>IF($L241&lt;$D$5,"",IF($L241=$D$5,$J$10+$N241-IF($M241,IF(INT(($L241-$D$5)/7)&lt;$A$21,$B$21,$D$10),0),T240+$N241-IF($M241,IF(INT(($L241-$D$5)/7)&lt;$A$21,$B$21,$D$10),0)))</x:f>
        <x:v>0</x:v>
      </x:c>
      <x:c r="U241" s="116" t="n">
        <x:f>IF($L241&lt;$D$5,"",IF($L241=$D$5,$J$10+$N241-IF($M241,IF(INT(($L241-$D$5)/7)&lt;$A$22,$B$22,$D$10),0),U240+$N241-IF($M241,IF(INT(($L241-$D$5)/7)&lt;$A$22,$B$22,$D$10),0)))</x:f>
        <x:v>0</x:v>
      </x:c>
      <x:c r="V241" s="116" t="n">
        <x:f>IF($L241&lt;$D$5,"",IF($L241=$D$5,$J$10+$N241-IF($M241,IF(INT(($L241-$D$5)/7)&lt;$A$23,$B$23,$D$10),0),V240+$N241-IF($M241,IF(INT(($L241-$D$5)/7)&lt;$A$23,$B$23,$D$10),0)))</x:f>
        <x:v>0</x:v>
      </x:c>
      <x:c r="W241" s="116" t="n">
        <x:f>IF($L241&lt;$D$5,"",IF($L241=$D$5,$J$10+$N241-IF($M241,IF(INT(($L241-$D$5)/7)&lt;$A$24,$B$24,$D$10),0),W240+$N241-IF($M241,IF(INT(($L241-$D$5)/7)&lt;$A$24,$B$24,$D$10),0)))</x:f>
        <x:v>0</x:v>
      </x:c>
      <x:c r="X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Y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Z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A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B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C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D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E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F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G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H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I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J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K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L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M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N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O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P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Q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R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S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T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U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V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W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X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Y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AZ241" s="116"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c r="BA241" s="117" t="n">
        <x:f>IF(OR(INDEX('1 Budget annuel'!$A$14:$A$43,COLUMN()-COLUMN($X$42)+1)&lt;&gt;"Oui",INDEX('1 Budget annuel'!$L$14:$L$43,COLUMN()-COLUMN($X$42)+1)="",AND(INDEX('1 Budget annuel'!$B$14:$B$43,COLUMN()-COLUMN($X$42)+1)="Sortie",INDEX('1 Budget annuel'!$M$14:$M$43,COLUMN()-COLUMN($X$42)+1)="Oui"),$L241&lt;INDEX('1 Budget annuel'!$L$14:$L$43,COLUMN()-COLUMN($X$42)+1),$L241&gt;$D$5+363),0,IF(OR(AND(INDEX('1 Budget annuel'!$E$14:$E$43,COLUMN()-COLUMN($X$42)+1)="Hebdomadaire",MOD($L241-INDEX('1 Budget annuel'!$L$14:$L$43,COLUMN()-COLUMN($X$42)+1),7)=0),AND(INDEX('1 Budget annuel'!$E$14:$E$43,COLUMN()-COLUMN($X$42)+1)="Toutes les 4 semaines",MOD($L241-INDEX('1 Budget annuel'!$L$14:$L$43,COLUMN()-COLUMN($X$42)+1),28)=0),AND(INDEX('1 Budget annuel'!$E$14:$E$43,COLUMN()-COLUMN($X$42)+1)="Mensuelle",DAY($L241)=MIN(DAY(INDEX('1 Budget annuel'!$L$14:$L$43,COLUMN()-COLUMN($X$42)+1)),DAY(EOMONTH($L241,0)))),AND(INDEX('1 Budget annuel'!$E$14:$E$43,COLUMN()-COLUMN($X$42)+1)="Trimestrielle",MOD((YEAR($L241)-YEAR(INDEX('1 Budget annuel'!$L$14:$L$43,COLUMN()-COLUMN($X$42)+1)))*12+MONTH($L241)-MONTH(INDEX('1 Budget annuel'!$L$14:$L$43,COLUMN()-COLUMN($X$42)+1)),3)=0,DAY($L241)=MIN(DAY(INDEX('1 Budget annuel'!$L$14:$L$43,COLUMN()-COLUMN($X$42)+1)),DAY(EOMONTH($L241,0)))),AND(INDEX('1 Budget annuel'!$E$14:$E$43,COLUMN()-COLUMN($X$42)+1)="Semestrielle",MOD((YEAR($L241)-YEAR(INDEX('1 Budget annuel'!$L$14:$L$43,COLUMN()-COLUMN($X$42)+1)))*12+MONTH($L241)-MONTH(INDEX('1 Budget annuel'!$L$14:$L$43,COLUMN()-COLUMN($X$42)+1)),6)=0,DAY($L241)=MIN(DAY(INDEX('1 Budget annuel'!$L$14:$L$43,COLUMN()-COLUMN($X$42)+1)),DAY(EOMONTH($L241,0)))),AND(INDEX('1 Budget annuel'!$E$14:$E$43,COLUMN()-COLUMN($X$42)+1)="Annuelle",MOD((YEAR($L241)-YEAR(INDEX('1 Budget annuel'!$L$14:$L$43,COLUMN()-COLUMN($X$42)+1)))*12+MONTH($L241)-MONTH(INDEX('1 Budget annuel'!$L$14:$L$43,COLUMN()-COLUMN($X$42)+1)),12)=0,DAY($L241)=MIN(DAY(INDEX('1 Budget annuel'!$L$14:$L$43,COLUMN()-COLUMN($X$42)+1)),DAY(EOMONTH($L241,0))))),IF(INDEX('1 Budget annuel'!$B$14:$B$43,COLUMN()-COLUMN($X$42)+1)="Entrée",INDEX('1 Budget annuel'!$I$14:$I$43,COLUMN()-COLUMN($X$42)+1),-INDEX('1 Budget annuel'!$I$14:$I$43,COLUMN()-COLUMN($X$42)+1)),0))</x:f>
        <x:v>0</x:v>
      </x:c>
    </x:row>
    <x:row r="242">
      <x:c r="L242" s="114" t="n">
        <x:f>L241+1</x:f>
        <x:v>46436</x:v>
      </x:c>
      <x:c r="M242" s="115" t="b">
        <x:f>AND(L242&gt;=$D$5,L242&lt;=$D$5+363,MOD(L242-$D$5,7)=0)</x:f>
        <x:v>0</x:v>
      </x:c>
      <x:c r="N242" s="116" t="n">
        <x:f>SUM(X242:BA242)</x:f>
        <x:v>0</x:v>
      </x:c>
      <x:c r="O242" s="116" t="n">
        <x:f>IF(M242,$D$10,0)</x:f>
        <x:v>0</x:v>
      </x:c>
      <x:c r="P242" s="116" t="n">
        <x:f>N242-O242</x:f>
        <x:v>0</x:v>
      </x:c>
      <x:c r="Q242" s="116" t="n">
        <x:f>IF(L242&lt;$D$5,0,IF(L242=$D$5,P242,Q241+P242))</x:f>
        <x:v>0</x:v>
      </x:c>
      <x:c r="R242" s="116" t="n">
        <x:f>IF(L242&lt;$D$5,"",$J$10+Q242)</x:f>
        <x:v>0</x:v>
      </x:c>
      <x:c r="S242" s="116" t="n">
        <x:f>IF($L242&lt;$D$5,"",IF($L242=$D$5,$J$10+$N242-IF($M242,IF(INT(($L242-$D$5)/7)&lt;$A$20,$B$20,$D$10),0),S241+$N242-IF($M242,IF(INT(($L242-$D$5)/7)&lt;$A$20,$B$20,$D$10),0)))</x:f>
        <x:v>0</x:v>
      </x:c>
      <x:c r="T242" s="116" t="n">
        <x:f>IF($L242&lt;$D$5,"",IF($L242=$D$5,$J$10+$N242-IF($M242,IF(INT(($L242-$D$5)/7)&lt;$A$21,$B$21,$D$10),0),T241+$N242-IF($M242,IF(INT(($L242-$D$5)/7)&lt;$A$21,$B$21,$D$10),0)))</x:f>
        <x:v>0</x:v>
      </x:c>
      <x:c r="U242" s="116" t="n">
        <x:f>IF($L242&lt;$D$5,"",IF($L242=$D$5,$J$10+$N242-IF($M242,IF(INT(($L242-$D$5)/7)&lt;$A$22,$B$22,$D$10),0),U241+$N242-IF($M242,IF(INT(($L242-$D$5)/7)&lt;$A$22,$B$22,$D$10),0)))</x:f>
        <x:v>0</x:v>
      </x:c>
      <x:c r="V242" s="116" t="n">
        <x:f>IF($L242&lt;$D$5,"",IF($L242=$D$5,$J$10+$N242-IF($M242,IF(INT(($L242-$D$5)/7)&lt;$A$23,$B$23,$D$10),0),V241+$N242-IF($M242,IF(INT(($L242-$D$5)/7)&lt;$A$23,$B$23,$D$10),0)))</x:f>
        <x:v>0</x:v>
      </x:c>
      <x:c r="W242" s="116" t="n">
        <x:f>IF($L242&lt;$D$5,"",IF($L242=$D$5,$J$10+$N242-IF($M242,IF(INT(($L242-$D$5)/7)&lt;$A$24,$B$24,$D$10),0),W241+$N242-IF($M242,IF(INT(($L242-$D$5)/7)&lt;$A$24,$B$24,$D$10),0)))</x:f>
        <x:v>0</x:v>
      </x:c>
      <x:c r="X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Y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Z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A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B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C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D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E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F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G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H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I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J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K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L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M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N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O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P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Q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R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S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T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U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V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W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X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Y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AZ242" s="116"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c r="BA242" s="117" t="n">
        <x:f>IF(OR(INDEX('1 Budget annuel'!$A$14:$A$43,COLUMN()-COLUMN($X$42)+1)&lt;&gt;"Oui",INDEX('1 Budget annuel'!$L$14:$L$43,COLUMN()-COLUMN($X$42)+1)="",AND(INDEX('1 Budget annuel'!$B$14:$B$43,COLUMN()-COLUMN($X$42)+1)="Sortie",INDEX('1 Budget annuel'!$M$14:$M$43,COLUMN()-COLUMN($X$42)+1)="Oui"),$L242&lt;INDEX('1 Budget annuel'!$L$14:$L$43,COLUMN()-COLUMN($X$42)+1),$L242&gt;$D$5+363),0,IF(OR(AND(INDEX('1 Budget annuel'!$E$14:$E$43,COLUMN()-COLUMN($X$42)+1)="Hebdomadaire",MOD($L242-INDEX('1 Budget annuel'!$L$14:$L$43,COLUMN()-COLUMN($X$42)+1),7)=0),AND(INDEX('1 Budget annuel'!$E$14:$E$43,COLUMN()-COLUMN($X$42)+1)="Toutes les 4 semaines",MOD($L242-INDEX('1 Budget annuel'!$L$14:$L$43,COLUMN()-COLUMN($X$42)+1),28)=0),AND(INDEX('1 Budget annuel'!$E$14:$E$43,COLUMN()-COLUMN($X$42)+1)="Mensuelle",DAY($L242)=MIN(DAY(INDEX('1 Budget annuel'!$L$14:$L$43,COLUMN()-COLUMN($X$42)+1)),DAY(EOMONTH($L242,0)))),AND(INDEX('1 Budget annuel'!$E$14:$E$43,COLUMN()-COLUMN($X$42)+1)="Trimestrielle",MOD((YEAR($L242)-YEAR(INDEX('1 Budget annuel'!$L$14:$L$43,COLUMN()-COLUMN($X$42)+1)))*12+MONTH($L242)-MONTH(INDEX('1 Budget annuel'!$L$14:$L$43,COLUMN()-COLUMN($X$42)+1)),3)=0,DAY($L242)=MIN(DAY(INDEX('1 Budget annuel'!$L$14:$L$43,COLUMN()-COLUMN($X$42)+1)),DAY(EOMONTH($L242,0)))),AND(INDEX('1 Budget annuel'!$E$14:$E$43,COLUMN()-COLUMN($X$42)+1)="Semestrielle",MOD((YEAR($L242)-YEAR(INDEX('1 Budget annuel'!$L$14:$L$43,COLUMN()-COLUMN($X$42)+1)))*12+MONTH($L242)-MONTH(INDEX('1 Budget annuel'!$L$14:$L$43,COLUMN()-COLUMN($X$42)+1)),6)=0,DAY($L242)=MIN(DAY(INDEX('1 Budget annuel'!$L$14:$L$43,COLUMN()-COLUMN($X$42)+1)),DAY(EOMONTH($L242,0)))),AND(INDEX('1 Budget annuel'!$E$14:$E$43,COLUMN()-COLUMN($X$42)+1)="Annuelle",MOD((YEAR($L242)-YEAR(INDEX('1 Budget annuel'!$L$14:$L$43,COLUMN()-COLUMN($X$42)+1)))*12+MONTH($L242)-MONTH(INDEX('1 Budget annuel'!$L$14:$L$43,COLUMN()-COLUMN($X$42)+1)),12)=0,DAY($L242)=MIN(DAY(INDEX('1 Budget annuel'!$L$14:$L$43,COLUMN()-COLUMN($X$42)+1)),DAY(EOMONTH($L242,0))))),IF(INDEX('1 Budget annuel'!$B$14:$B$43,COLUMN()-COLUMN($X$42)+1)="Entrée",INDEX('1 Budget annuel'!$I$14:$I$43,COLUMN()-COLUMN($X$42)+1),-INDEX('1 Budget annuel'!$I$14:$I$43,COLUMN()-COLUMN($X$42)+1)),0))</x:f>
        <x:v>0</x:v>
      </x:c>
    </x:row>
    <x:row r="243">
      <x:c r="L243" s="114" t="n">
        <x:f>L242+1</x:f>
        <x:v>46437</x:v>
      </x:c>
      <x:c r="M243" s="115" t="b">
        <x:f>AND(L243&gt;=$D$5,L243&lt;=$D$5+363,MOD(L243-$D$5,7)=0)</x:f>
        <x:v>0</x:v>
      </x:c>
      <x:c r="N243" s="116" t="n">
        <x:f>SUM(X243:BA243)</x:f>
        <x:v>0</x:v>
      </x:c>
      <x:c r="O243" s="116" t="n">
        <x:f>IF(M243,$D$10,0)</x:f>
        <x:v>0</x:v>
      </x:c>
      <x:c r="P243" s="116" t="n">
        <x:f>N243-O243</x:f>
        <x:v>0</x:v>
      </x:c>
      <x:c r="Q243" s="116" t="n">
        <x:f>IF(L243&lt;$D$5,0,IF(L243=$D$5,P243,Q242+P243))</x:f>
        <x:v>0</x:v>
      </x:c>
      <x:c r="R243" s="116" t="n">
        <x:f>IF(L243&lt;$D$5,"",$J$10+Q243)</x:f>
        <x:v>0</x:v>
      </x:c>
      <x:c r="S243" s="116" t="n">
        <x:f>IF($L243&lt;$D$5,"",IF($L243=$D$5,$J$10+$N243-IF($M243,IF(INT(($L243-$D$5)/7)&lt;$A$20,$B$20,$D$10),0),S242+$N243-IF($M243,IF(INT(($L243-$D$5)/7)&lt;$A$20,$B$20,$D$10),0)))</x:f>
        <x:v>0</x:v>
      </x:c>
      <x:c r="T243" s="116" t="n">
        <x:f>IF($L243&lt;$D$5,"",IF($L243=$D$5,$J$10+$N243-IF($M243,IF(INT(($L243-$D$5)/7)&lt;$A$21,$B$21,$D$10),0),T242+$N243-IF($M243,IF(INT(($L243-$D$5)/7)&lt;$A$21,$B$21,$D$10),0)))</x:f>
        <x:v>0</x:v>
      </x:c>
      <x:c r="U243" s="116" t="n">
        <x:f>IF($L243&lt;$D$5,"",IF($L243=$D$5,$J$10+$N243-IF($M243,IF(INT(($L243-$D$5)/7)&lt;$A$22,$B$22,$D$10),0),U242+$N243-IF($M243,IF(INT(($L243-$D$5)/7)&lt;$A$22,$B$22,$D$10),0)))</x:f>
        <x:v>0</x:v>
      </x:c>
      <x:c r="V243" s="116" t="n">
        <x:f>IF($L243&lt;$D$5,"",IF($L243=$D$5,$J$10+$N243-IF($M243,IF(INT(($L243-$D$5)/7)&lt;$A$23,$B$23,$D$10),0),V242+$N243-IF($M243,IF(INT(($L243-$D$5)/7)&lt;$A$23,$B$23,$D$10),0)))</x:f>
        <x:v>0</x:v>
      </x:c>
      <x:c r="W243" s="116" t="n">
        <x:f>IF($L243&lt;$D$5,"",IF($L243=$D$5,$J$10+$N243-IF($M243,IF(INT(($L243-$D$5)/7)&lt;$A$24,$B$24,$D$10),0),W242+$N243-IF($M243,IF(INT(($L243-$D$5)/7)&lt;$A$24,$B$24,$D$10),0)))</x:f>
        <x:v>0</x:v>
      </x:c>
      <x:c r="X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Y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Z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A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B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C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D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E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F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G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H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I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J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K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L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M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N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O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P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Q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R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S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T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U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V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W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X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Y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AZ243" s="116"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c r="BA243" s="117" t="n">
        <x:f>IF(OR(INDEX('1 Budget annuel'!$A$14:$A$43,COLUMN()-COLUMN($X$42)+1)&lt;&gt;"Oui",INDEX('1 Budget annuel'!$L$14:$L$43,COLUMN()-COLUMN($X$42)+1)="",AND(INDEX('1 Budget annuel'!$B$14:$B$43,COLUMN()-COLUMN($X$42)+1)="Sortie",INDEX('1 Budget annuel'!$M$14:$M$43,COLUMN()-COLUMN($X$42)+1)="Oui"),$L243&lt;INDEX('1 Budget annuel'!$L$14:$L$43,COLUMN()-COLUMN($X$42)+1),$L243&gt;$D$5+363),0,IF(OR(AND(INDEX('1 Budget annuel'!$E$14:$E$43,COLUMN()-COLUMN($X$42)+1)="Hebdomadaire",MOD($L243-INDEX('1 Budget annuel'!$L$14:$L$43,COLUMN()-COLUMN($X$42)+1),7)=0),AND(INDEX('1 Budget annuel'!$E$14:$E$43,COLUMN()-COLUMN($X$42)+1)="Toutes les 4 semaines",MOD($L243-INDEX('1 Budget annuel'!$L$14:$L$43,COLUMN()-COLUMN($X$42)+1),28)=0),AND(INDEX('1 Budget annuel'!$E$14:$E$43,COLUMN()-COLUMN($X$42)+1)="Mensuelle",DAY($L243)=MIN(DAY(INDEX('1 Budget annuel'!$L$14:$L$43,COLUMN()-COLUMN($X$42)+1)),DAY(EOMONTH($L243,0)))),AND(INDEX('1 Budget annuel'!$E$14:$E$43,COLUMN()-COLUMN($X$42)+1)="Trimestrielle",MOD((YEAR($L243)-YEAR(INDEX('1 Budget annuel'!$L$14:$L$43,COLUMN()-COLUMN($X$42)+1)))*12+MONTH($L243)-MONTH(INDEX('1 Budget annuel'!$L$14:$L$43,COLUMN()-COLUMN($X$42)+1)),3)=0,DAY($L243)=MIN(DAY(INDEX('1 Budget annuel'!$L$14:$L$43,COLUMN()-COLUMN($X$42)+1)),DAY(EOMONTH($L243,0)))),AND(INDEX('1 Budget annuel'!$E$14:$E$43,COLUMN()-COLUMN($X$42)+1)="Semestrielle",MOD((YEAR($L243)-YEAR(INDEX('1 Budget annuel'!$L$14:$L$43,COLUMN()-COLUMN($X$42)+1)))*12+MONTH($L243)-MONTH(INDEX('1 Budget annuel'!$L$14:$L$43,COLUMN()-COLUMN($X$42)+1)),6)=0,DAY($L243)=MIN(DAY(INDEX('1 Budget annuel'!$L$14:$L$43,COLUMN()-COLUMN($X$42)+1)),DAY(EOMONTH($L243,0)))),AND(INDEX('1 Budget annuel'!$E$14:$E$43,COLUMN()-COLUMN($X$42)+1)="Annuelle",MOD((YEAR($L243)-YEAR(INDEX('1 Budget annuel'!$L$14:$L$43,COLUMN()-COLUMN($X$42)+1)))*12+MONTH($L243)-MONTH(INDEX('1 Budget annuel'!$L$14:$L$43,COLUMN()-COLUMN($X$42)+1)),12)=0,DAY($L243)=MIN(DAY(INDEX('1 Budget annuel'!$L$14:$L$43,COLUMN()-COLUMN($X$42)+1)),DAY(EOMONTH($L243,0))))),IF(INDEX('1 Budget annuel'!$B$14:$B$43,COLUMN()-COLUMN($X$42)+1)="Entrée",INDEX('1 Budget annuel'!$I$14:$I$43,COLUMN()-COLUMN($X$42)+1),-INDEX('1 Budget annuel'!$I$14:$I$43,COLUMN()-COLUMN($X$42)+1)),0))</x:f>
        <x:v>0</x:v>
      </x:c>
    </x:row>
    <x:row r="244">
      <x:c r="L244" s="114" t="n">
        <x:f>L243+1</x:f>
        <x:v>46438</x:v>
      </x:c>
      <x:c r="M244" s="115" t="b">
        <x:f>AND(L244&gt;=$D$5,L244&lt;=$D$5+363,MOD(L244-$D$5,7)=0)</x:f>
        <x:v>1</x:v>
      </x:c>
      <x:c r="N244" s="116" t="n">
        <x:f>SUM(X244:BA244)</x:f>
        <x:v>0</x:v>
      </x:c>
      <x:c r="O244" s="116" t="n">
        <x:f>IF(M244,$D$10,0)</x:f>
        <x:v>0</x:v>
      </x:c>
      <x:c r="P244" s="116" t="n">
        <x:f>N244-O244</x:f>
        <x:v>0</x:v>
      </x:c>
      <x:c r="Q244" s="116" t="n">
        <x:f>IF(L244&lt;$D$5,0,IF(L244=$D$5,P244,Q243+P244))</x:f>
        <x:v>0</x:v>
      </x:c>
      <x:c r="R244" s="116" t="n">
        <x:f>IF(L244&lt;$D$5,"",$J$10+Q244)</x:f>
        <x:v>0</x:v>
      </x:c>
      <x:c r="S244" s="116" t="n">
        <x:f>IF($L244&lt;$D$5,"",IF($L244=$D$5,$J$10+$N244-IF($M244,IF(INT(($L244-$D$5)/7)&lt;$A$20,$B$20,$D$10),0),S243+$N244-IF($M244,IF(INT(($L244-$D$5)/7)&lt;$A$20,$B$20,$D$10),0)))</x:f>
        <x:v>0</x:v>
      </x:c>
      <x:c r="T244" s="116" t="n">
        <x:f>IF($L244&lt;$D$5,"",IF($L244=$D$5,$J$10+$N244-IF($M244,IF(INT(($L244-$D$5)/7)&lt;$A$21,$B$21,$D$10),0),T243+$N244-IF($M244,IF(INT(($L244-$D$5)/7)&lt;$A$21,$B$21,$D$10),0)))</x:f>
        <x:v>0</x:v>
      </x:c>
      <x:c r="U244" s="116" t="n">
        <x:f>IF($L244&lt;$D$5,"",IF($L244=$D$5,$J$10+$N244-IF($M244,IF(INT(($L244-$D$5)/7)&lt;$A$22,$B$22,$D$10),0),U243+$N244-IF($M244,IF(INT(($L244-$D$5)/7)&lt;$A$22,$B$22,$D$10),0)))</x:f>
        <x:v>0</x:v>
      </x:c>
      <x:c r="V244" s="116" t="n">
        <x:f>IF($L244&lt;$D$5,"",IF($L244=$D$5,$J$10+$N244-IF($M244,IF(INT(($L244-$D$5)/7)&lt;$A$23,$B$23,$D$10),0),V243+$N244-IF($M244,IF(INT(($L244-$D$5)/7)&lt;$A$23,$B$23,$D$10),0)))</x:f>
        <x:v>0</x:v>
      </x:c>
      <x:c r="W244" s="116" t="n">
        <x:f>IF($L244&lt;$D$5,"",IF($L244=$D$5,$J$10+$N244-IF($M244,IF(INT(($L244-$D$5)/7)&lt;$A$24,$B$24,$D$10),0),W243+$N244-IF($M244,IF(INT(($L244-$D$5)/7)&lt;$A$24,$B$24,$D$10),0)))</x:f>
        <x:v>0</x:v>
      </x:c>
      <x:c r="X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Y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Z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A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B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C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D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E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F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G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H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I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J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K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L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M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N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O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P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Q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R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S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T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U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V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W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X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Y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AZ244" s="116"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c r="BA244" s="117" t="n">
        <x:f>IF(OR(INDEX('1 Budget annuel'!$A$14:$A$43,COLUMN()-COLUMN($X$42)+1)&lt;&gt;"Oui",INDEX('1 Budget annuel'!$L$14:$L$43,COLUMN()-COLUMN($X$42)+1)="",AND(INDEX('1 Budget annuel'!$B$14:$B$43,COLUMN()-COLUMN($X$42)+1)="Sortie",INDEX('1 Budget annuel'!$M$14:$M$43,COLUMN()-COLUMN($X$42)+1)="Oui"),$L244&lt;INDEX('1 Budget annuel'!$L$14:$L$43,COLUMN()-COLUMN($X$42)+1),$L244&gt;$D$5+363),0,IF(OR(AND(INDEX('1 Budget annuel'!$E$14:$E$43,COLUMN()-COLUMN($X$42)+1)="Hebdomadaire",MOD($L244-INDEX('1 Budget annuel'!$L$14:$L$43,COLUMN()-COLUMN($X$42)+1),7)=0),AND(INDEX('1 Budget annuel'!$E$14:$E$43,COLUMN()-COLUMN($X$42)+1)="Toutes les 4 semaines",MOD($L244-INDEX('1 Budget annuel'!$L$14:$L$43,COLUMN()-COLUMN($X$42)+1),28)=0),AND(INDEX('1 Budget annuel'!$E$14:$E$43,COLUMN()-COLUMN($X$42)+1)="Mensuelle",DAY($L244)=MIN(DAY(INDEX('1 Budget annuel'!$L$14:$L$43,COLUMN()-COLUMN($X$42)+1)),DAY(EOMONTH($L244,0)))),AND(INDEX('1 Budget annuel'!$E$14:$E$43,COLUMN()-COLUMN($X$42)+1)="Trimestrielle",MOD((YEAR($L244)-YEAR(INDEX('1 Budget annuel'!$L$14:$L$43,COLUMN()-COLUMN($X$42)+1)))*12+MONTH($L244)-MONTH(INDEX('1 Budget annuel'!$L$14:$L$43,COLUMN()-COLUMN($X$42)+1)),3)=0,DAY($L244)=MIN(DAY(INDEX('1 Budget annuel'!$L$14:$L$43,COLUMN()-COLUMN($X$42)+1)),DAY(EOMONTH($L244,0)))),AND(INDEX('1 Budget annuel'!$E$14:$E$43,COLUMN()-COLUMN($X$42)+1)="Semestrielle",MOD((YEAR($L244)-YEAR(INDEX('1 Budget annuel'!$L$14:$L$43,COLUMN()-COLUMN($X$42)+1)))*12+MONTH($L244)-MONTH(INDEX('1 Budget annuel'!$L$14:$L$43,COLUMN()-COLUMN($X$42)+1)),6)=0,DAY($L244)=MIN(DAY(INDEX('1 Budget annuel'!$L$14:$L$43,COLUMN()-COLUMN($X$42)+1)),DAY(EOMONTH($L244,0)))),AND(INDEX('1 Budget annuel'!$E$14:$E$43,COLUMN()-COLUMN($X$42)+1)="Annuelle",MOD((YEAR($L244)-YEAR(INDEX('1 Budget annuel'!$L$14:$L$43,COLUMN()-COLUMN($X$42)+1)))*12+MONTH($L244)-MONTH(INDEX('1 Budget annuel'!$L$14:$L$43,COLUMN()-COLUMN($X$42)+1)),12)=0,DAY($L244)=MIN(DAY(INDEX('1 Budget annuel'!$L$14:$L$43,COLUMN()-COLUMN($X$42)+1)),DAY(EOMONTH($L244,0))))),IF(INDEX('1 Budget annuel'!$B$14:$B$43,COLUMN()-COLUMN($X$42)+1)="Entrée",INDEX('1 Budget annuel'!$I$14:$I$43,COLUMN()-COLUMN($X$42)+1),-INDEX('1 Budget annuel'!$I$14:$I$43,COLUMN()-COLUMN($X$42)+1)),0))</x:f>
        <x:v>0</x:v>
      </x:c>
    </x:row>
    <x:row r="245">
      <x:c r="L245" s="114" t="n">
        <x:f>L244+1</x:f>
        <x:v>46439</x:v>
      </x:c>
      <x:c r="M245" s="115" t="b">
        <x:f>AND(L245&gt;=$D$5,L245&lt;=$D$5+363,MOD(L245-$D$5,7)=0)</x:f>
        <x:v>0</x:v>
      </x:c>
      <x:c r="N245" s="116" t="n">
        <x:f>SUM(X245:BA245)</x:f>
        <x:v>0</x:v>
      </x:c>
      <x:c r="O245" s="116" t="n">
        <x:f>IF(M245,$D$10,0)</x:f>
        <x:v>0</x:v>
      </x:c>
      <x:c r="P245" s="116" t="n">
        <x:f>N245-O245</x:f>
        <x:v>0</x:v>
      </x:c>
      <x:c r="Q245" s="116" t="n">
        <x:f>IF(L245&lt;$D$5,0,IF(L245=$D$5,P245,Q244+P245))</x:f>
        <x:v>0</x:v>
      </x:c>
      <x:c r="R245" s="116" t="n">
        <x:f>IF(L245&lt;$D$5,"",$J$10+Q245)</x:f>
        <x:v>0</x:v>
      </x:c>
      <x:c r="S245" s="116" t="n">
        <x:f>IF($L245&lt;$D$5,"",IF($L245=$D$5,$J$10+$N245-IF($M245,IF(INT(($L245-$D$5)/7)&lt;$A$20,$B$20,$D$10),0),S244+$N245-IF($M245,IF(INT(($L245-$D$5)/7)&lt;$A$20,$B$20,$D$10),0)))</x:f>
        <x:v>0</x:v>
      </x:c>
      <x:c r="T245" s="116" t="n">
        <x:f>IF($L245&lt;$D$5,"",IF($L245=$D$5,$J$10+$N245-IF($M245,IF(INT(($L245-$D$5)/7)&lt;$A$21,$B$21,$D$10),0),T244+$N245-IF($M245,IF(INT(($L245-$D$5)/7)&lt;$A$21,$B$21,$D$10),0)))</x:f>
        <x:v>0</x:v>
      </x:c>
      <x:c r="U245" s="116" t="n">
        <x:f>IF($L245&lt;$D$5,"",IF($L245=$D$5,$J$10+$N245-IF($M245,IF(INT(($L245-$D$5)/7)&lt;$A$22,$B$22,$D$10),0),U244+$N245-IF($M245,IF(INT(($L245-$D$5)/7)&lt;$A$22,$B$22,$D$10),0)))</x:f>
        <x:v>0</x:v>
      </x:c>
      <x:c r="V245" s="116" t="n">
        <x:f>IF($L245&lt;$D$5,"",IF($L245=$D$5,$J$10+$N245-IF($M245,IF(INT(($L245-$D$5)/7)&lt;$A$23,$B$23,$D$10),0),V244+$N245-IF($M245,IF(INT(($L245-$D$5)/7)&lt;$A$23,$B$23,$D$10),0)))</x:f>
        <x:v>0</x:v>
      </x:c>
      <x:c r="W245" s="116" t="n">
        <x:f>IF($L245&lt;$D$5,"",IF($L245=$D$5,$J$10+$N245-IF($M245,IF(INT(($L245-$D$5)/7)&lt;$A$24,$B$24,$D$10),0),W244+$N245-IF($M245,IF(INT(($L245-$D$5)/7)&lt;$A$24,$B$24,$D$10),0)))</x:f>
        <x:v>0</x:v>
      </x:c>
      <x:c r="X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Y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Z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A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B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C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D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E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F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G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H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I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J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K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L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M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N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O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P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Q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R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S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T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U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V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W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X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Y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AZ245" s="116"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c r="BA245" s="117" t="n">
        <x:f>IF(OR(INDEX('1 Budget annuel'!$A$14:$A$43,COLUMN()-COLUMN($X$42)+1)&lt;&gt;"Oui",INDEX('1 Budget annuel'!$L$14:$L$43,COLUMN()-COLUMN($X$42)+1)="",AND(INDEX('1 Budget annuel'!$B$14:$B$43,COLUMN()-COLUMN($X$42)+1)="Sortie",INDEX('1 Budget annuel'!$M$14:$M$43,COLUMN()-COLUMN($X$42)+1)="Oui"),$L245&lt;INDEX('1 Budget annuel'!$L$14:$L$43,COLUMN()-COLUMN($X$42)+1),$L245&gt;$D$5+363),0,IF(OR(AND(INDEX('1 Budget annuel'!$E$14:$E$43,COLUMN()-COLUMN($X$42)+1)="Hebdomadaire",MOD($L245-INDEX('1 Budget annuel'!$L$14:$L$43,COLUMN()-COLUMN($X$42)+1),7)=0),AND(INDEX('1 Budget annuel'!$E$14:$E$43,COLUMN()-COLUMN($X$42)+1)="Toutes les 4 semaines",MOD($L245-INDEX('1 Budget annuel'!$L$14:$L$43,COLUMN()-COLUMN($X$42)+1),28)=0),AND(INDEX('1 Budget annuel'!$E$14:$E$43,COLUMN()-COLUMN($X$42)+1)="Mensuelle",DAY($L245)=MIN(DAY(INDEX('1 Budget annuel'!$L$14:$L$43,COLUMN()-COLUMN($X$42)+1)),DAY(EOMONTH($L245,0)))),AND(INDEX('1 Budget annuel'!$E$14:$E$43,COLUMN()-COLUMN($X$42)+1)="Trimestrielle",MOD((YEAR($L245)-YEAR(INDEX('1 Budget annuel'!$L$14:$L$43,COLUMN()-COLUMN($X$42)+1)))*12+MONTH($L245)-MONTH(INDEX('1 Budget annuel'!$L$14:$L$43,COLUMN()-COLUMN($X$42)+1)),3)=0,DAY($L245)=MIN(DAY(INDEX('1 Budget annuel'!$L$14:$L$43,COLUMN()-COLUMN($X$42)+1)),DAY(EOMONTH($L245,0)))),AND(INDEX('1 Budget annuel'!$E$14:$E$43,COLUMN()-COLUMN($X$42)+1)="Semestrielle",MOD((YEAR($L245)-YEAR(INDEX('1 Budget annuel'!$L$14:$L$43,COLUMN()-COLUMN($X$42)+1)))*12+MONTH($L245)-MONTH(INDEX('1 Budget annuel'!$L$14:$L$43,COLUMN()-COLUMN($X$42)+1)),6)=0,DAY($L245)=MIN(DAY(INDEX('1 Budget annuel'!$L$14:$L$43,COLUMN()-COLUMN($X$42)+1)),DAY(EOMONTH($L245,0)))),AND(INDEX('1 Budget annuel'!$E$14:$E$43,COLUMN()-COLUMN($X$42)+1)="Annuelle",MOD((YEAR($L245)-YEAR(INDEX('1 Budget annuel'!$L$14:$L$43,COLUMN()-COLUMN($X$42)+1)))*12+MONTH($L245)-MONTH(INDEX('1 Budget annuel'!$L$14:$L$43,COLUMN()-COLUMN($X$42)+1)),12)=0,DAY($L245)=MIN(DAY(INDEX('1 Budget annuel'!$L$14:$L$43,COLUMN()-COLUMN($X$42)+1)),DAY(EOMONTH($L245,0))))),IF(INDEX('1 Budget annuel'!$B$14:$B$43,COLUMN()-COLUMN($X$42)+1)="Entrée",INDEX('1 Budget annuel'!$I$14:$I$43,COLUMN()-COLUMN($X$42)+1),-INDEX('1 Budget annuel'!$I$14:$I$43,COLUMN()-COLUMN($X$42)+1)),0))</x:f>
        <x:v>0</x:v>
      </x:c>
    </x:row>
    <x:row r="246">
      <x:c r="L246" s="114" t="n">
        <x:f>L245+1</x:f>
        <x:v>46440</x:v>
      </x:c>
      <x:c r="M246" s="115" t="b">
        <x:f>AND(L246&gt;=$D$5,L246&lt;=$D$5+363,MOD(L246-$D$5,7)=0)</x:f>
        <x:v>0</x:v>
      </x:c>
      <x:c r="N246" s="116" t="n">
        <x:f>SUM(X246:BA246)</x:f>
        <x:v>0</x:v>
      </x:c>
      <x:c r="O246" s="116" t="n">
        <x:f>IF(M246,$D$10,0)</x:f>
        <x:v>0</x:v>
      </x:c>
      <x:c r="P246" s="116" t="n">
        <x:f>N246-O246</x:f>
        <x:v>0</x:v>
      </x:c>
      <x:c r="Q246" s="116" t="n">
        <x:f>IF(L246&lt;$D$5,0,IF(L246=$D$5,P246,Q245+P246))</x:f>
        <x:v>0</x:v>
      </x:c>
      <x:c r="R246" s="116" t="n">
        <x:f>IF(L246&lt;$D$5,"",$J$10+Q246)</x:f>
        <x:v>0</x:v>
      </x:c>
      <x:c r="S246" s="116" t="n">
        <x:f>IF($L246&lt;$D$5,"",IF($L246=$D$5,$J$10+$N246-IF($M246,IF(INT(($L246-$D$5)/7)&lt;$A$20,$B$20,$D$10),0),S245+$N246-IF($M246,IF(INT(($L246-$D$5)/7)&lt;$A$20,$B$20,$D$10),0)))</x:f>
        <x:v>0</x:v>
      </x:c>
      <x:c r="T246" s="116" t="n">
        <x:f>IF($L246&lt;$D$5,"",IF($L246=$D$5,$J$10+$N246-IF($M246,IF(INT(($L246-$D$5)/7)&lt;$A$21,$B$21,$D$10),0),T245+$N246-IF($M246,IF(INT(($L246-$D$5)/7)&lt;$A$21,$B$21,$D$10),0)))</x:f>
        <x:v>0</x:v>
      </x:c>
      <x:c r="U246" s="116" t="n">
        <x:f>IF($L246&lt;$D$5,"",IF($L246=$D$5,$J$10+$N246-IF($M246,IF(INT(($L246-$D$5)/7)&lt;$A$22,$B$22,$D$10),0),U245+$N246-IF($M246,IF(INT(($L246-$D$5)/7)&lt;$A$22,$B$22,$D$10),0)))</x:f>
        <x:v>0</x:v>
      </x:c>
      <x:c r="V246" s="116" t="n">
        <x:f>IF($L246&lt;$D$5,"",IF($L246=$D$5,$J$10+$N246-IF($M246,IF(INT(($L246-$D$5)/7)&lt;$A$23,$B$23,$D$10),0),V245+$N246-IF($M246,IF(INT(($L246-$D$5)/7)&lt;$A$23,$B$23,$D$10),0)))</x:f>
        <x:v>0</x:v>
      </x:c>
      <x:c r="W246" s="116" t="n">
        <x:f>IF($L246&lt;$D$5,"",IF($L246=$D$5,$J$10+$N246-IF($M246,IF(INT(($L246-$D$5)/7)&lt;$A$24,$B$24,$D$10),0),W245+$N246-IF($M246,IF(INT(($L246-$D$5)/7)&lt;$A$24,$B$24,$D$10),0)))</x:f>
        <x:v>0</x:v>
      </x:c>
      <x:c r="X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Y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Z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A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B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C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D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E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F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G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H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I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J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K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L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M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N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O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P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Q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R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S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T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U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V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W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X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Y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AZ246" s="116"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c r="BA246" s="117" t="n">
        <x:f>IF(OR(INDEX('1 Budget annuel'!$A$14:$A$43,COLUMN()-COLUMN($X$42)+1)&lt;&gt;"Oui",INDEX('1 Budget annuel'!$L$14:$L$43,COLUMN()-COLUMN($X$42)+1)="",AND(INDEX('1 Budget annuel'!$B$14:$B$43,COLUMN()-COLUMN($X$42)+1)="Sortie",INDEX('1 Budget annuel'!$M$14:$M$43,COLUMN()-COLUMN($X$42)+1)="Oui"),$L246&lt;INDEX('1 Budget annuel'!$L$14:$L$43,COLUMN()-COLUMN($X$42)+1),$L246&gt;$D$5+363),0,IF(OR(AND(INDEX('1 Budget annuel'!$E$14:$E$43,COLUMN()-COLUMN($X$42)+1)="Hebdomadaire",MOD($L246-INDEX('1 Budget annuel'!$L$14:$L$43,COLUMN()-COLUMN($X$42)+1),7)=0),AND(INDEX('1 Budget annuel'!$E$14:$E$43,COLUMN()-COLUMN($X$42)+1)="Toutes les 4 semaines",MOD($L246-INDEX('1 Budget annuel'!$L$14:$L$43,COLUMN()-COLUMN($X$42)+1),28)=0),AND(INDEX('1 Budget annuel'!$E$14:$E$43,COLUMN()-COLUMN($X$42)+1)="Mensuelle",DAY($L246)=MIN(DAY(INDEX('1 Budget annuel'!$L$14:$L$43,COLUMN()-COLUMN($X$42)+1)),DAY(EOMONTH($L246,0)))),AND(INDEX('1 Budget annuel'!$E$14:$E$43,COLUMN()-COLUMN($X$42)+1)="Trimestrielle",MOD((YEAR($L246)-YEAR(INDEX('1 Budget annuel'!$L$14:$L$43,COLUMN()-COLUMN($X$42)+1)))*12+MONTH($L246)-MONTH(INDEX('1 Budget annuel'!$L$14:$L$43,COLUMN()-COLUMN($X$42)+1)),3)=0,DAY($L246)=MIN(DAY(INDEX('1 Budget annuel'!$L$14:$L$43,COLUMN()-COLUMN($X$42)+1)),DAY(EOMONTH($L246,0)))),AND(INDEX('1 Budget annuel'!$E$14:$E$43,COLUMN()-COLUMN($X$42)+1)="Semestrielle",MOD((YEAR($L246)-YEAR(INDEX('1 Budget annuel'!$L$14:$L$43,COLUMN()-COLUMN($X$42)+1)))*12+MONTH($L246)-MONTH(INDEX('1 Budget annuel'!$L$14:$L$43,COLUMN()-COLUMN($X$42)+1)),6)=0,DAY($L246)=MIN(DAY(INDEX('1 Budget annuel'!$L$14:$L$43,COLUMN()-COLUMN($X$42)+1)),DAY(EOMONTH($L246,0)))),AND(INDEX('1 Budget annuel'!$E$14:$E$43,COLUMN()-COLUMN($X$42)+1)="Annuelle",MOD((YEAR($L246)-YEAR(INDEX('1 Budget annuel'!$L$14:$L$43,COLUMN()-COLUMN($X$42)+1)))*12+MONTH($L246)-MONTH(INDEX('1 Budget annuel'!$L$14:$L$43,COLUMN()-COLUMN($X$42)+1)),12)=0,DAY($L246)=MIN(DAY(INDEX('1 Budget annuel'!$L$14:$L$43,COLUMN()-COLUMN($X$42)+1)),DAY(EOMONTH($L246,0))))),IF(INDEX('1 Budget annuel'!$B$14:$B$43,COLUMN()-COLUMN($X$42)+1)="Entrée",INDEX('1 Budget annuel'!$I$14:$I$43,COLUMN()-COLUMN($X$42)+1),-INDEX('1 Budget annuel'!$I$14:$I$43,COLUMN()-COLUMN($X$42)+1)),0))</x:f>
        <x:v>0</x:v>
      </x:c>
    </x:row>
    <x:row r="247">
      <x:c r="L247" s="114" t="n">
        <x:f>L246+1</x:f>
        <x:v>46441</x:v>
      </x:c>
      <x:c r="M247" s="115" t="b">
        <x:f>AND(L247&gt;=$D$5,L247&lt;=$D$5+363,MOD(L247-$D$5,7)=0)</x:f>
        <x:v>0</x:v>
      </x:c>
      <x:c r="N247" s="116" t="n">
        <x:f>SUM(X247:BA247)</x:f>
        <x:v>0</x:v>
      </x:c>
      <x:c r="O247" s="116" t="n">
        <x:f>IF(M247,$D$10,0)</x:f>
        <x:v>0</x:v>
      </x:c>
      <x:c r="P247" s="116" t="n">
        <x:f>N247-O247</x:f>
        <x:v>0</x:v>
      </x:c>
      <x:c r="Q247" s="116" t="n">
        <x:f>IF(L247&lt;$D$5,0,IF(L247=$D$5,P247,Q246+P247))</x:f>
        <x:v>0</x:v>
      </x:c>
      <x:c r="R247" s="116" t="n">
        <x:f>IF(L247&lt;$D$5,"",$J$10+Q247)</x:f>
        <x:v>0</x:v>
      </x:c>
      <x:c r="S247" s="116" t="n">
        <x:f>IF($L247&lt;$D$5,"",IF($L247=$D$5,$J$10+$N247-IF($M247,IF(INT(($L247-$D$5)/7)&lt;$A$20,$B$20,$D$10),0),S246+$N247-IF($M247,IF(INT(($L247-$D$5)/7)&lt;$A$20,$B$20,$D$10),0)))</x:f>
        <x:v>0</x:v>
      </x:c>
      <x:c r="T247" s="116" t="n">
        <x:f>IF($L247&lt;$D$5,"",IF($L247=$D$5,$J$10+$N247-IF($M247,IF(INT(($L247-$D$5)/7)&lt;$A$21,$B$21,$D$10),0),T246+$N247-IF($M247,IF(INT(($L247-$D$5)/7)&lt;$A$21,$B$21,$D$10),0)))</x:f>
        <x:v>0</x:v>
      </x:c>
      <x:c r="U247" s="116" t="n">
        <x:f>IF($L247&lt;$D$5,"",IF($L247=$D$5,$J$10+$N247-IF($M247,IF(INT(($L247-$D$5)/7)&lt;$A$22,$B$22,$D$10),0),U246+$N247-IF($M247,IF(INT(($L247-$D$5)/7)&lt;$A$22,$B$22,$D$10),0)))</x:f>
        <x:v>0</x:v>
      </x:c>
      <x:c r="V247" s="116" t="n">
        <x:f>IF($L247&lt;$D$5,"",IF($L247=$D$5,$J$10+$N247-IF($M247,IF(INT(($L247-$D$5)/7)&lt;$A$23,$B$23,$D$10),0),V246+$N247-IF($M247,IF(INT(($L247-$D$5)/7)&lt;$A$23,$B$23,$D$10),0)))</x:f>
        <x:v>0</x:v>
      </x:c>
      <x:c r="W247" s="116" t="n">
        <x:f>IF($L247&lt;$D$5,"",IF($L247=$D$5,$J$10+$N247-IF($M247,IF(INT(($L247-$D$5)/7)&lt;$A$24,$B$24,$D$10),0),W246+$N247-IF($M247,IF(INT(($L247-$D$5)/7)&lt;$A$24,$B$24,$D$10),0)))</x:f>
        <x:v>0</x:v>
      </x:c>
      <x:c r="X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Y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Z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A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B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C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D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E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F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G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H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I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J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K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L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M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N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O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P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Q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R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S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T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U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V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W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X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Y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AZ247" s="116"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c r="BA247" s="117" t="n">
        <x:f>IF(OR(INDEX('1 Budget annuel'!$A$14:$A$43,COLUMN()-COLUMN($X$42)+1)&lt;&gt;"Oui",INDEX('1 Budget annuel'!$L$14:$L$43,COLUMN()-COLUMN($X$42)+1)="",AND(INDEX('1 Budget annuel'!$B$14:$B$43,COLUMN()-COLUMN($X$42)+1)="Sortie",INDEX('1 Budget annuel'!$M$14:$M$43,COLUMN()-COLUMN($X$42)+1)="Oui"),$L247&lt;INDEX('1 Budget annuel'!$L$14:$L$43,COLUMN()-COLUMN($X$42)+1),$L247&gt;$D$5+363),0,IF(OR(AND(INDEX('1 Budget annuel'!$E$14:$E$43,COLUMN()-COLUMN($X$42)+1)="Hebdomadaire",MOD($L247-INDEX('1 Budget annuel'!$L$14:$L$43,COLUMN()-COLUMN($X$42)+1),7)=0),AND(INDEX('1 Budget annuel'!$E$14:$E$43,COLUMN()-COLUMN($X$42)+1)="Toutes les 4 semaines",MOD($L247-INDEX('1 Budget annuel'!$L$14:$L$43,COLUMN()-COLUMN($X$42)+1),28)=0),AND(INDEX('1 Budget annuel'!$E$14:$E$43,COLUMN()-COLUMN($X$42)+1)="Mensuelle",DAY($L247)=MIN(DAY(INDEX('1 Budget annuel'!$L$14:$L$43,COLUMN()-COLUMN($X$42)+1)),DAY(EOMONTH($L247,0)))),AND(INDEX('1 Budget annuel'!$E$14:$E$43,COLUMN()-COLUMN($X$42)+1)="Trimestrielle",MOD((YEAR($L247)-YEAR(INDEX('1 Budget annuel'!$L$14:$L$43,COLUMN()-COLUMN($X$42)+1)))*12+MONTH($L247)-MONTH(INDEX('1 Budget annuel'!$L$14:$L$43,COLUMN()-COLUMN($X$42)+1)),3)=0,DAY($L247)=MIN(DAY(INDEX('1 Budget annuel'!$L$14:$L$43,COLUMN()-COLUMN($X$42)+1)),DAY(EOMONTH($L247,0)))),AND(INDEX('1 Budget annuel'!$E$14:$E$43,COLUMN()-COLUMN($X$42)+1)="Semestrielle",MOD((YEAR($L247)-YEAR(INDEX('1 Budget annuel'!$L$14:$L$43,COLUMN()-COLUMN($X$42)+1)))*12+MONTH($L247)-MONTH(INDEX('1 Budget annuel'!$L$14:$L$43,COLUMN()-COLUMN($X$42)+1)),6)=0,DAY($L247)=MIN(DAY(INDEX('1 Budget annuel'!$L$14:$L$43,COLUMN()-COLUMN($X$42)+1)),DAY(EOMONTH($L247,0)))),AND(INDEX('1 Budget annuel'!$E$14:$E$43,COLUMN()-COLUMN($X$42)+1)="Annuelle",MOD((YEAR($L247)-YEAR(INDEX('1 Budget annuel'!$L$14:$L$43,COLUMN()-COLUMN($X$42)+1)))*12+MONTH($L247)-MONTH(INDEX('1 Budget annuel'!$L$14:$L$43,COLUMN()-COLUMN($X$42)+1)),12)=0,DAY($L247)=MIN(DAY(INDEX('1 Budget annuel'!$L$14:$L$43,COLUMN()-COLUMN($X$42)+1)),DAY(EOMONTH($L247,0))))),IF(INDEX('1 Budget annuel'!$B$14:$B$43,COLUMN()-COLUMN($X$42)+1)="Entrée",INDEX('1 Budget annuel'!$I$14:$I$43,COLUMN()-COLUMN($X$42)+1),-INDEX('1 Budget annuel'!$I$14:$I$43,COLUMN()-COLUMN($X$42)+1)),0))</x:f>
        <x:v>0</x:v>
      </x:c>
    </x:row>
    <x:row r="248">
      <x:c r="L248" s="114" t="n">
        <x:f>L247+1</x:f>
        <x:v>46442</x:v>
      </x:c>
      <x:c r="M248" s="115" t="b">
        <x:f>AND(L248&gt;=$D$5,L248&lt;=$D$5+363,MOD(L248-$D$5,7)=0)</x:f>
        <x:v>0</x:v>
      </x:c>
      <x:c r="N248" s="116" t="n">
        <x:f>SUM(X248:BA248)</x:f>
        <x:v>0</x:v>
      </x:c>
      <x:c r="O248" s="116" t="n">
        <x:f>IF(M248,$D$10,0)</x:f>
        <x:v>0</x:v>
      </x:c>
      <x:c r="P248" s="116" t="n">
        <x:f>N248-O248</x:f>
        <x:v>0</x:v>
      </x:c>
      <x:c r="Q248" s="116" t="n">
        <x:f>IF(L248&lt;$D$5,0,IF(L248=$D$5,P248,Q247+P248))</x:f>
        <x:v>0</x:v>
      </x:c>
      <x:c r="R248" s="116" t="n">
        <x:f>IF(L248&lt;$D$5,"",$J$10+Q248)</x:f>
        <x:v>0</x:v>
      </x:c>
      <x:c r="S248" s="116" t="n">
        <x:f>IF($L248&lt;$D$5,"",IF($L248=$D$5,$J$10+$N248-IF($M248,IF(INT(($L248-$D$5)/7)&lt;$A$20,$B$20,$D$10),0),S247+$N248-IF($M248,IF(INT(($L248-$D$5)/7)&lt;$A$20,$B$20,$D$10),0)))</x:f>
        <x:v>0</x:v>
      </x:c>
      <x:c r="T248" s="116" t="n">
        <x:f>IF($L248&lt;$D$5,"",IF($L248=$D$5,$J$10+$N248-IF($M248,IF(INT(($L248-$D$5)/7)&lt;$A$21,$B$21,$D$10),0),T247+$N248-IF($M248,IF(INT(($L248-$D$5)/7)&lt;$A$21,$B$21,$D$10),0)))</x:f>
        <x:v>0</x:v>
      </x:c>
      <x:c r="U248" s="116" t="n">
        <x:f>IF($L248&lt;$D$5,"",IF($L248=$D$5,$J$10+$N248-IF($M248,IF(INT(($L248-$D$5)/7)&lt;$A$22,$B$22,$D$10),0),U247+$N248-IF($M248,IF(INT(($L248-$D$5)/7)&lt;$A$22,$B$22,$D$10),0)))</x:f>
        <x:v>0</x:v>
      </x:c>
      <x:c r="V248" s="116" t="n">
        <x:f>IF($L248&lt;$D$5,"",IF($L248=$D$5,$J$10+$N248-IF($M248,IF(INT(($L248-$D$5)/7)&lt;$A$23,$B$23,$D$10),0),V247+$N248-IF($M248,IF(INT(($L248-$D$5)/7)&lt;$A$23,$B$23,$D$10),0)))</x:f>
        <x:v>0</x:v>
      </x:c>
      <x:c r="W248" s="116" t="n">
        <x:f>IF($L248&lt;$D$5,"",IF($L248=$D$5,$J$10+$N248-IF($M248,IF(INT(($L248-$D$5)/7)&lt;$A$24,$B$24,$D$10),0),W247+$N248-IF($M248,IF(INT(($L248-$D$5)/7)&lt;$A$24,$B$24,$D$10),0)))</x:f>
        <x:v>0</x:v>
      </x:c>
      <x:c r="X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Y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Z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A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B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C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D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E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F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G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H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I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J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K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L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M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N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O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P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Q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R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S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T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U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V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W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X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Y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AZ248" s="116"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c r="BA248" s="117" t="n">
        <x:f>IF(OR(INDEX('1 Budget annuel'!$A$14:$A$43,COLUMN()-COLUMN($X$42)+1)&lt;&gt;"Oui",INDEX('1 Budget annuel'!$L$14:$L$43,COLUMN()-COLUMN($X$42)+1)="",AND(INDEX('1 Budget annuel'!$B$14:$B$43,COLUMN()-COLUMN($X$42)+1)="Sortie",INDEX('1 Budget annuel'!$M$14:$M$43,COLUMN()-COLUMN($X$42)+1)="Oui"),$L248&lt;INDEX('1 Budget annuel'!$L$14:$L$43,COLUMN()-COLUMN($X$42)+1),$L248&gt;$D$5+363),0,IF(OR(AND(INDEX('1 Budget annuel'!$E$14:$E$43,COLUMN()-COLUMN($X$42)+1)="Hebdomadaire",MOD($L248-INDEX('1 Budget annuel'!$L$14:$L$43,COLUMN()-COLUMN($X$42)+1),7)=0),AND(INDEX('1 Budget annuel'!$E$14:$E$43,COLUMN()-COLUMN($X$42)+1)="Toutes les 4 semaines",MOD($L248-INDEX('1 Budget annuel'!$L$14:$L$43,COLUMN()-COLUMN($X$42)+1),28)=0),AND(INDEX('1 Budget annuel'!$E$14:$E$43,COLUMN()-COLUMN($X$42)+1)="Mensuelle",DAY($L248)=MIN(DAY(INDEX('1 Budget annuel'!$L$14:$L$43,COLUMN()-COLUMN($X$42)+1)),DAY(EOMONTH($L248,0)))),AND(INDEX('1 Budget annuel'!$E$14:$E$43,COLUMN()-COLUMN($X$42)+1)="Trimestrielle",MOD((YEAR($L248)-YEAR(INDEX('1 Budget annuel'!$L$14:$L$43,COLUMN()-COLUMN($X$42)+1)))*12+MONTH($L248)-MONTH(INDEX('1 Budget annuel'!$L$14:$L$43,COLUMN()-COLUMN($X$42)+1)),3)=0,DAY($L248)=MIN(DAY(INDEX('1 Budget annuel'!$L$14:$L$43,COLUMN()-COLUMN($X$42)+1)),DAY(EOMONTH($L248,0)))),AND(INDEX('1 Budget annuel'!$E$14:$E$43,COLUMN()-COLUMN($X$42)+1)="Semestrielle",MOD((YEAR($L248)-YEAR(INDEX('1 Budget annuel'!$L$14:$L$43,COLUMN()-COLUMN($X$42)+1)))*12+MONTH($L248)-MONTH(INDEX('1 Budget annuel'!$L$14:$L$43,COLUMN()-COLUMN($X$42)+1)),6)=0,DAY($L248)=MIN(DAY(INDEX('1 Budget annuel'!$L$14:$L$43,COLUMN()-COLUMN($X$42)+1)),DAY(EOMONTH($L248,0)))),AND(INDEX('1 Budget annuel'!$E$14:$E$43,COLUMN()-COLUMN($X$42)+1)="Annuelle",MOD((YEAR($L248)-YEAR(INDEX('1 Budget annuel'!$L$14:$L$43,COLUMN()-COLUMN($X$42)+1)))*12+MONTH($L248)-MONTH(INDEX('1 Budget annuel'!$L$14:$L$43,COLUMN()-COLUMN($X$42)+1)),12)=0,DAY($L248)=MIN(DAY(INDEX('1 Budget annuel'!$L$14:$L$43,COLUMN()-COLUMN($X$42)+1)),DAY(EOMONTH($L248,0))))),IF(INDEX('1 Budget annuel'!$B$14:$B$43,COLUMN()-COLUMN($X$42)+1)="Entrée",INDEX('1 Budget annuel'!$I$14:$I$43,COLUMN()-COLUMN($X$42)+1),-INDEX('1 Budget annuel'!$I$14:$I$43,COLUMN()-COLUMN($X$42)+1)),0))</x:f>
        <x:v>0</x:v>
      </x:c>
    </x:row>
    <x:row r="249">
      <x:c r="L249" s="114" t="n">
        <x:f>L248+1</x:f>
        <x:v>46443</x:v>
      </x:c>
      <x:c r="M249" s="115" t="b">
        <x:f>AND(L249&gt;=$D$5,L249&lt;=$D$5+363,MOD(L249-$D$5,7)=0)</x:f>
        <x:v>0</x:v>
      </x:c>
      <x:c r="N249" s="116" t="n">
        <x:f>SUM(X249:BA249)</x:f>
        <x:v>0</x:v>
      </x:c>
      <x:c r="O249" s="116" t="n">
        <x:f>IF(M249,$D$10,0)</x:f>
        <x:v>0</x:v>
      </x:c>
      <x:c r="P249" s="116" t="n">
        <x:f>N249-O249</x:f>
        <x:v>0</x:v>
      </x:c>
      <x:c r="Q249" s="116" t="n">
        <x:f>IF(L249&lt;$D$5,0,IF(L249=$D$5,P249,Q248+P249))</x:f>
        <x:v>0</x:v>
      </x:c>
      <x:c r="R249" s="116" t="n">
        <x:f>IF(L249&lt;$D$5,"",$J$10+Q249)</x:f>
        <x:v>0</x:v>
      </x:c>
      <x:c r="S249" s="116" t="n">
        <x:f>IF($L249&lt;$D$5,"",IF($L249=$D$5,$J$10+$N249-IF($M249,IF(INT(($L249-$D$5)/7)&lt;$A$20,$B$20,$D$10),0),S248+$N249-IF($M249,IF(INT(($L249-$D$5)/7)&lt;$A$20,$B$20,$D$10),0)))</x:f>
        <x:v>0</x:v>
      </x:c>
      <x:c r="T249" s="116" t="n">
        <x:f>IF($L249&lt;$D$5,"",IF($L249=$D$5,$J$10+$N249-IF($M249,IF(INT(($L249-$D$5)/7)&lt;$A$21,$B$21,$D$10),0),T248+$N249-IF($M249,IF(INT(($L249-$D$5)/7)&lt;$A$21,$B$21,$D$10),0)))</x:f>
        <x:v>0</x:v>
      </x:c>
      <x:c r="U249" s="116" t="n">
        <x:f>IF($L249&lt;$D$5,"",IF($L249=$D$5,$J$10+$N249-IF($M249,IF(INT(($L249-$D$5)/7)&lt;$A$22,$B$22,$D$10),0),U248+$N249-IF($M249,IF(INT(($L249-$D$5)/7)&lt;$A$22,$B$22,$D$10),0)))</x:f>
        <x:v>0</x:v>
      </x:c>
      <x:c r="V249" s="116" t="n">
        <x:f>IF($L249&lt;$D$5,"",IF($L249=$D$5,$J$10+$N249-IF($M249,IF(INT(($L249-$D$5)/7)&lt;$A$23,$B$23,$D$10),0),V248+$N249-IF($M249,IF(INT(($L249-$D$5)/7)&lt;$A$23,$B$23,$D$10),0)))</x:f>
        <x:v>0</x:v>
      </x:c>
      <x:c r="W249" s="116" t="n">
        <x:f>IF($L249&lt;$D$5,"",IF($L249=$D$5,$J$10+$N249-IF($M249,IF(INT(($L249-$D$5)/7)&lt;$A$24,$B$24,$D$10),0),W248+$N249-IF($M249,IF(INT(($L249-$D$5)/7)&lt;$A$24,$B$24,$D$10),0)))</x:f>
        <x:v>0</x:v>
      </x:c>
      <x:c r="X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Y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Z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A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B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C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D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E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F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G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H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I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J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K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L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M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N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O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P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Q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R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S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T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U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V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W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X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Y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AZ249" s="116"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c r="BA249" s="117" t="n">
        <x:f>IF(OR(INDEX('1 Budget annuel'!$A$14:$A$43,COLUMN()-COLUMN($X$42)+1)&lt;&gt;"Oui",INDEX('1 Budget annuel'!$L$14:$L$43,COLUMN()-COLUMN($X$42)+1)="",AND(INDEX('1 Budget annuel'!$B$14:$B$43,COLUMN()-COLUMN($X$42)+1)="Sortie",INDEX('1 Budget annuel'!$M$14:$M$43,COLUMN()-COLUMN($X$42)+1)="Oui"),$L249&lt;INDEX('1 Budget annuel'!$L$14:$L$43,COLUMN()-COLUMN($X$42)+1),$L249&gt;$D$5+363),0,IF(OR(AND(INDEX('1 Budget annuel'!$E$14:$E$43,COLUMN()-COLUMN($X$42)+1)="Hebdomadaire",MOD($L249-INDEX('1 Budget annuel'!$L$14:$L$43,COLUMN()-COLUMN($X$42)+1),7)=0),AND(INDEX('1 Budget annuel'!$E$14:$E$43,COLUMN()-COLUMN($X$42)+1)="Toutes les 4 semaines",MOD($L249-INDEX('1 Budget annuel'!$L$14:$L$43,COLUMN()-COLUMN($X$42)+1),28)=0),AND(INDEX('1 Budget annuel'!$E$14:$E$43,COLUMN()-COLUMN($X$42)+1)="Mensuelle",DAY($L249)=MIN(DAY(INDEX('1 Budget annuel'!$L$14:$L$43,COLUMN()-COLUMN($X$42)+1)),DAY(EOMONTH($L249,0)))),AND(INDEX('1 Budget annuel'!$E$14:$E$43,COLUMN()-COLUMN($X$42)+1)="Trimestrielle",MOD((YEAR($L249)-YEAR(INDEX('1 Budget annuel'!$L$14:$L$43,COLUMN()-COLUMN($X$42)+1)))*12+MONTH($L249)-MONTH(INDEX('1 Budget annuel'!$L$14:$L$43,COLUMN()-COLUMN($X$42)+1)),3)=0,DAY($L249)=MIN(DAY(INDEX('1 Budget annuel'!$L$14:$L$43,COLUMN()-COLUMN($X$42)+1)),DAY(EOMONTH($L249,0)))),AND(INDEX('1 Budget annuel'!$E$14:$E$43,COLUMN()-COLUMN($X$42)+1)="Semestrielle",MOD((YEAR($L249)-YEAR(INDEX('1 Budget annuel'!$L$14:$L$43,COLUMN()-COLUMN($X$42)+1)))*12+MONTH($L249)-MONTH(INDEX('1 Budget annuel'!$L$14:$L$43,COLUMN()-COLUMN($X$42)+1)),6)=0,DAY($L249)=MIN(DAY(INDEX('1 Budget annuel'!$L$14:$L$43,COLUMN()-COLUMN($X$42)+1)),DAY(EOMONTH($L249,0)))),AND(INDEX('1 Budget annuel'!$E$14:$E$43,COLUMN()-COLUMN($X$42)+1)="Annuelle",MOD((YEAR($L249)-YEAR(INDEX('1 Budget annuel'!$L$14:$L$43,COLUMN()-COLUMN($X$42)+1)))*12+MONTH($L249)-MONTH(INDEX('1 Budget annuel'!$L$14:$L$43,COLUMN()-COLUMN($X$42)+1)),12)=0,DAY($L249)=MIN(DAY(INDEX('1 Budget annuel'!$L$14:$L$43,COLUMN()-COLUMN($X$42)+1)),DAY(EOMONTH($L249,0))))),IF(INDEX('1 Budget annuel'!$B$14:$B$43,COLUMN()-COLUMN($X$42)+1)="Entrée",INDEX('1 Budget annuel'!$I$14:$I$43,COLUMN()-COLUMN($X$42)+1),-INDEX('1 Budget annuel'!$I$14:$I$43,COLUMN()-COLUMN($X$42)+1)),0))</x:f>
        <x:v>0</x:v>
      </x:c>
    </x:row>
    <x:row r="250">
      <x:c r="L250" s="114" t="n">
        <x:f>L249+1</x:f>
        <x:v>46444</x:v>
      </x:c>
      <x:c r="M250" s="115" t="b">
        <x:f>AND(L250&gt;=$D$5,L250&lt;=$D$5+363,MOD(L250-$D$5,7)=0)</x:f>
        <x:v>0</x:v>
      </x:c>
      <x:c r="N250" s="116" t="n">
        <x:f>SUM(X250:BA250)</x:f>
        <x:v>0</x:v>
      </x:c>
      <x:c r="O250" s="116" t="n">
        <x:f>IF(M250,$D$10,0)</x:f>
        <x:v>0</x:v>
      </x:c>
      <x:c r="P250" s="116" t="n">
        <x:f>N250-O250</x:f>
        <x:v>0</x:v>
      </x:c>
      <x:c r="Q250" s="116" t="n">
        <x:f>IF(L250&lt;$D$5,0,IF(L250=$D$5,P250,Q249+P250))</x:f>
        <x:v>0</x:v>
      </x:c>
      <x:c r="R250" s="116" t="n">
        <x:f>IF(L250&lt;$D$5,"",$J$10+Q250)</x:f>
        <x:v>0</x:v>
      </x:c>
      <x:c r="S250" s="116" t="n">
        <x:f>IF($L250&lt;$D$5,"",IF($L250=$D$5,$J$10+$N250-IF($M250,IF(INT(($L250-$D$5)/7)&lt;$A$20,$B$20,$D$10),0),S249+$N250-IF($M250,IF(INT(($L250-$D$5)/7)&lt;$A$20,$B$20,$D$10),0)))</x:f>
        <x:v>0</x:v>
      </x:c>
      <x:c r="T250" s="116" t="n">
        <x:f>IF($L250&lt;$D$5,"",IF($L250=$D$5,$J$10+$N250-IF($M250,IF(INT(($L250-$D$5)/7)&lt;$A$21,$B$21,$D$10),0),T249+$N250-IF($M250,IF(INT(($L250-$D$5)/7)&lt;$A$21,$B$21,$D$10),0)))</x:f>
        <x:v>0</x:v>
      </x:c>
      <x:c r="U250" s="116" t="n">
        <x:f>IF($L250&lt;$D$5,"",IF($L250=$D$5,$J$10+$N250-IF($M250,IF(INT(($L250-$D$5)/7)&lt;$A$22,$B$22,$D$10),0),U249+$N250-IF($M250,IF(INT(($L250-$D$5)/7)&lt;$A$22,$B$22,$D$10),0)))</x:f>
        <x:v>0</x:v>
      </x:c>
      <x:c r="V250" s="116" t="n">
        <x:f>IF($L250&lt;$D$5,"",IF($L250=$D$5,$J$10+$N250-IF($M250,IF(INT(($L250-$D$5)/7)&lt;$A$23,$B$23,$D$10),0),V249+$N250-IF($M250,IF(INT(($L250-$D$5)/7)&lt;$A$23,$B$23,$D$10),0)))</x:f>
        <x:v>0</x:v>
      </x:c>
      <x:c r="W250" s="116" t="n">
        <x:f>IF($L250&lt;$D$5,"",IF($L250=$D$5,$J$10+$N250-IF($M250,IF(INT(($L250-$D$5)/7)&lt;$A$24,$B$24,$D$10),0),W249+$N250-IF($M250,IF(INT(($L250-$D$5)/7)&lt;$A$24,$B$24,$D$10),0)))</x:f>
        <x:v>0</x:v>
      </x:c>
      <x:c r="X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Y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Z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A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B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C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D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E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F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G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H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I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J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K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L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M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N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O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P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Q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R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S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T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U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V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W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X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Y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AZ250" s="116"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c r="BA250" s="117" t="n">
        <x:f>IF(OR(INDEX('1 Budget annuel'!$A$14:$A$43,COLUMN()-COLUMN($X$42)+1)&lt;&gt;"Oui",INDEX('1 Budget annuel'!$L$14:$L$43,COLUMN()-COLUMN($X$42)+1)="",AND(INDEX('1 Budget annuel'!$B$14:$B$43,COLUMN()-COLUMN($X$42)+1)="Sortie",INDEX('1 Budget annuel'!$M$14:$M$43,COLUMN()-COLUMN($X$42)+1)="Oui"),$L250&lt;INDEX('1 Budget annuel'!$L$14:$L$43,COLUMN()-COLUMN($X$42)+1),$L250&gt;$D$5+363),0,IF(OR(AND(INDEX('1 Budget annuel'!$E$14:$E$43,COLUMN()-COLUMN($X$42)+1)="Hebdomadaire",MOD($L250-INDEX('1 Budget annuel'!$L$14:$L$43,COLUMN()-COLUMN($X$42)+1),7)=0),AND(INDEX('1 Budget annuel'!$E$14:$E$43,COLUMN()-COLUMN($X$42)+1)="Toutes les 4 semaines",MOD($L250-INDEX('1 Budget annuel'!$L$14:$L$43,COLUMN()-COLUMN($X$42)+1),28)=0),AND(INDEX('1 Budget annuel'!$E$14:$E$43,COLUMN()-COLUMN($X$42)+1)="Mensuelle",DAY($L250)=MIN(DAY(INDEX('1 Budget annuel'!$L$14:$L$43,COLUMN()-COLUMN($X$42)+1)),DAY(EOMONTH($L250,0)))),AND(INDEX('1 Budget annuel'!$E$14:$E$43,COLUMN()-COLUMN($X$42)+1)="Trimestrielle",MOD((YEAR($L250)-YEAR(INDEX('1 Budget annuel'!$L$14:$L$43,COLUMN()-COLUMN($X$42)+1)))*12+MONTH($L250)-MONTH(INDEX('1 Budget annuel'!$L$14:$L$43,COLUMN()-COLUMN($X$42)+1)),3)=0,DAY($L250)=MIN(DAY(INDEX('1 Budget annuel'!$L$14:$L$43,COLUMN()-COLUMN($X$42)+1)),DAY(EOMONTH($L250,0)))),AND(INDEX('1 Budget annuel'!$E$14:$E$43,COLUMN()-COLUMN($X$42)+1)="Semestrielle",MOD((YEAR($L250)-YEAR(INDEX('1 Budget annuel'!$L$14:$L$43,COLUMN()-COLUMN($X$42)+1)))*12+MONTH($L250)-MONTH(INDEX('1 Budget annuel'!$L$14:$L$43,COLUMN()-COLUMN($X$42)+1)),6)=0,DAY($L250)=MIN(DAY(INDEX('1 Budget annuel'!$L$14:$L$43,COLUMN()-COLUMN($X$42)+1)),DAY(EOMONTH($L250,0)))),AND(INDEX('1 Budget annuel'!$E$14:$E$43,COLUMN()-COLUMN($X$42)+1)="Annuelle",MOD((YEAR($L250)-YEAR(INDEX('1 Budget annuel'!$L$14:$L$43,COLUMN()-COLUMN($X$42)+1)))*12+MONTH($L250)-MONTH(INDEX('1 Budget annuel'!$L$14:$L$43,COLUMN()-COLUMN($X$42)+1)),12)=0,DAY($L250)=MIN(DAY(INDEX('1 Budget annuel'!$L$14:$L$43,COLUMN()-COLUMN($X$42)+1)),DAY(EOMONTH($L250,0))))),IF(INDEX('1 Budget annuel'!$B$14:$B$43,COLUMN()-COLUMN($X$42)+1)="Entrée",INDEX('1 Budget annuel'!$I$14:$I$43,COLUMN()-COLUMN($X$42)+1),-INDEX('1 Budget annuel'!$I$14:$I$43,COLUMN()-COLUMN($X$42)+1)),0))</x:f>
        <x:v>0</x:v>
      </x:c>
    </x:row>
    <x:row r="251">
      <x:c r="L251" s="114" t="n">
        <x:f>L250+1</x:f>
        <x:v>46445</x:v>
      </x:c>
      <x:c r="M251" s="115" t="b">
        <x:f>AND(L251&gt;=$D$5,L251&lt;=$D$5+363,MOD(L251-$D$5,7)=0)</x:f>
        <x:v>1</x:v>
      </x:c>
      <x:c r="N251" s="116" t="n">
        <x:f>SUM(X251:BA251)</x:f>
        <x:v>0</x:v>
      </x:c>
      <x:c r="O251" s="116" t="n">
        <x:f>IF(M251,$D$10,0)</x:f>
        <x:v>0</x:v>
      </x:c>
      <x:c r="P251" s="116" t="n">
        <x:f>N251-O251</x:f>
        <x:v>0</x:v>
      </x:c>
      <x:c r="Q251" s="116" t="n">
        <x:f>IF(L251&lt;$D$5,0,IF(L251=$D$5,P251,Q250+P251))</x:f>
        <x:v>0</x:v>
      </x:c>
      <x:c r="R251" s="116" t="n">
        <x:f>IF(L251&lt;$D$5,"",$J$10+Q251)</x:f>
        <x:v>0</x:v>
      </x:c>
      <x:c r="S251" s="116" t="n">
        <x:f>IF($L251&lt;$D$5,"",IF($L251=$D$5,$J$10+$N251-IF($M251,IF(INT(($L251-$D$5)/7)&lt;$A$20,$B$20,$D$10),0),S250+$N251-IF($M251,IF(INT(($L251-$D$5)/7)&lt;$A$20,$B$20,$D$10),0)))</x:f>
        <x:v>0</x:v>
      </x:c>
      <x:c r="T251" s="116" t="n">
        <x:f>IF($L251&lt;$D$5,"",IF($L251=$D$5,$J$10+$N251-IF($M251,IF(INT(($L251-$D$5)/7)&lt;$A$21,$B$21,$D$10),0),T250+$N251-IF($M251,IF(INT(($L251-$D$5)/7)&lt;$A$21,$B$21,$D$10),0)))</x:f>
        <x:v>0</x:v>
      </x:c>
      <x:c r="U251" s="116" t="n">
        <x:f>IF($L251&lt;$D$5,"",IF($L251=$D$5,$J$10+$N251-IF($M251,IF(INT(($L251-$D$5)/7)&lt;$A$22,$B$22,$D$10),0),U250+$N251-IF($M251,IF(INT(($L251-$D$5)/7)&lt;$A$22,$B$22,$D$10),0)))</x:f>
        <x:v>0</x:v>
      </x:c>
      <x:c r="V251" s="116" t="n">
        <x:f>IF($L251&lt;$D$5,"",IF($L251=$D$5,$J$10+$N251-IF($M251,IF(INT(($L251-$D$5)/7)&lt;$A$23,$B$23,$D$10),0),V250+$N251-IF($M251,IF(INT(($L251-$D$5)/7)&lt;$A$23,$B$23,$D$10),0)))</x:f>
        <x:v>0</x:v>
      </x:c>
      <x:c r="W251" s="116" t="n">
        <x:f>IF($L251&lt;$D$5,"",IF($L251=$D$5,$J$10+$N251-IF($M251,IF(INT(($L251-$D$5)/7)&lt;$A$24,$B$24,$D$10),0),W250+$N251-IF($M251,IF(INT(($L251-$D$5)/7)&lt;$A$24,$B$24,$D$10),0)))</x:f>
        <x:v>0</x:v>
      </x:c>
      <x:c r="X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Y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Z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A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B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C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D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E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F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G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H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I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J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K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L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M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N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O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P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Q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R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S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T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U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V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W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X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Y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AZ251" s="116"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c r="BA251" s="117" t="n">
        <x:f>IF(OR(INDEX('1 Budget annuel'!$A$14:$A$43,COLUMN()-COLUMN($X$42)+1)&lt;&gt;"Oui",INDEX('1 Budget annuel'!$L$14:$L$43,COLUMN()-COLUMN($X$42)+1)="",AND(INDEX('1 Budget annuel'!$B$14:$B$43,COLUMN()-COLUMN($X$42)+1)="Sortie",INDEX('1 Budget annuel'!$M$14:$M$43,COLUMN()-COLUMN($X$42)+1)="Oui"),$L251&lt;INDEX('1 Budget annuel'!$L$14:$L$43,COLUMN()-COLUMN($X$42)+1),$L251&gt;$D$5+363),0,IF(OR(AND(INDEX('1 Budget annuel'!$E$14:$E$43,COLUMN()-COLUMN($X$42)+1)="Hebdomadaire",MOD($L251-INDEX('1 Budget annuel'!$L$14:$L$43,COLUMN()-COLUMN($X$42)+1),7)=0),AND(INDEX('1 Budget annuel'!$E$14:$E$43,COLUMN()-COLUMN($X$42)+1)="Toutes les 4 semaines",MOD($L251-INDEX('1 Budget annuel'!$L$14:$L$43,COLUMN()-COLUMN($X$42)+1),28)=0),AND(INDEX('1 Budget annuel'!$E$14:$E$43,COLUMN()-COLUMN($X$42)+1)="Mensuelle",DAY($L251)=MIN(DAY(INDEX('1 Budget annuel'!$L$14:$L$43,COLUMN()-COLUMN($X$42)+1)),DAY(EOMONTH($L251,0)))),AND(INDEX('1 Budget annuel'!$E$14:$E$43,COLUMN()-COLUMN($X$42)+1)="Trimestrielle",MOD((YEAR($L251)-YEAR(INDEX('1 Budget annuel'!$L$14:$L$43,COLUMN()-COLUMN($X$42)+1)))*12+MONTH($L251)-MONTH(INDEX('1 Budget annuel'!$L$14:$L$43,COLUMN()-COLUMN($X$42)+1)),3)=0,DAY($L251)=MIN(DAY(INDEX('1 Budget annuel'!$L$14:$L$43,COLUMN()-COLUMN($X$42)+1)),DAY(EOMONTH($L251,0)))),AND(INDEX('1 Budget annuel'!$E$14:$E$43,COLUMN()-COLUMN($X$42)+1)="Semestrielle",MOD((YEAR($L251)-YEAR(INDEX('1 Budget annuel'!$L$14:$L$43,COLUMN()-COLUMN($X$42)+1)))*12+MONTH($L251)-MONTH(INDEX('1 Budget annuel'!$L$14:$L$43,COLUMN()-COLUMN($X$42)+1)),6)=0,DAY($L251)=MIN(DAY(INDEX('1 Budget annuel'!$L$14:$L$43,COLUMN()-COLUMN($X$42)+1)),DAY(EOMONTH($L251,0)))),AND(INDEX('1 Budget annuel'!$E$14:$E$43,COLUMN()-COLUMN($X$42)+1)="Annuelle",MOD((YEAR($L251)-YEAR(INDEX('1 Budget annuel'!$L$14:$L$43,COLUMN()-COLUMN($X$42)+1)))*12+MONTH($L251)-MONTH(INDEX('1 Budget annuel'!$L$14:$L$43,COLUMN()-COLUMN($X$42)+1)),12)=0,DAY($L251)=MIN(DAY(INDEX('1 Budget annuel'!$L$14:$L$43,COLUMN()-COLUMN($X$42)+1)),DAY(EOMONTH($L251,0))))),IF(INDEX('1 Budget annuel'!$B$14:$B$43,COLUMN()-COLUMN($X$42)+1)="Entrée",INDEX('1 Budget annuel'!$I$14:$I$43,COLUMN()-COLUMN($X$42)+1),-INDEX('1 Budget annuel'!$I$14:$I$43,COLUMN()-COLUMN($X$42)+1)),0))</x:f>
        <x:v>0</x:v>
      </x:c>
    </x:row>
    <x:row r="252">
      <x:c r="L252" s="114" t="n">
        <x:f>L251+1</x:f>
        <x:v>46446</x:v>
      </x:c>
      <x:c r="M252" s="115" t="b">
        <x:f>AND(L252&gt;=$D$5,L252&lt;=$D$5+363,MOD(L252-$D$5,7)=0)</x:f>
        <x:v>0</x:v>
      </x:c>
      <x:c r="N252" s="116" t="n">
        <x:f>SUM(X252:BA252)</x:f>
        <x:v>0</x:v>
      </x:c>
      <x:c r="O252" s="116" t="n">
        <x:f>IF(M252,$D$10,0)</x:f>
        <x:v>0</x:v>
      </x:c>
      <x:c r="P252" s="116" t="n">
        <x:f>N252-O252</x:f>
        <x:v>0</x:v>
      </x:c>
      <x:c r="Q252" s="116" t="n">
        <x:f>IF(L252&lt;$D$5,0,IF(L252=$D$5,P252,Q251+P252))</x:f>
        <x:v>0</x:v>
      </x:c>
      <x:c r="R252" s="116" t="n">
        <x:f>IF(L252&lt;$D$5,"",$J$10+Q252)</x:f>
        <x:v>0</x:v>
      </x:c>
      <x:c r="S252" s="116" t="n">
        <x:f>IF($L252&lt;$D$5,"",IF($L252=$D$5,$J$10+$N252-IF($M252,IF(INT(($L252-$D$5)/7)&lt;$A$20,$B$20,$D$10),0),S251+$N252-IF($M252,IF(INT(($L252-$D$5)/7)&lt;$A$20,$B$20,$D$10),0)))</x:f>
        <x:v>0</x:v>
      </x:c>
      <x:c r="T252" s="116" t="n">
        <x:f>IF($L252&lt;$D$5,"",IF($L252=$D$5,$J$10+$N252-IF($M252,IF(INT(($L252-$D$5)/7)&lt;$A$21,$B$21,$D$10),0),T251+$N252-IF($M252,IF(INT(($L252-$D$5)/7)&lt;$A$21,$B$21,$D$10),0)))</x:f>
        <x:v>0</x:v>
      </x:c>
      <x:c r="U252" s="116" t="n">
        <x:f>IF($L252&lt;$D$5,"",IF($L252=$D$5,$J$10+$N252-IF($M252,IF(INT(($L252-$D$5)/7)&lt;$A$22,$B$22,$D$10),0),U251+$N252-IF($M252,IF(INT(($L252-$D$5)/7)&lt;$A$22,$B$22,$D$10),0)))</x:f>
        <x:v>0</x:v>
      </x:c>
      <x:c r="V252" s="116" t="n">
        <x:f>IF($L252&lt;$D$5,"",IF($L252=$D$5,$J$10+$N252-IF($M252,IF(INT(($L252-$D$5)/7)&lt;$A$23,$B$23,$D$10),0),V251+$N252-IF($M252,IF(INT(($L252-$D$5)/7)&lt;$A$23,$B$23,$D$10),0)))</x:f>
        <x:v>0</x:v>
      </x:c>
      <x:c r="W252" s="116" t="n">
        <x:f>IF($L252&lt;$D$5,"",IF($L252=$D$5,$J$10+$N252-IF($M252,IF(INT(($L252-$D$5)/7)&lt;$A$24,$B$24,$D$10),0),W251+$N252-IF($M252,IF(INT(($L252-$D$5)/7)&lt;$A$24,$B$24,$D$10),0)))</x:f>
        <x:v>0</x:v>
      </x:c>
      <x:c r="X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Y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Z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A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B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C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D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E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F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G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H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I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J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K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L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M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N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O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P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Q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R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S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T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U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V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W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X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Y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AZ252" s="116"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c r="BA252" s="117" t="n">
        <x:f>IF(OR(INDEX('1 Budget annuel'!$A$14:$A$43,COLUMN()-COLUMN($X$42)+1)&lt;&gt;"Oui",INDEX('1 Budget annuel'!$L$14:$L$43,COLUMN()-COLUMN($X$42)+1)="",AND(INDEX('1 Budget annuel'!$B$14:$B$43,COLUMN()-COLUMN($X$42)+1)="Sortie",INDEX('1 Budget annuel'!$M$14:$M$43,COLUMN()-COLUMN($X$42)+1)="Oui"),$L252&lt;INDEX('1 Budget annuel'!$L$14:$L$43,COLUMN()-COLUMN($X$42)+1),$L252&gt;$D$5+363),0,IF(OR(AND(INDEX('1 Budget annuel'!$E$14:$E$43,COLUMN()-COLUMN($X$42)+1)="Hebdomadaire",MOD($L252-INDEX('1 Budget annuel'!$L$14:$L$43,COLUMN()-COLUMN($X$42)+1),7)=0),AND(INDEX('1 Budget annuel'!$E$14:$E$43,COLUMN()-COLUMN($X$42)+1)="Toutes les 4 semaines",MOD($L252-INDEX('1 Budget annuel'!$L$14:$L$43,COLUMN()-COLUMN($X$42)+1),28)=0),AND(INDEX('1 Budget annuel'!$E$14:$E$43,COLUMN()-COLUMN($X$42)+1)="Mensuelle",DAY($L252)=MIN(DAY(INDEX('1 Budget annuel'!$L$14:$L$43,COLUMN()-COLUMN($X$42)+1)),DAY(EOMONTH($L252,0)))),AND(INDEX('1 Budget annuel'!$E$14:$E$43,COLUMN()-COLUMN($X$42)+1)="Trimestrielle",MOD((YEAR($L252)-YEAR(INDEX('1 Budget annuel'!$L$14:$L$43,COLUMN()-COLUMN($X$42)+1)))*12+MONTH($L252)-MONTH(INDEX('1 Budget annuel'!$L$14:$L$43,COLUMN()-COLUMN($X$42)+1)),3)=0,DAY($L252)=MIN(DAY(INDEX('1 Budget annuel'!$L$14:$L$43,COLUMN()-COLUMN($X$42)+1)),DAY(EOMONTH($L252,0)))),AND(INDEX('1 Budget annuel'!$E$14:$E$43,COLUMN()-COLUMN($X$42)+1)="Semestrielle",MOD((YEAR($L252)-YEAR(INDEX('1 Budget annuel'!$L$14:$L$43,COLUMN()-COLUMN($X$42)+1)))*12+MONTH($L252)-MONTH(INDEX('1 Budget annuel'!$L$14:$L$43,COLUMN()-COLUMN($X$42)+1)),6)=0,DAY($L252)=MIN(DAY(INDEX('1 Budget annuel'!$L$14:$L$43,COLUMN()-COLUMN($X$42)+1)),DAY(EOMONTH($L252,0)))),AND(INDEX('1 Budget annuel'!$E$14:$E$43,COLUMN()-COLUMN($X$42)+1)="Annuelle",MOD((YEAR($L252)-YEAR(INDEX('1 Budget annuel'!$L$14:$L$43,COLUMN()-COLUMN($X$42)+1)))*12+MONTH($L252)-MONTH(INDEX('1 Budget annuel'!$L$14:$L$43,COLUMN()-COLUMN($X$42)+1)),12)=0,DAY($L252)=MIN(DAY(INDEX('1 Budget annuel'!$L$14:$L$43,COLUMN()-COLUMN($X$42)+1)),DAY(EOMONTH($L252,0))))),IF(INDEX('1 Budget annuel'!$B$14:$B$43,COLUMN()-COLUMN($X$42)+1)="Entrée",INDEX('1 Budget annuel'!$I$14:$I$43,COLUMN()-COLUMN($X$42)+1),-INDEX('1 Budget annuel'!$I$14:$I$43,COLUMN()-COLUMN($X$42)+1)),0))</x:f>
        <x:v>0</x:v>
      </x:c>
    </x:row>
    <x:row r="253">
      <x:c r="L253" s="114" t="n">
        <x:f>L252+1</x:f>
        <x:v>46447</x:v>
      </x:c>
      <x:c r="M253" s="115" t="b">
        <x:f>AND(L253&gt;=$D$5,L253&lt;=$D$5+363,MOD(L253-$D$5,7)=0)</x:f>
        <x:v>0</x:v>
      </x:c>
      <x:c r="N253" s="116" t="n">
        <x:f>SUM(X253:BA253)</x:f>
        <x:v>0</x:v>
      </x:c>
      <x:c r="O253" s="116" t="n">
        <x:f>IF(M253,$D$10,0)</x:f>
        <x:v>0</x:v>
      </x:c>
      <x:c r="P253" s="116" t="n">
        <x:f>N253-O253</x:f>
        <x:v>0</x:v>
      </x:c>
      <x:c r="Q253" s="116" t="n">
        <x:f>IF(L253&lt;$D$5,0,IF(L253=$D$5,P253,Q252+P253))</x:f>
        <x:v>0</x:v>
      </x:c>
      <x:c r="R253" s="116" t="n">
        <x:f>IF(L253&lt;$D$5,"",$J$10+Q253)</x:f>
        <x:v>0</x:v>
      </x:c>
      <x:c r="S253" s="116" t="n">
        <x:f>IF($L253&lt;$D$5,"",IF($L253=$D$5,$J$10+$N253-IF($M253,IF(INT(($L253-$D$5)/7)&lt;$A$20,$B$20,$D$10),0),S252+$N253-IF($M253,IF(INT(($L253-$D$5)/7)&lt;$A$20,$B$20,$D$10),0)))</x:f>
        <x:v>0</x:v>
      </x:c>
      <x:c r="T253" s="116" t="n">
        <x:f>IF($L253&lt;$D$5,"",IF($L253=$D$5,$J$10+$N253-IF($M253,IF(INT(($L253-$D$5)/7)&lt;$A$21,$B$21,$D$10),0),T252+$N253-IF($M253,IF(INT(($L253-$D$5)/7)&lt;$A$21,$B$21,$D$10),0)))</x:f>
        <x:v>0</x:v>
      </x:c>
      <x:c r="U253" s="116" t="n">
        <x:f>IF($L253&lt;$D$5,"",IF($L253=$D$5,$J$10+$N253-IF($M253,IF(INT(($L253-$D$5)/7)&lt;$A$22,$B$22,$D$10),0),U252+$N253-IF($M253,IF(INT(($L253-$D$5)/7)&lt;$A$22,$B$22,$D$10),0)))</x:f>
        <x:v>0</x:v>
      </x:c>
      <x:c r="V253" s="116" t="n">
        <x:f>IF($L253&lt;$D$5,"",IF($L253=$D$5,$J$10+$N253-IF($M253,IF(INT(($L253-$D$5)/7)&lt;$A$23,$B$23,$D$10),0),V252+$N253-IF($M253,IF(INT(($L253-$D$5)/7)&lt;$A$23,$B$23,$D$10),0)))</x:f>
        <x:v>0</x:v>
      </x:c>
      <x:c r="W253" s="116" t="n">
        <x:f>IF($L253&lt;$D$5,"",IF($L253=$D$5,$J$10+$N253-IF($M253,IF(INT(($L253-$D$5)/7)&lt;$A$24,$B$24,$D$10),0),W252+$N253-IF($M253,IF(INT(($L253-$D$5)/7)&lt;$A$24,$B$24,$D$10),0)))</x:f>
        <x:v>0</x:v>
      </x:c>
      <x:c r="X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Y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Z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A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B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C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D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E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F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G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H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I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J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K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L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M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N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O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P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Q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R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S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T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U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V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W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X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Y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AZ253" s="116"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c r="BA253" s="117" t="n">
        <x:f>IF(OR(INDEX('1 Budget annuel'!$A$14:$A$43,COLUMN()-COLUMN($X$42)+1)&lt;&gt;"Oui",INDEX('1 Budget annuel'!$L$14:$L$43,COLUMN()-COLUMN($X$42)+1)="",AND(INDEX('1 Budget annuel'!$B$14:$B$43,COLUMN()-COLUMN($X$42)+1)="Sortie",INDEX('1 Budget annuel'!$M$14:$M$43,COLUMN()-COLUMN($X$42)+1)="Oui"),$L253&lt;INDEX('1 Budget annuel'!$L$14:$L$43,COLUMN()-COLUMN($X$42)+1),$L253&gt;$D$5+363),0,IF(OR(AND(INDEX('1 Budget annuel'!$E$14:$E$43,COLUMN()-COLUMN($X$42)+1)="Hebdomadaire",MOD($L253-INDEX('1 Budget annuel'!$L$14:$L$43,COLUMN()-COLUMN($X$42)+1),7)=0),AND(INDEX('1 Budget annuel'!$E$14:$E$43,COLUMN()-COLUMN($X$42)+1)="Toutes les 4 semaines",MOD($L253-INDEX('1 Budget annuel'!$L$14:$L$43,COLUMN()-COLUMN($X$42)+1),28)=0),AND(INDEX('1 Budget annuel'!$E$14:$E$43,COLUMN()-COLUMN($X$42)+1)="Mensuelle",DAY($L253)=MIN(DAY(INDEX('1 Budget annuel'!$L$14:$L$43,COLUMN()-COLUMN($X$42)+1)),DAY(EOMONTH($L253,0)))),AND(INDEX('1 Budget annuel'!$E$14:$E$43,COLUMN()-COLUMN($X$42)+1)="Trimestrielle",MOD((YEAR($L253)-YEAR(INDEX('1 Budget annuel'!$L$14:$L$43,COLUMN()-COLUMN($X$42)+1)))*12+MONTH($L253)-MONTH(INDEX('1 Budget annuel'!$L$14:$L$43,COLUMN()-COLUMN($X$42)+1)),3)=0,DAY($L253)=MIN(DAY(INDEX('1 Budget annuel'!$L$14:$L$43,COLUMN()-COLUMN($X$42)+1)),DAY(EOMONTH($L253,0)))),AND(INDEX('1 Budget annuel'!$E$14:$E$43,COLUMN()-COLUMN($X$42)+1)="Semestrielle",MOD((YEAR($L253)-YEAR(INDEX('1 Budget annuel'!$L$14:$L$43,COLUMN()-COLUMN($X$42)+1)))*12+MONTH($L253)-MONTH(INDEX('1 Budget annuel'!$L$14:$L$43,COLUMN()-COLUMN($X$42)+1)),6)=0,DAY($L253)=MIN(DAY(INDEX('1 Budget annuel'!$L$14:$L$43,COLUMN()-COLUMN($X$42)+1)),DAY(EOMONTH($L253,0)))),AND(INDEX('1 Budget annuel'!$E$14:$E$43,COLUMN()-COLUMN($X$42)+1)="Annuelle",MOD((YEAR($L253)-YEAR(INDEX('1 Budget annuel'!$L$14:$L$43,COLUMN()-COLUMN($X$42)+1)))*12+MONTH($L253)-MONTH(INDEX('1 Budget annuel'!$L$14:$L$43,COLUMN()-COLUMN($X$42)+1)),12)=0,DAY($L253)=MIN(DAY(INDEX('1 Budget annuel'!$L$14:$L$43,COLUMN()-COLUMN($X$42)+1)),DAY(EOMONTH($L253,0))))),IF(INDEX('1 Budget annuel'!$B$14:$B$43,COLUMN()-COLUMN($X$42)+1)="Entrée",INDEX('1 Budget annuel'!$I$14:$I$43,COLUMN()-COLUMN($X$42)+1),-INDEX('1 Budget annuel'!$I$14:$I$43,COLUMN()-COLUMN($X$42)+1)),0))</x:f>
        <x:v>0</x:v>
      </x:c>
    </x:row>
    <x:row r="254">
      <x:c r="L254" s="114" t="n">
        <x:f>L253+1</x:f>
        <x:v>46448</x:v>
      </x:c>
      <x:c r="M254" s="115" t="b">
        <x:f>AND(L254&gt;=$D$5,L254&lt;=$D$5+363,MOD(L254-$D$5,7)=0)</x:f>
        <x:v>0</x:v>
      </x:c>
      <x:c r="N254" s="116" t="n">
        <x:f>SUM(X254:BA254)</x:f>
        <x:v>0</x:v>
      </x:c>
      <x:c r="O254" s="116" t="n">
        <x:f>IF(M254,$D$10,0)</x:f>
        <x:v>0</x:v>
      </x:c>
      <x:c r="P254" s="116" t="n">
        <x:f>N254-O254</x:f>
        <x:v>0</x:v>
      </x:c>
      <x:c r="Q254" s="116" t="n">
        <x:f>IF(L254&lt;$D$5,0,IF(L254=$D$5,P254,Q253+P254))</x:f>
        <x:v>0</x:v>
      </x:c>
      <x:c r="R254" s="116" t="n">
        <x:f>IF(L254&lt;$D$5,"",$J$10+Q254)</x:f>
        <x:v>0</x:v>
      </x:c>
      <x:c r="S254" s="116" t="n">
        <x:f>IF($L254&lt;$D$5,"",IF($L254=$D$5,$J$10+$N254-IF($M254,IF(INT(($L254-$D$5)/7)&lt;$A$20,$B$20,$D$10),0),S253+$N254-IF($M254,IF(INT(($L254-$D$5)/7)&lt;$A$20,$B$20,$D$10),0)))</x:f>
        <x:v>0</x:v>
      </x:c>
      <x:c r="T254" s="116" t="n">
        <x:f>IF($L254&lt;$D$5,"",IF($L254=$D$5,$J$10+$N254-IF($M254,IF(INT(($L254-$D$5)/7)&lt;$A$21,$B$21,$D$10),0),T253+$N254-IF($M254,IF(INT(($L254-$D$5)/7)&lt;$A$21,$B$21,$D$10),0)))</x:f>
        <x:v>0</x:v>
      </x:c>
      <x:c r="U254" s="116" t="n">
        <x:f>IF($L254&lt;$D$5,"",IF($L254=$D$5,$J$10+$N254-IF($M254,IF(INT(($L254-$D$5)/7)&lt;$A$22,$B$22,$D$10),0),U253+$N254-IF($M254,IF(INT(($L254-$D$5)/7)&lt;$A$22,$B$22,$D$10),0)))</x:f>
        <x:v>0</x:v>
      </x:c>
      <x:c r="V254" s="116" t="n">
        <x:f>IF($L254&lt;$D$5,"",IF($L254=$D$5,$J$10+$N254-IF($M254,IF(INT(($L254-$D$5)/7)&lt;$A$23,$B$23,$D$10),0),V253+$N254-IF($M254,IF(INT(($L254-$D$5)/7)&lt;$A$23,$B$23,$D$10),0)))</x:f>
        <x:v>0</x:v>
      </x:c>
      <x:c r="W254" s="116" t="n">
        <x:f>IF($L254&lt;$D$5,"",IF($L254=$D$5,$J$10+$N254-IF($M254,IF(INT(($L254-$D$5)/7)&lt;$A$24,$B$24,$D$10),0),W253+$N254-IF($M254,IF(INT(($L254-$D$5)/7)&lt;$A$24,$B$24,$D$10),0)))</x:f>
        <x:v>0</x:v>
      </x:c>
      <x:c r="X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Y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Z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A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B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C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D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E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F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G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H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I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J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K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L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M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N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O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P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Q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R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S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T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U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V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W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X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Y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AZ254" s="116"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c r="BA254" s="117" t="n">
        <x:f>IF(OR(INDEX('1 Budget annuel'!$A$14:$A$43,COLUMN()-COLUMN($X$42)+1)&lt;&gt;"Oui",INDEX('1 Budget annuel'!$L$14:$L$43,COLUMN()-COLUMN($X$42)+1)="",AND(INDEX('1 Budget annuel'!$B$14:$B$43,COLUMN()-COLUMN($X$42)+1)="Sortie",INDEX('1 Budget annuel'!$M$14:$M$43,COLUMN()-COLUMN($X$42)+1)="Oui"),$L254&lt;INDEX('1 Budget annuel'!$L$14:$L$43,COLUMN()-COLUMN($X$42)+1),$L254&gt;$D$5+363),0,IF(OR(AND(INDEX('1 Budget annuel'!$E$14:$E$43,COLUMN()-COLUMN($X$42)+1)="Hebdomadaire",MOD($L254-INDEX('1 Budget annuel'!$L$14:$L$43,COLUMN()-COLUMN($X$42)+1),7)=0),AND(INDEX('1 Budget annuel'!$E$14:$E$43,COLUMN()-COLUMN($X$42)+1)="Toutes les 4 semaines",MOD($L254-INDEX('1 Budget annuel'!$L$14:$L$43,COLUMN()-COLUMN($X$42)+1),28)=0),AND(INDEX('1 Budget annuel'!$E$14:$E$43,COLUMN()-COLUMN($X$42)+1)="Mensuelle",DAY($L254)=MIN(DAY(INDEX('1 Budget annuel'!$L$14:$L$43,COLUMN()-COLUMN($X$42)+1)),DAY(EOMONTH($L254,0)))),AND(INDEX('1 Budget annuel'!$E$14:$E$43,COLUMN()-COLUMN($X$42)+1)="Trimestrielle",MOD((YEAR($L254)-YEAR(INDEX('1 Budget annuel'!$L$14:$L$43,COLUMN()-COLUMN($X$42)+1)))*12+MONTH($L254)-MONTH(INDEX('1 Budget annuel'!$L$14:$L$43,COLUMN()-COLUMN($X$42)+1)),3)=0,DAY($L254)=MIN(DAY(INDEX('1 Budget annuel'!$L$14:$L$43,COLUMN()-COLUMN($X$42)+1)),DAY(EOMONTH($L254,0)))),AND(INDEX('1 Budget annuel'!$E$14:$E$43,COLUMN()-COLUMN($X$42)+1)="Semestrielle",MOD((YEAR($L254)-YEAR(INDEX('1 Budget annuel'!$L$14:$L$43,COLUMN()-COLUMN($X$42)+1)))*12+MONTH($L254)-MONTH(INDEX('1 Budget annuel'!$L$14:$L$43,COLUMN()-COLUMN($X$42)+1)),6)=0,DAY($L254)=MIN(DAY(INDEX('1 Budget annuel'!$L$14:$L$43,COLUMN()-COLUMN($X$42)+1)),DAY(EOMONTH($L254,0)))),AND(INDEX('1 Budget annuel'!$E$14:$E$43,COLUMN()-COLUMN($X$42)+1)="Annuelle",MOD((YEAR($L254)-YEAR(INDEX('1 Budget annuel'!$L$14:$L$43,COLUMN()-COLUMN($X$42)+1)))*12+MONTH($L254)-MONTH(INDEX('1 Budget annuel'!$L$14:$L$43,COLUMN()-COLUMN($X$42)+1)),12)=0,DAY($L254)=MIN(DAY(INDEX('1 Budget annuel'!$L$14:$L$43,COLUMN()-COLUMN($X$42)+1)),DAY(EOMONTH($L254,0))))),IF(INDEX('1 Budget annuel'!$B$14:$B$43,COLUMN()-COLUMN($X$42)+1)="Entrée",INDEX('1 Budget annuel'!$I$14:$I$43,COLUMN()-COLUMN($X$42)+1),-INDEX('1 Budget annuel'!$I$14:$I$43,COLUMN()-COLUMN($X$42)+1)),0))</x:f>
        <x:v>0</x:v>
      </x:c>
    </x:row>
    <x:row r="255">
      <x:c r="L255" s="114" t="n">
        <x:f>L254+1</x:f>
        <x:v>46449</x:v>
      </x:c>
      <x:c r="M255" s="115" t="b">
        <x:f>AND(L255&gt;=$D$5,L255&lt;=$D$5+363,MOD(L255-$D$5,7)=0)</x:f>
        <x:v>0</x:v>
      </x:c>
      <x:c r="N255" s="116" t="n">
        <x:f>SUM(X255:BA255)</x:f>
        <x:v>0</x:v>
      </x:c>
      <x:c r="O255" s="116" t="n">
        <x:f>IF(M255,$D$10,0)</x:f>
        <x:v>0</x:v>
      </x:c>
      <x:c r="P255" s="116" t="n">
        <x:f>N255-O255</x:f>
        <x:v>0</x:v>
      </x:c>
      <x:c r="Q255" s="116" t="n">
        <x:f>IF(L255&lt;$D$5,0,IF(L255=$D$5,P255,Q254+P255))</x:f>
        <x:v>0</x:v>
      </x:c>
      <x:c r="R255" s="116" t="n">
        <x:f>IF(L255&lt;$D$5,"",$J$10+Q255)</x:f>
        <x:v>0</x:v>
      </x:c>
      <x:c r="S255" s="116" t="n">
        <x:f>IF($L255&lt;$D$5,"",IF($L255=$D$5,$J$10+$N255-IF($M255,IF(INT(($L255-$D$5)/7)&lt;$A$20,$B$20,$D$10),0),S254+$N255-IF($M255,IF(INT(($L255-$D$5)/7)&lt;$A$20,$B$20,$D$10),0)))</x:f>
        <x:v>0</x:v>
      </x:c>
      <x:c r="T255" s="116" t="n">
        <x:f>IF($L255&lt;$D$5,"",IF($L255=$D$5,$J$10+$N255-IF($M255,IF(INT(($L255-$D$5)/7)&lt;$A$21,$B$21,$D$10),0),T254+$N255-IF($M255,IF(INT(($L255-$D$5)/7)&lt;$A$21,$B$21,$D$10),0)))</x:f>
        <x:v>0</x:v>
      </x:c>
      <x:c r="U255" s="116" t="n">
        <x:f>IF($L255&lt;$D$5,"",IF($L255=$D$5,$J$10+$N255-IF($M255,IF(INT(($L255-$D$5)/7)&lt;$A$22,$B$22,$D$10),0),U254+$N255-IF($M255,IF(INT(($L255-$D$5)/7)&lt;$A$22,$B$22,$D$10),0)))</x:f>
        <x:v>0</x:v>
      </x:c>
      <x:c r="V255" s="116" t="n">
        <x:f>IF($L255&lt;$D$5,"",IF($L255=$D$5,$J$10+$N255-IF($M255,IF(INT(($L255-$D$5)/7)&lt;$A$23,$B$23,$D$10),0),V254+$N255-IF($M255,IF(INT(($L255-$D$5)/7)&lt;$A$23,$B$23,$D$10),0)))</x:f>
        <x:v>0</x:v>
      </x:c>
      <x:c r="W255" s="116" t="n">
        <x:f>IF($L255&lt;$D$5,"",IF($L255=$D$5,$J$10+$N255-IF($M255,IF(INT(($L255-$D$5)/7)&lt;$A$24,$B$24,$D$10),0),W254+$N255-IF($M255,IF(INT(($L255-$D$5)/7)&lt;$A$24,$B$24,$D$10),0)))</x:f>
        <x:v>0</x:v>
      </x:c>
      <x:c r="X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Y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Z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A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B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C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D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E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F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G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H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I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J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K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L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M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N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O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P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Q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R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S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T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U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V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W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X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Y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AZ255" s="116"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c r="BA255" s="117" t="n">
        <x:f>IF(OR(INDEX('1 Budget annuel'!$A$14:$A$43,COLUMN()-COLUMN($X$42)+1)&lt;&gt;"Oui",INDEX('1 Budget annuel'!$L$14:$L$43,COLUMN()-COLUMN($X$42)+1)="",AND(INDEX('1 Budget annuel'!$B$14:$B$43,COLUMN()-COLUMN($X$42)+1)="Sortie",INDEX('1 Budget annuel'!$M$14:$M$43,COLUMN()-COLUMN($X$42)+1)="Oui"),$L255&lt;INDEX('1 Budget annuel'!$L$14:$L$43,COLUMN()-COLUMN($X$42)+1),$L255&gt;$D$5+363),0,IF(OR(AND(INDEX('1 Budget annuel'!$E$14:$E$43,COLUMN()-COLUMN($X$42)+1)="Hebdomadaire",MOD($L255-INDEX('1 Budget annuel'!$L$14:$L$43,COLUMN()-COLUMN($X$42)+1),7)=0),AND(INDEX('1 Budget annuel'!$E$14:$E$43,COLUMN()-COLUMN($X$42)+1)="Toutes les 4 semaines",MOD($L255-INDEX('1 Budget annuel'!$L$14:$L$43,COLUMN()-COLUMN($X$42)+1),28)=0),AND(INDEX('1 Budget annuel'!$E$14:$E$43,COLUMN()-COLUMN($X$42)+1)="Mensuelle",DAY($L255)=MIN(DAY(INDEX('1 Budget annuel'!$L$14:$L$43,COLUMN()-COLUMN($X$42)+1)),DAY(EOMONTH($L255,0)))),AND(INDEX('1 Budget annuel'!$E$14:$E$43,COLUMN()-COLUMN($X$42)+1)="Trimestrielle",MOD((YEAR($L255)-YEAR(INDEX('1 Budget annuel'!$L$14:$L$43,COLUMN()-COLUMN($X$42)+1)))*12+MONTH($L255)-MONTH(INDEX('1 Budget annuel'!$L$14:$L$43,COLUMN()-COLUMN($X$42)+1)),3)=0,DAY($L255)=MIN(DAY(INDEX('1 Budget annuel'!$L$14:$L$43,COLUMN()-COLUMN($X$42)+1)),DAY(EOMONTH($L255,0)))),AND(INDEX('1 Budget annuel'!$E$14:$E$43,COLUMN()-COLUMN($X$42)+1)="Semestrielle",MOD((YEAR($L255)-YEAR(INDEX('1 Budget annuel'!$L$14:$L$43,COLUMN()-COLUMN($X$42)+1)))*12+MONTH($L255)-MONTH(INDEX('1 Budget annuel'!$L$14:$L$43,COLUMN()-COLUMN($X$42)+1)),6)=0,DAY($L255)=MIN(DAY(INDEX('1 Budget annuel'!$L$14:$L$43,COLUMN()-COLUMN($X$42)+1)),DAY(EOMONTH($L255,0)))),AND(INDEX('1 Budget annuel'!$E$14:$E$43,COLUMN()-COLUMN($X$42)+1)="Annuelle",MOD((YEAR($L255)-YEAR(INDEX('1 Budget annuel'!$L$14:$L$43,COLUMN()-COLUMN($X$42)+1)))*12+MONTH($L255)-MONTH(INDEX('1 Budget annuel'!$L$14:$L$43,COLUMN()-COLUMN($X$42)+1)),12)=0,DAY($L255)=MIN(DAY(INDEX('1 Budget annuel'!$L$14:$L$43,COLUMN()-COLUMN($X$42)+1)),DAY(EOMONTH($L255,0))))),IF(INDEX('1 Budget annuel'!$B$14:$B$43,COLUMN()-COLUMN($X$42)+1)="Entrée",INDEX('1 Budget annuel'!$I$14:$I$43,COLUMN()-COLUMN($X$42)+1),-INDEX('1 Budget annuel'!$I$14:$I$43,COLUMN()-COLUMN($X$42)+1)),0))</x:f>
        <x:v>0</x:v>
      </x:c>
    </x:row>
    <x:row r="256">
      <x:c r="L256" s="114" t="n">
        <x:f>L255+1</x:f>
        <x:v>46450</x:v>
      </x:c>
      <x:c r="M256" s="115" t="b">
        <x:f>AND(L256&gt;=$D$5,L256&lt;=$D$5+363,MOD(L256-$D$5,7)=0)</x:f>
        <x:v>0</x:v>
      </x:c>
      <x:c r="N256" s="116" t="n">
        <x:f>SUM(X256:BA256)</x:f>
        <x:v>0</x:v>
      </x:c>
      <x:c r="O256" s="116" t="n">
        <x:f>IF(M256,$D$10,0)</x:f>
        <x:v>0</x:v>
      </x:c>
      <x:c r="P256" s="116" t="n">
        <x:f>N256-O256</x:f>
        <x:v>0</x:v>
      </x:c>
      <x:c r="Q256" s="116" t="n">
        <x:f>IF(L256&lt;$D$5,0,IF(L256=$D$5,P256,Q255+P256))</x:f>
        <x:v>0</x:v>
      </x:c>
      <x:c r="R256" s="116" t="n">
        <x:f>IF(L256&lt;$D$5,"",$J$10+Q256)</x:f>
        <x:v>0</x:v>
      </x:c>
      <x:c r="S256" s="116" t="n">
        <x:f>IF($L256&lt;$D$5,"",IF($L256=$D$5,$J$10+$N256-IF($M256,IF(INT(($L256-$D$5)/7)&lt;$A$20,$B$20,$D$10),0),S255+$N256-IF($M256,IF(INT(($L256-$D$5)/7)&lt;$A$20,$B$20,$D$10),0)))</x:f>
        <x:v>0</x:v>
      </x:c>
      <x:c r="T256" s="116" t="n">
        <x:f>IF($L256&lt;$D$5,"",IF($L256=$D$5,$J$10+$N256-IF($M256,IF(INT(($L256-$D$5)/7)&lt;$A$21,$B$21,$D$10),0),T255+$N256-IF($M256,IF(INT(($L256-$D$5)/7)&lt;$A$21,$B$21,$D$10),0)))</x:f>
        <x:v>0</x:v>
      </x:c>
      <x:c r="U256" s="116" t="n">
        <x:f>IF($L256&lt;$D$5,"",IF($L256=$D$5,$J$10+$N256-IF($M256,IF(INT(($L256-$D$5)/7)&lt;$A$22,$B$22,$D$10),0),U255+$N256-IF($M256,IF(INT(($L256-$D$5)/7)&lt;$A$22,$B$22,$D$10),0)))</x:f>
        <x:v>0</x:v>
      </x:c>
      <x:c r="V256" s="116" t="n">
        <x:f>IF($L256&lt;$D$5,"",IF($L256=$D$5,$J$10+$N256-IF($M256,IF(INT(($L256-$D$5)/7)&lt;$A$23,$B$23,$D$10),0),V255+$N256-IF($M256,IF(INT(($L256-$D$5)/7)&lt;$A$23,$B$23,$D$10),0)))</x:f>
        <x:v>0</x:v>
      </x:c>
      <x:c r="W256" s="116" t="n">
        <x:f>IF($L256&lt;$D$5,"",IF($L256=$D$5,$J$10+$N256-IF($M256,IF(INT(($L256-$D$5)/7)&lt;$A$24,$B$24,$D$10),0),W255+$N256-IF($M256,IF(INT(($L256-$D$5)/7)&lt;$A$24,$B$24,$D$10),0)))</x:f>
        <x:v>0</x:v>
      </x:c>
      <x:c r="X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Y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Z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A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B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C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D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E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F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G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H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I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J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K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L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M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N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O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P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Q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R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S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T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U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V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W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X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Y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AZ256" s="116"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c r="BA256" s="117" t="n">
        <x:f>IF(OR(INDEX('1 Budget annuel'!$A$14:$A$43,COLUMN()-COLUMN($X$42)+1)&lt;&gt;"Oui",INDEX('1 Budget annuel'!$L$14:$L$43,COLUMN()-COLUMN($X$42)+1)="",AND(INDEX('1 Budget annuel'!$B$14:$B$43,COLUMN()-COLUMN($X$42)+1)="Sortie",INDEX('1 Budget annuel'!$M$14:$M$43,COLUMN()-COLUMN($X$42)+1)="Oui"),$L256&lt;INDEX('1 Budget annuel'!$L$14:$L$43,COLUMN()-COLUMN($X$42)+1),$L256&gt;$D$5+363),0,IF(OR(AND(INDEX('1 Budget annuel'!$E$14:$E$43,COLUMN()-COLUMN($X$42)+1)="Hebdomadaire",MOD($L256-INDEX('1 Budget annuel'!$L$14:$L$43,COLUMN()-COLUMN($X$42)+1),7)=0),AND(INDEX('1 Budget annuel'!$E$14:$E$43,COLUMN()-COLUMN($X$42)+1)="Toutes les 4 semaines",MOD($L256-INDEX('1 Budget annuel'!$L$14:$L$43,COLUMN()-COLUMN($X$42)+1),28)=0),AND(INDEX('1 Budget annuel'!$E$14:$E$43,COLUMN()-COLUMN($X$42)+1)="Mensuelle",DAY($L256)=MIN(DAY(INDEX('1 Budget annuel'!$L$14:$L$43,COLUMN()-COLUMN($X$42)+1)),DAY(EOMONTH($L256,0)))),AND(INDEX('1 Budget annuel'!$E$14:$E$43,COLUMN()-COLUMN($X$42)+1)="Trimestrielle",MOD((YEAR($L256)-YEAR(INDEX('1 Budget annuel'!$L$14:$L$43,COLUMN()-COLUMN($X$42)+1)))*12+MONTH($L256)-MONTH(INDEX('1 Budget annuel'!$L$14:$L$43,COLUMN()-COLUMN($X$42)+1)),3)=0,DAY($L256)=MIN(DAY(INDEX('1 Budget annuel'!$L$14:$L$43,COLUMN()-COLUMN($X$42)+1)),DAY(EOMONTH($L256,0)))),AND(INDEX('1 Budget annuel'!$E$14:$E$43,COLUMN()-COLUMN($X$42)+1)="Semestrielle",MOD((YEAR($L256)-YEAR(INDEX('1 Budget annuel'!$L$14:$L$43,COLUMN()-COLUMN($X$42)+1)))*12+MONTH($L256)-MONTH(INDEX('1 Budget annuel'!$L$14:$L$43,COLUMN()-COLUMN($X$42)+1)),6)=0,DAY($L256)=MIN(DAY(INDEX('1 Budget annuel'!$L$14:$L$43,COLUMN()-COLUMN($X$42)+1)),DAY(EOMONTH($L256,0)))),AND(INDEX('1 Budget annuel'!$E$14:$E$43,COLUMN()-COLUMN($X$42)+1)="Annuelle",MOD((YEAR($L256)-YEAR(INDEX('1 Budget annuel'!$L$14:$L$43,COLUMN()-COLUMN($X$42)+1)))*12+MONTH($L256)-MONTH(INDEX('1 Budget annuel'!$L$14:$L$43,COLUMN()-COLUMN($X$42)+1)),12)=0,DAY($L256)=MIN(DAY(INDEX('1 Budget annuel'!$L$14:$L$43,COLUMN()-COLUMN($X$42)+1)),DAY(EOMONTH($L256,0))))),IF(INDEX('1 Budget annuel'!$B$14:$B$43,COLUMN()-COLUMN($X$42)+1)="Entrée",INDEX('1 Budget annuel'!$I$14:$I$43,COLUMN()-COLUMN($X$42)+1),-INDEX('1 Budget annuel'!$I$14:$I$43,COLUMN()-COLUMN($X$42)+1)),0))</x:f>
        <x:v>0</x:v>
      </x:c>
    </x:row>
    <x:row r="257">
      <x:c r="L257" s="114" t="n">
        <x:f>L256+1</x:f>
        <x:v>46451</x:v>
      </x:c>
      <x:c r="M257" s="115" t="b">
        <x:f>AND(L257&gt;=$D$5,L257&lt;=$D$5+363,MOD(L257-$D$5,7)=0)</x:f>
        <x:v>0</x:v>
      </x:c>
      <x:c r="N257" s="116" t="n">
        <x:f>SUM(X257:BA257)</x:f>
        <x:v>0</x:v>
      </x:c>
      <x:c r="O257" s="116" t="n">
        <x:f>IF(M257,$D$10,0)</x:f>
        <x:v>0</x:v>
      </x:c>
      <x:c r="P257" s="116" t="n">
        <x:f>N257-O257</x:f>
        <x:v>0</x:v>
      </x:c>
      <x:c r="Q257" s="116" t="n">
        <x:f>IF(L257&lt;$D$5,0,IF(L257=$D$5,P257,Q256+P257))</x:f>
        <x:v>0</x:v>
      </x:c>
      <x:c r="R257" s="116" t="n">
        <x:f>IF(L257&lt;$D$5,"",$J$10+Q257)</x:f>
        <x:v>0</x:v>
      </x:c>
      <x:c r="S257" s="116" t="n">
        <x:f>IF($L257&lt;$D$5,"",IF($L257=$D$5,$J$10+$N257-IF($M257,IF(INT(($L257-$D$5)/7)&lt;$A$20,$B$20,$D$10),0),S256+$N257-IF($M257,IF(INT(($L257-$D$5)/7)&lt;$A$20,$B$20,$D$10),0)))</x:f>
        <x:v>0</x:v>
      </x:c>
      <x:c r="T257" s="116" t="n">
        <x:f>IF($L257&lt;$D$5,"",IF($L257=$D$5,$J$10+$N257-IF($M257,IF(INT(($L257-$D$5)/7)&lt;$A$21,$B$21,$D$10),0),T256+$N257-IF($M257,IF(INT(($L257-$D$5)/7)&lt;$A$21,$B$21,$D$10),0)))</x:f>
        <x:v>0</x:v>
      </x:c>
      <x:c r="U257" s="116" t="n">
        <x:f>IF($L257&lt;$D$5,"",IF($L257=$D$5,$J$10+$N257-IF($M257,IF(INT(($L257-$D$5)/7)&lt;$A$22,$B$22,$D$10),0),U256+$N257-IF($M257,IF(INT(($L257-$D$5)/7)&lt;$A$22,$B$22,$D$10),0)))</x:f>
        <x:v>0</x:v>
      </x:c>
      <x:c r="V257" s="116" t="n">
        <x:f>IF($L257&lt;$D$5,"",IF($L257=$D$5,$J$10+$N257-IF($M257,IF(INT(($L257-$D$5)/7)&lt;$A$23,$B$23,$D$10),0),V256+$N257-IF($M257,IF(INT(($L257-$D$5)/7)&lt;$A$23,$B$23,$D$10),0)))</x:f>
        <x:v>0</x:v>
      </x:c>
      <x:c r="W257" s="116" t="n">
        <x:f>IF($L257&lt;$D$5,"",IF($L257=$D$5,$J$10+$N257-IF($M257,IF(INT(($L257-$D$5)/7)&lt;$A$24,$B$24,$D$10),0),W256+$N257-IF($M257,IF(INT(($L257-$D$5)/7)&lt;$A$24,$B$24,$D$10),0)))</x:f>
        <x:v>0</x:v>
      </x:c>
      <x:c r="X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Y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Z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A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B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C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D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E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F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G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H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I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J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K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L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M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N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O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P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Q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R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S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T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U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V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W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X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Y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AZ257" s="116"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c r="BA257" s="117" t="n">
        <x:f>IF(OR(INDEX('1 Budget annuel'!$A$14:$A$43,COLUMN()-COLUMN($X$42)+1)&lt;&gt;"Oui",INDEX('1 Budget annuel'!$L$14:$L$43,COLUMN()-COLUMN($X$42)+1)="",AND(INDEX('1 Budget annuel'!$B$14:$B$43,COLUMN()-COLUMN($X$42)+1)="Sortie",INDEX('1 Budget annuel'!$M$14:$M$43,COLUMN()-COLUMN($X$42)+1)="Oui"),$L257&lt;INDEX('1 Budget annuel'!$L$14:$L$43,COLUMN()-COLUMN($X$42)+1),$L257&gt;$D$5+363),0,IF(OR(AND(INDEX('1 Budget annuel'!$E$14:$E$43,COLUMN()-COLUMN($X$42)+1)="Hebdomadaire",MOD($L257-INDEX('1 Budget annuel'!$L$14:$L$43,COLUMN()-COLUMN($X$42)+1),7)=0),AND(INDEX('1 Budget annuel'!$E$14:$E$43,COLUMN()-COLUMN($X$42)+1)="Toutes les 4 semaines",MOD($L257-INDEX('1 Budget annuel'!$L$14:$L$43,COLUMN()-COLUMN($X$42)+1),28)=0),AND(INDEX('1 Budget annuel'!$E$14:$E$43,COLUMN()-COLUMN($X$42)+1)="Mensuelle",DAY($L257)=MIN(DAY(INDEX('1 Budget annuel'!$L$14:$L$43,COLUMN()-COLUMN($X$42)+1)),DAY(EOMONTH($L257,0)))),AND(INDEX('1 Budget annuel'!$E$14:$E$43,COLUMN()-COLUMN($X$42)+1)="Trimestrielle",MOD((YEAR($L257)-YEAR(INDEX('1 Budget annuel'!$L$14:$L$43,COLUMN()-COLUMN($X$42)+1)))*12+MONTH($L257)-MONTH(INDEX('1 Budget annuel'!$L$14:$L$43,COLUMN()-COLUMN($X$42)+1)),3)=0,DAY($L257)=MIN(DAY(INDEX('1 Budget annuel'!$L$14:$L$43,COLUMN()-COLUMN($X$42)+1)),DAY(EOMONTH($L257,0)))),AND(INDEX('1 Budget annuel'!$E$14:$E$43,COLUMN()-COLUMN($X$42)+1)="Semestrielle",MOD((YEAR($L257)-YEAR(INDEX('1 Budget annuel'!$L$14:$L$43,COLUMN()-COLUMN($X$42)+1)))*12+MONTH($L257)-MONTH(INDEX('1 Budget annuel'!$L$14:$L$43,COLUMN()-COLUMN($X$42)+1)),6)=0,DAY($L257)=MIN(DAY(INDEX('1 Budget annuel'!$L$14:$L$43,COLUMN()-COLUMN($X$42)+1)),DAY(EOMONTH($L257,0)))),AND(INDEX('1 Budget annuel'!$E$14:$E$43,COLUMN()-COLUMN($X$42)+1)="Annuelle",MOD((YEAR($L257)-YEAR(INDEX('1 Budget annuel'!$L$14:$L$43,COLUMN()-COLUMN($X$42)+1)))*12+MONTH($L257)-MONTH(INDEX('1 Budget annuel'!$L$14:$L$43,COLUMN()-COLUMN($X$42)+1)),12)=0,DAY($L257)=MIN(DAY(INDEX('1 Budget annuel'!$L$14:$L$43,COLUMN()-COLUMN($X$42)+1)),DAY(EOMONTH($L257,0))))),IF(INDEX('1 Budget annuel'!$B$14:$B$43,COLUMN()-COLUMN($X$42)+1)="Entrée",INDEX('1 Budget annuel'!$I$14:$I$43,COLUMN()-COLUMN($X$42)+1),-INDEX('1 Budget annuel'!$I$14:$I$43,COLUMN()-COLUMN($X$42)+1)),0))</x:f>
        <x:v>0</x:v>
      </x:c>
    </x:row>
    <x:row r="258">
      <x:c r="L258" s="114" t="n">
        <x:f>L257+1</x:f>
        <x:v>46452</x:v>
      </x:c>
      <x:c r="M258" s="115" t="b">
        <x:f>AND(L258&gt;=$D$5,L258&lt;=$D$5+363,MOD(L258-$D$5,7)=0)</x:f>
        <x:v>1</x:v>
      </x:c>
      <x:c r="N258" s="116" t="n">
        <x:f>SUM(X258:BA258)</x:f>
        <x:v>0</x:v>
      </x:c>
      <x:c r="O258" s="116" t="n">
        <x:f>IF(M258,$D$10,0)</x:f>
        <x:v>0</x:v>
      </x:c>
      <x:c r="P258" s="116" t="n">
        <x:f>N258-O258</x:f>
        <x:v>0</x:v>
      </x:c>
      <x:c r="Q258" s="116" t="n">
        <x:f>IF(L258&lt;$D$5,0,IF(L258=$D$5,P258,Q257+P258))</x:f>
        <x:v>0</x:v>
      </x:c>
      <x:c r="R258" s="116" t="n">
        <x:f>IF(L258&lt;$D$5,"",$J$10+Q258)</x:f>
        <x:v>0</x:v>
      </x:c>
      <x:c r="S258" s="116" t="n">
        <x:f>IF($L258&lt;$D$5,"",IF($L258=$D$5,$J$10+$N258-IF($M258,IF(INT(($L258-$D$5)/7)&lt;$A$20,$B$20,$D$10),0),S257+$N258-IF($M258,IF(INT(($L258-$D$5)/7)&lt;$A$20,$B$20,$D$10),0)))</x:f>
        <x:v>0</x:v>
      </x:c>
      <x:c r="T258" s="116" t="n">
        <x:f>IF($L258&lt;$D$5,"",IF($L258=$D$5,$J$10+$N258-IF($M258,IF(INT(($L258-$D$5)/7)&lt;$A$21,$B$21,$D$10),0),T257+$N258-IF($M258,IF(INT(($L258-$D$5)/7)&lt;$A$21,$B$21,$D$10),0)))</x:f>
        <x:v>0</x:v>
      </x:c>
      <x:c r="U258" s="116" t="n">
        <x:f>IF($L258&lt;$D$5,"",IF($L258=$D$5,$J$10+$N258-IF($M258,IF(INT(($L258-$D$5)/7)&lt;$A$22,$B$22,$D$10),0),U257+$N258-IF($M258,IF(INT(($L258-$D$5)/7)&lt;$A$22,$B$22,$D$10),0)))</x:f>
        <x:v>0</x:v>
      </x:c>
      <x:c r="V258" s="116" t="n">
        <x:f>IF($L258&lt;$D$5,"",IF($L258=$D$5,$J$10+$N258-IF($M258,IF(INT(($L258-$D$5)/7)&lt;$A$23,$B$23,$D$10),0),V257+$N258-IF($M258,IF(INT(($L258-$D$5)/7)&lt;$A$23,$B$23,$D$10),0)))</x:f>
        <x:v>0</x:v>
      </x:c>
      <x:c r="W258" s="116" t="n">
        <x:f>IF($L258&lt;$D$5,"",IF($L258=$D$5,$J$10+$N258-IF($M258,IF(INT(($L258-$D$5)/7)&lt;$A$24,$B$24,$D$10),0),W257+$N258-IF($M258,IF(INT(($L258-$D$5)/7)&lt;$A$24,$B$24,$D$10),0)))</x:f>
        <x:v>0</x:v>
      </x:c>
      <x:c r="X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Y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Z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A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B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C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D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E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F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G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H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I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J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K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L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M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N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O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P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Q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R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S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T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U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V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W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X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Y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AZ258" s="116"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c r="BA258" s="117" t="n">
        <x:f>IF(OR(INDEX('1 Budget annuel'!$A$14:$A$43,COLUMN()-COLUMN($X$42)+1)&lt;&gt;"Oui",INDEX('1 Budget annuel'!$L$14:$L$43,COLUMN()-COLUMN($X$42)+1)="",AND(INDEX('1 Budget annuel'!$B$14:$B$43,COLUMN()-COLUMN($X$42)+1)="Sortie",INDEX('1 Budget annuel'!$M$14:$M$43,COLUMN()-COLUMN($X$42)+1)="Oui"),$L258&lt;INDEX('1 Budget annuel'!$L$14:$L$43,COLUMN()-COLUMN($X$42)+1),$L258&gt;$D$5+363),0,IF(OR(AND(INDEX('1 Budget annuel'!$E$14:$E$43,COLUMN()-COLUMN($X$42)+1)="Hebdomadaire",MOD($L258-INDEX('1 Budget annuel'!$L$14:$L$43,COLUMN()-COLUMN($X$42)+1),7)=0),AND(INDEX('1 Budget annuel'!$E$14:$E$43,COLUMN()-COLUMN($X$42)+1)="Toutes les 4 semaines",MOD($L258-INDEX('1 Budget annuel'!$L$14:$L$43,COLUMN()-COLUMN($X$42)+1),28)=0),AND(INDEX('1 Budget annuel'!$E$14:$E$43,COLUMN()-COLUMN($X$42)+1)="Mensuelle",DAY($L258)=MIN(DAY(INDEX('1 Budget annuel'!$L$14:$L$43,COLUMN()-COLUMN($X$42)+1)),DAY(EOMONTH($L258,0)))),AND(INDEX('1 Budget annuel'!$E$14:$E$43,COLUMN()-COLUMN($X$42)+1)="Trimestrielle",MOD((YEAR($L258)-YEAR(INDEX('1 Budget annuel'!$L$14:$L$43,COLUMN()-COLUMN($X$42)+1)))*12+MONTH($L258)-MONTH(INDEX('1 Budget annuel'!$L$14:$L$43,COLUMN()-COLUMN($X$42)+1)),3)=0,DAY($L258)=MIN(DAY(INDEX('1 Budget annuel'!$L$14:$L$43,COLUMN()-COLUMN($X$42)+1)),DAY(EOMONTH($L258,0)))),AND(INDEX('1 Budget annuel'!$E$14:$E$43,COLUMN()-COLUMN($X$42)+1)="Semestrielle",MOD((YEAR($L258)-YEAR(INDEX('1 Budget annuel'!$L$14:$L$43,COLUMN()-COLUMN($X$42)+1)))*12+MONTH($L258)-MONTH(INDEX('1 Budget annuel'!$L$14:$L$43,COLUMN()-COLUMN($X$42)+1)),6)=0,DAY($L258)=MIN(DAY(INDEX('1 Budget annuel'!$L$14:$L$43,COLUMN()-COLUMN($X$42)+1)),DAY(EOMONTH($L258,0)))),AND(INDEX('1 Budget annuel'!$E$14:$E$43,COLUMN()-COLUMN($X$42)+1)="Annuelle",MOD((YEAR($L258)-YEAR(INDEX('1 Budget annuel'!$L$14:$L$43,COLUMN()-COLUMN($X$42)+1)))*12+MONTH($L258)-MONTH(INDEX('1 Budget annuel'!$L$14:$L$43,COLUMN()-COLUMN($X$42)+1)),12)=0,DAY($L258)=MIN(DAY(INDEX('1 Budget annuel'!$L$14:$L$43,COLUMN()-COLUMN($X$42)+1)),DAY(EOMONTH($L258,0))))),IF(INDEX('1 Budget annuel'!$B$14:$B$43,COLUMN()-COLUMN($X$42)+1)="Entrée",INDEX('1 Budget annuel'!$I$14:$I$43,COLUMN()-COLUMN($X$42)+1),-INDEX('1 Budget annuel'!$I$14:$I$43,COLUMN()-COLUMN($X$42)+1)),0))</x:f>
        <x:v>0</x:v>
      </x:c>
    </x:row>
    <x:row r="259">
      <x:c r="L259" s="114" t="n">
        <x:f>L258+1</x:f>
        <x:v>46453</x:v>
      </x:c>
      <x:c r="M259" s="115" t="b">
        <x:f>AND(L259&gt;=$D$5,L259&lt;=$D$5+363,MOD(L259-$D$5,7)=0)</x:f>
        <x:v>0</x:v>
      </x:c>
      <x:c r="N259" s="116" t="n">
        <x:f>SUM(X259:BA259)</x:f>
        <x:v>0</x:v>
      </x:c>
      <x:c r="O259" s="116" t="n">
        <x:f>IF(M259,$D$10,0)</x:f>
        <x:v>0</x:v>
      </x:c>
      <x:c r="P259" s="116" t="n">
        <x:f>N259-O259</x:f>
        <x:v>0</x:v>
      </x:c>
      <x:c r="Q259" s="116" t="n">
        <x:f>IF(L259&lt;$D$5,0,IF(L259=$D$5,P259,Q258+P259))</x:f>
        <x:v>0</x:v>
      </x:c>
      <x:c r="R259" s="116" t="n">
        <x:f>IF(L259&lt;$D$5,"",$J$10+Q259)</x:f>
        <x:v>0</x:v>
      </x:c>
      <x:c r="S259" s="116" t="n">
        <x:f>IF($L259&lt;$D$5,"",IF($L259=$D$5,$J$10+$N259-IF($M259,IF(INT(($L259-$D$5)/7)&lt;$A$20,$B$20,$D$10),0),S258+$N259-IF($M259,IF(INT(($L259-$D$5)/7)&lt;$A$20,$B$20,$D$10),0)))</x:f>
        <x:v>0</x:v>
      </x:c>
      <x:c r="T259" s="116" t="n">
        <x:f>IF($L259&lt;$D$5,"",IF($L259=$D$5,$J$10+$N259-IF($M259,IF(INT(($L259-$D$5)/7)&lt;$A$21,$B$21,$D$10),0),T258+$N259-IF($M259,IF(INT(($L259-$D$5)/7)&lt;$A$21,$B$21,$D$10),0)))</x:f>
        <x:v>0</x:v>
      </x:c>
      <x:c r="U259" s="116" t="n">
        <x:f>IF($L259&lt;$D$5,"",IF($L259=$D$5,$J$10+$N259-IF($M259,IF(INT(($L259-$D$5)/7)&lt;$A$22,$B$22,$D$10),0),U258+$N259-IF($M259,IF(INT(($L259-$D$5)/7)&lt;$A$22,$B$22,$D$10),0)))</x:f>
        <x:v>0</x:v>
      </x:c>
      <x:c r="V259" s="116" t="n">
        <x:f>IF($L259&lt;$D$5,"",IF($L259=$D$5,$J$10+$N259-IF($M259,IF(INT(($L259-$D$5)/7)&lt;$A$23,$B$23,$D$10),0),V258+$N259-IF($M259,IF(INT(($L259-$D$5)/7)&lt;$A$23,$B$23,$D$10),0)))</x:f>
        <x:v>0</x:v>
      </x:c>
      <x:c r="W259" s="116" t="n">
        <x:f>IF($L259&lt;$D$5,"",IF($L259=$D$5,$J$10+$N259-IF($M259,IF(INT(($L259-$D$5)/7)&lt;$A$24,$B$24,$D$10),0),W258+$N259-IF($M259,IF(INT(($L259-$D$5)/7)&lt;$A$24,$B$24,$D$10),0)))</x:f>
        <x:v>0</x:v>
      </x:c>
      <x:c r="X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Y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Z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A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B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C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D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E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F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G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H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I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J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K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L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M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N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O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P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Q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R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S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T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U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V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W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X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Y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AZ259" s="116"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c r="BA259" s="117" t="n">
        <x:f>IF(OR(INDEX('1 Budget annuel'!$A$14:$A$43,COLUMN()-COLUMN($X$42)+1)&lt;&gt;"Oui",INDEX('1 Budget annuel'!$L$14:$L$43,COLUMN()-COLUMN($X$42)+1)="",AND(INDEX('1 Budget annuel'!$B$14:$B$43,COLUMN()-COLUMN($X$42)+1)="Sortie",INDEX('1 Budget annuel'!$M$14:$M$43,COLUMN()-COLUMN($X$42)+1)="Oui"),$L259&lt;INDEX('1 Budget annuel'!$L$14:$L$43,COLUMN()-COLUMN($X$42)+1),$L259&gt;$D$5+363),0,IF(OR(AND(INDEX('1 Budget annuel'!$E$14:$E$43,COLUMN()-COLUMN($X$42)+1)="Hebdomadaire",MOD($L259-INDEX('1 Budget annuel'!$L$14:$L$43,COLUMN()-COLUMN($X$42)+1),7)=0),AND(INDEX('1 Budget annuel'!$E$14:$E$43,COLUMN()-COLUMN($X$42)+1)="Toutes les 4 semaines",MOD($L259-INDEX('1 Budget annuel'!$L$14:$L$43,COLUMN()-COLUMN($X$42)+1),28)=0),AND(INDEX('1 Budget annuel'!$E$14:$E$43,COLUMN()-COLUMN($X$42)+1)="Mensuelle",DAY($L259)=MIN(DAY(INDEX('1 Budget annuel'!$L$14:$L$43,COLUMN()-COLUMN($X$42)+1)),DAY(EOMONTH($L259,0)))),AND(INDEX('1 Budget annuel'!$E$14:$E$43,COLUMN()-COLUMN($X$42)+1)="Trimestrielle",MOD((YEAR($L259)-YEAR(INDEX('1 Budget annuel'!$L$14:$L$43,COLUMN()-COLUMN($X$42)+1)))*12+MONTH($L259)-MONTH(INDEX('1 Budget annuel'!$L$14:$L$43,COLUMN()-COLUMN($X$42)+1)),3)=0,DAY($L259)=MIN(DAY(INDEX('1 Budget annuel'!$L$14:$L$43,COLUMN()-COLUMN($X$42)+1)),DAY(EOMONTH($L259,0)))),AND(INDEX('1 Budget annuel'!$E$14:$E$43,COLUMN()-COLUMN($X$42)+1)="Semestrielle",MOD((YEAR($L259)-YEAR(INDEX('1 Budget annuel'!$L$14:$L$43,COLUMN()-COLUMN($X$42)+1)))*12+MONTH($L259)-MONTH(INDEX('1 Budget annuel'!$L$14:$L$43,COLUMN()-COLUMN($X$42)+1)),6)=0,DAY($L259)=MIN(DAY(INDEX('1 Budget annuel'!$L$14:$L$43,COLUMN()-COLUMN($X$42)+1)),DAY(EOMONTH($L259,0)))),AND(INDEX('1 Budget annuel'!$E$14:$E$43,COLUMN()-COLUMN($X$42)+1)="Annuelle",MOD((YEAR($L259)-YEAR(INDEX('1 Budget annuel'!$L$14:$L$43,COLUMN()-COLUMN($X$42)+1)))*12+MONTH($L259)-MONTH(INDEX('1 Budget annuel'!$L$14:$L$43,COLUMN()-COLUMN($X$42)+1)),12)=0,DAY($L259)=MIN(DAY(INDEX('1 Budget annuel'!$L$14:$L$43,COLUMN()-COLUMN($X$42)+1)),DAY(EOMONTH($L259,0))))),IF(INDEX('1 Budget annuel'!$B$14:$B$43,COLUMN()-COLUMN($X$42)+1)="Entrée",INDEX('1 Budget annuel'!$I$14:$I$43,COLUMN()-COLUMN($X$42)+1),-INDEX('1 Budget annuel'!$I$14:$I$43,COLUMN()-COLUMN($X$42)+1)),0))</x:f>
        <x:v>0</x:v>
      </x:c>
    </x:row>
    <x:row r="260">
      <x:c r="L260" s="114" t="n">
        <x:f>L259+1</x:f>
        <x:v>46454</x:v>
      </x:c>
      <x:c r="M260" s="115" t="b">
        <x:f>AND(L260&gt;=$D$5,L260&lt;=$D$5+363,MOD(L260-$D$5,7)=0)</x:f>
        <x:v>0</x:v>
      </x:c>
      <x:c r="N260" s="116" t="n">
        <x:f>SUM(X260:BA260)</x:f>
        <x:v>0</x:v>
      </x:c>
      <x:c r="O260" s="116" t="n">
        <x:f>IF(M260,$D$10,0)</x:f>
        <x:v>0</x:v>
      </x:c>
      <x:c r="P260" s="116" t="n">
        <x:f>N260-O260</x:f>
        <x:v>0</x:v>
      </x:c>
      <x:c r="Q260" s="116" t="n">
        <x:f>IF(L260&lt;$D$5,0,IF(L260=$D$5,P260,Q259+P260))</x:f>
        <x:v>0</x:v>
      </x:c>
      <x:c r="R260" s="116" t="n">
        <x:f>IF(L260&lt;$D$5,"",$J$10+Q260)</x:f>
        <x:v>0</x:v>
      </x:c>
      <x:c r="S260" s="116" t="n">
        <x:f>IF($L260&lt;$D$5,"",IF($L260=$D$5,$J$10+$N260-IF($M260,IF(INT(($L260-$D$5)/7)&lt;$A$20,$B$20,$D$10),0),S259+$N260-IF($M260,IF(INT(($L260-$D$5)/7)&lt;$A$20,$B$20,$D$10),0)))</x:f>
        <x:v>0</x:v>
      </x:c>
      <x:c r="T260" s="116" t="n">
        <x:f>IF($L260&lt;$D$5,"",IF($L260=$D$5,$J$10+$N260-IF($M260,IF(INT(($L260-$D$5)/7)&lt;$A$21,$B$21,$D$10),0),T259+$N260-IF($M260,IF(INT(($L260-$D$5)/7)&lt;$A$21,$B$21,$D$10),0)))</x:f>
        <x:v>0</x:v>
      </x:c>
      <x:c r="U260" s="116" t="n">
        <x:f>IF($L260&lt;$D$5,"",IF($L260=$D$5,$J$10+$N260-IF($M260,IF(INT(($L260-$D$5)/7)&lt;$A$22,$B$22,$D$10),0),U259+$N260-IF($M260,IF(INT(($L260-$D$5)/7)&lt;$A$22,$B$22,$D$10),0)))</x:f>
        <x:v>0</x:v>
      </x:c>
      <x:c r="V260" s="116" t="n">
        <x:f>IF($L260&lt;$D$5,"",IF($L260=$D$5,$J$10+$N260-IF($M260,IF(INT(($L260-$D$5)/7)&lt;$A$23,$B$23,$D$10),0),V259+$N260-IF($M260,IF(INT(($L260-$D$5)/7)&lt;$A$23,$B$23,$D$10),0)))</x:f>
        <x:v>0</x:v>
      </x:c>
      <x:c r="W260" s="116" t="n">
        <x:f>IF($L260&lt;$D$5,"",IF($L260=$D$5,$J$10+$N260-IF($M260,IF(INT(($L260-$D$5)/7)&lt;$A$24,$B$24,$D$10),0),W259+$N260-IF($M260,IF(INT(($L260-$D$5)/7)&lt;$A$24,$B$24,$D$10),0)))</x:f>
        <x:v>0</x:v>
      </x:c>
      <x:c r="X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Y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Z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A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B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C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D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E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F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G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H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I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J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K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L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M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N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O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P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Q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R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S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T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U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V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W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X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Y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AZ260" s="116"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c r="BA260" s="117" t="n">
        <x:f>IF(OR(INDEX('1 Budget annuel'!$A$14:$A$43,COLUMN()-COLUMN($X$42)+1)&lt;&gt;"Oui",INDEX('1 Budget annuel'!$L$14:$L$43,COLUMN()-COLUMN($X$42)+1)="",AND(INDEX('1 Budget annuel'!$B$14:$B$43,COLUMN()-COLUMN($X$42)+1)="Sortie",INDEX('1 Budget annuel'!$M$14:$M$43,COLUMN()-COLUMN($X$42)+1)="Oui"),$L260&lt;INDEX('1 Budget annuel'!$L$14:$L$43,COLUMN()-COLUMN($X$42)+1),$L260&gt;$D$5+363),0,IF(OR(AND(INDEX('1 Budget annuel'!$E$14:$E$43,COLUMN()-COLUMN($X$42)+1)="Hebdomadaire",MOD($L260-INDEX('1 Budget annuel'!$L$14:$L$43,COLUMN()-COLUMN($X$42)+1),7)=0),AND(INDEX('1 Budget annuel'!$E$14:$E$43,COLUMN()-COLUMN($X$42)+1)="Toutes les 4 semaines",MOD($L260-INDEX('1 Budget annuel'!$L$14:$L$43,COLUMN()-COLUMN($X$42)+1),28)=0),AND(INDEX('1 Budget annuel'!$E$14:$E$43,COLUMN()-COLUMN($X$42)+1)="Mensuelle",DAY($L260)=MIN(DAY(INDEX('1 Budget annuel'!$L$14:$L$43,COLUMN()-COLUMN($X$42)+1)),DAY(EOMONTH($L260,0)))),AND(INDEX('1 Budget annuel'!$E$14:$E$43,COLUMN()-COLUMN($X$42)+1)="Trimestrielle",MOD((YEAR($L260)-YEAR(INDEX('1 Budget annuel'!$L$14:$L$43,COLUMN()-COLUMN($X$42)+1)))*12+MONTH($L260)-MONTH(INDEX('1 Budget annuel'!$L$14:$L$43,COLUMN()-COLUMN($X$42)+1)),3)=0,DAY($L260)=MIN(DAY(INDEX('1 Budget annuel'!$L$14:$L$43,COLUMN()-COLUMN($X$42)+1)),DAY(EOMONTH($L260,0)))),AND(INDEX('1 Budget annuel'!$E$14:$E$43,COLUMN()-COLUMN($X$42)+1)="Semestrielle",MOD((YEAR($L260)-YEAR(INDEX('1 Budget annuel'!$L$14:$L$43,COLUMN()-COLUMN($X$42)+1)))*12+MONTH($L260)-MONTH(INDEX('1 Budget annuel'!$L$14:$L$43,COLUMN()-COLUMN($X$42)+1)),6)=0,DAY($L260)=MIN(DAY(INDEX('1 Budget annuel'!$L$14:$L$43,COLUMN()-COLUMN($X$42)+1)),DAY(EOMONTH($L260,0)))),AND(INDEX('1 Budget annuel'!$E$14:$E$43,COLUMN()-COLUMN($X$42)+1)="Annuelle",MOD((YEAR($L260)-YEAR(INDEX('1 Budget annuel'!$L$14:$L$43,COLUMN()-COLUMN($X$42)+1)))*12+MONTH($L260)-MONTH(INDEX('1 Budget annuel'!$L$14:$L$43,COLUMN()-COLUMN($X$42)+1)),12)=0,DAY($L260)=MIN(DAY(INDEX('1 Budget annuel'!$L$14:$L$43,COLUMN()-COLUMN($X$42)+1)),DAY(EOMONTH($L260,0))))),IF(INDEX('1 Budget annuel'!$B$14:$B$43,COLUMN()-COLUMN($X$42)+1)="Entrée",INDEX('1 Budget annuel'!$I$14:$I$43,COLUMN()-COLUMN($X$42)+1),-INDEX('1 Budget annuel'!$I$14:$I$43,COLUMN()-COLUMN($X$42)+1)),0))</x:f>
        <x:v>0</x:v>
      </x:c>
    </x:row>
    <x:row r="261">
      <x:c r="L261" s="114" t="n">
        <x:f>L260+1</x:f>
        <x:v>46455</x:v>
      </x:c>
      <x:c r="M261" s="115" t="b">
        <x:f>AND(L261&gt;=$D$5,L261&lt;=$D$5+363,MOD(L261-$D$5,7)=0)</x:f>
        <x:v>0</x:v>
      </x:c>
      <x:c r="N261" s="116" t="n">
        <x:f>SUM(X261:BA261)</x:f>
        <x:v>0</x:v>
      </x:c>
      <x:c r="O261" s="116" t="n">
        <x:f>IF(M261,$D$10,0)</x:f>
        <x:v>0</x:v>
      </x:c>
      <x:c r="P261" s="116" t="n">
        <x:f>N261-O261</x:f>
        <x:v>0</x:v>
      </x:c>
      <x:c r="Q261" s="116" t="n">
        <x:f>IF(L261&lt;$D$5,0,IF(L261=$D$5,P261,Q260+P261))</x:f>
        <x:v>0</x:v>
      </x:c>
      <x:c r="R261" s="116" t="n">
        <x:f>IF(L261&lt;$D$5,"",$J$10+Q261)</x:f>
        <x:v>0</x:v>
      </x:c>
      <x:c r="S261" s="116" t="n">
        <x:f>IF($L261&lt;$D$5,"",IF($L261=$D$5,$J$10+$N261-IF($M261,IF(INT(($L261-$D$5)/7)&lt;$A$20,$B$20,$D$10),0),S260+$N261-IF($M261,IF(INT(($L261-$D$5)/7)&lt;$A$20,$B$20,$D$10),0)))</x:f>
        <x:v>0</x:v>
      </x:c>
      <x:c r="T261" s="116" t="n">
        <x:f>IF($L261&lt;$D$5,"",IF($L261=$D$5,$J$10+$N261-IF($M261,IF(INT(($L261-$D$5)/7)&lt;$A$21,$B$21,$D$10),0),T260+$N261-IF($M261,IF(INT(($L261-$D$5)/7)&lt;$A$21,$B$21,$D$10),0)))</x:f>
        <x:v>0</x:v>
      </x:c>
      <x:c r="U261" s="116" t="n">
        <x:f>IF($L261&lt;$D$5,"",IF($L261=$D$5,$J$10+$N261-IF($M261,IF(INT(($L261-$D$5)/7)&lt;$A$22,$B$22,$D$10),0),U260+$N261-IF($M261,IF(INT(($L261-$D$5)/7)&lt;$A$22,$B$22,$D$10),0)))</x:f>
        <x:v>0</x:v>
      </x:c>
      <x:c r="V261" s="116" t="n">
        <x:f>IF($L261&lt;$D$5,"",IF($L261=$D$5,$J$10+$N261-IF($M261,IF(INT(($L261-$D$5)/7)&lt;$A$23,$B$23,$D$10),0),V260+$N261-IF($M261,IF(INT(($L261-$D$5)/7)&lt;$A$23,$B$23,$D$10),0)))</x:f>
        <x:v>0</x:v>
      </x:c>
      <x:c r="W261" s="116" t="n">
        <x:f>IF($L261&lt;$D$5,"",IF($L261=$D$5,$J$10+$N261-IF($M261,IF(INT(($L261-$D$5)/7)&lt;$A$24,$B$24,$D$10),0),W260+$N261-IF($M261,IF(INT(($L261-$D$5)/7)&lt;$A$24,$B$24,$D$10),0)))</x:f>
        <x:v>0</x:v>
      </x:c>
      <x:c r="X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Y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Z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A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B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C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D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E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F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G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H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I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J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K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L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M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N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O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P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Q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R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S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T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U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V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W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X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Y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AZ261" s="116"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c r="BA261" s="117" t="n">
        <x:f>IF(OR(INDEX('1 Budget annuel'!$A$14:$A$43,COLUMN()-COLUMN($X$42)+1)&lt;&gt;"Oui",INDEX('1 Budget annuel'!$L$14:$L$43,COLUMN()-COLUMN($X$42)+1)="",AND(INDEX('1 Budget annuel'!$B$14:$B$43,COLUMN()-COLUMN($X$42)+1)="Sortie",INDEX('1 Budget annuel'!$M$14:$M$43,COLUMN()-COLUMN($X$42)+1)="Oui"),$L261&lt;INDEX('1 Budget annuel'!$L$14:$L$43,COLUMN()-COLUMN($X$42)+1),$L261&gt;$D$5+363),0,IF(OR(AND(INDEX('1 Budget annuel'!$E$14:$E$43,COLUMN()-COLUMN($X$42)+1)="Hebdomadaire",MOD($L261-INDEX('1 Budget annuel'!$L$14:$L$43,COLUMN()-COLUMN($X$42)+1),7)=0),AND(INDEX('1 Budget annuel'!$E$14:$E$43,COLUMN()-COLUMN($X$42)+1)="Toutes les 4 semaines",MOD($L261-INDEX('1 Budget annuel'!$L$14:$L$43,COLUMN()-COLUMN($X$42)+1),28)=0),AND(INDEX('1 Budget annuel'!$E$14:$E$43,COLUMN()-COLUMN($X$42)+1)="Mensuelle",DAY($L261)=MIN(DAY(INDEX('1 Budget annuel'!$L$14:$L$43,COLUMN()-COLUMN($X$42)+1)),DAY(EOMONTH($L261,0)))),AND(INDEX('1 Budget annuel'!$E$14:$E$43,COLUMN()-COLUMN($X$42)+1)="Trimestrielle",MOD((YEAR($L261)-YEAR(INDEX('1 Budget annuel'!$L$14:$L$43,COLUMN()-COLUMN($X$42)+1)))*12+MONTH($L261)-MONTH(INDEX('1 Budget annuel'!$L$14:$L$43,COLUMN()-COLUMN($X$42)+1)),3)=0,DAY($L261)=MIN(DAY(INDEX('1 Budget annuel'!$L$14:$L$43,COLUMN()-COLUMN($X$42)+1)),DAY(EOMONTH($L261,0)))),AND(INDEX('1 Budget annuel'!$E$14:$E$43,COLUMN()-COLUMN($X$42)+1)="Semestrielle",MOD((YEAR($L261)-YEAR(INDEX('1 Budget annuel'!$L$14:$L$43,COLUMN()-COLUMN($X$42)+1)))*12+MONTH($L261)-MONTH(INDEX('1 Budget annuel'!$L$14:$L$43,COLUMN()-COLUMN($X$42)+1)),6)=0,DAY($L261)=MIN(DAY(INDEX('1 Budget annuel'!$L$14:$L$43,COLUMN()-COLUMN($X$42)+1)),DAY(EOMONTH($L261,0)))),AND(INDEX('1 Budget annuel'!$E$14:$E$43,COLUMN()-COLUMN($X$42)+1)="Annuelle",MOD((YEAR($L261)-YEAR(INDEX('1 Budget annuel'!$L$14:$L$43,COLUMN()-COLUMN($X$42)+1)))*12+MONTH($L261)-MONTH(INDEX('1 Budget annuel'!$L$14:$L$43,COLUMN()-COLUMN($X$42)+1)),12)=0,DAY($L261)=MIN(DAY(INDEX('1 Budget annuel'!$L$14:$L$43,COLUMN()-COLUMN($X$42)+1)),DAY(EOMONTH($L261,0))))),IF(INDEX('1 Budget annuel'!$B$14:$B$43,COLUMN()-COLUMN($X$42)+1)="Entrée",INDEX('1 Budget annuel'!$I$14:$I$43,COLUMN()-COLUMN($X$42)+1),-INDEX('1 Budget annuel'!$I$14:$I$43,COLUMN()-COLUMN($X$42)+1)),0))</x:f>
        <x:v>0</x:v>
      </x:c>
    </x:row>
    <x:row r="262">
      <x:c r="L262" s="114" t="n">
        <x:f>L261+1</x:f>
        <x:v>46456</x:v>
      </x:c>
      <x:c r="M262" s="115" t="b">
        <x:f>AND(L262&gt;=$D$5,L262&lt;=$D$5+363,MOD(L262-$D$5,7)=0)</x:f>
        <x:v>0</x:v>
      </x:c>
      <x:c r="N262" s="116" t="n">
        <x:f>SUM(X262:BA262)</x:f>
        <x:v>0</x:v>
      </x:c>
      <x:c r="O262" s="116" t="n">
        <x:f>IF(M262,$D$10,0)</x:f>
        <x:v>0</x:v>
      </x:c>
      <x:c r="P262" s="116" t="n">
        <x:f>N262-O262</x:f>
        <x:v>0</x:v>
      </x:c>
      <x:c r="Q262" s="116" t="n">
        <x:f>IF(L262&lt;$D$5,0,IF(L262=$D$5,P262,Q261+P262))</x:f>
        <x:v>0</x:v>
      </x:c>
      <x:c r="R262" s="116" t="n">
        <x:f>IF(L262&lt;$D$5,"",$J$10+Q262)</x:f>
        <x:v>0</x:v>
      </x:c>
      <x:c r="S262" s="116" t="n">
        <x:f>IF($L262&lt;$D$5,"",IF($L262=$D$5,$J$10+$N262-IF($M262,IF(INT(($L262-$D$5)/7)&lt;$A$20,$B$20,$D$10),0),S261+$N262-IF($M262,IF(INT(($L262-$D$5)/7)&lt;$A$20,$B$20,$D$10),0)))</x:f>
        <x:v>0</x:v>
      </x:c>
      <x:c r="T262" s="116" t="n">
        <x:f>IF($L262&lt;$D$5,"",IF($L262=$D$5,$J$10+$N262-IF($M262,IF(INT(($L262-$D$5)/7)&lt;$A$21,$B$21,$D$10),0),T261+$N262-IF($M262,IF(INT(($L262-$D$5)/7)&lt;$A$21,$B$21,$D$10),0)))</x:f>
        <x:v>0</x:v>
      </x:c>
      <x:c r="U262" s="116" t="n">
        <x:f>IF($L262&lt;$D$5,"",IF($L262=$D$5,$J$10+$N262-IF($M262,IF(INT(($L262-$D$5)/7)&lt;$A$22,$B$22,$D$10),0),U261+$N262-IF($M262,IF(INT(($L262-$D$5)/7)&lt;$A$22,$B$22,$D$10),0)))</x:f>
        <x:v>0</x:v>
      </x:c>
      <x:c r="V262" s="116" t="n">
        <x:f>IF($L262&lt;$D$5,"",IF($L262=$D$5,$J$10+$N262-IF($M262,IF(INT(($L262-$D$5)/7)&lt;$A$23,$B$23,$D$10),0),V261+$N262-IF($M262,IF(INT(($L262-$D$5)/7)&lt;$A$23,$B$23,$D$10),0)))</x:f>
        <x:v>0</x:v>
      </x:c>
      <x:c r="W262" s="116" t="n">
        <x:f>IF($L262&lt;$D$5,"",IF($L262=$D$5,$J$10+$N262-IF($M262,IF(INT(($L262-$D$5)/7)&lt;$A$24,$B$24,$D$10),0),W261+$N262-IF($M262,IF(INT(($L262-$D$5)/7)&lt;$A$24,$B$24,$D$10),0)))</x:f>
        <x:v>0</x:v>
      </x:c>
      <x:c r="X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Y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Z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A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B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C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D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E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F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G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H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I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J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K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L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M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N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O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P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Q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R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S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T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U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V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W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X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Y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AZ262" s="116"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c r="BA262" s="117" t="n">
        <x:f>IF(OR(INDEX('1 Budget annuel'!$A$14:$A$43,COLUMN()-COLUMN($X$42)+1)&lt;&gt;"Oui",INDEX('1 Budget annuel'!$L$14:$L$43,COLUMN()-COLUMN($X$42)+1)="",AND(INDEX('1 Budget annuel'!$B$14:$B$43,COLUMN()-COLUMN($X$42)+1)="Sortie",INDEX('1 Budget annuel'!$M$14:$M$43,COLUMN()-COLUMN($X$42)+1)="Oui"),$L262&lt;INDEX('1 Budget annuel'!$L$14:$L$43,COLUMN()-COLUMN($X$42)+1),$L262&gt;$D$5+363),0,IF(OR(AND(INDEX('1 Budget annuel'!$E$14:$E$43,COLUMN()-COLUMN($X$42)+1)="Hebdomadaire",MOD($L262-INDEX('1 Budget annuel'!$L$14:$L$43,COLUMN()-COLUMN($X$42)+1),7)=0),AND(INDEX('1 Budget annuel'!$E$14:$E$43,COLUMN()-COLUMN($X$42)+1)="Toutes les 4 semaines",MOD($L262-INDEX('1 Budget annuel'!$L$14:$L$43,COLUMN()-COLUMN($X$42)+1),28)=0),AND(INDEX('1 Budget annuel'!$E$14:$E$43,COLUMN()-COLUMN($X$42)+1)="Mensuelle",DAY($L262)=MIN(DAY(INDEX('1 Budget annuel'!$L$14:$L$43,COLUMN()-COLUMN($X$42)+1)),DAY(EOMONTH($L262,0)))),AND(INDEX('1 Budget annuel'!$E$14:$E$43,COLUMN()-COLUMN($X$42)+1)="Trimestrielle",MOD((YEAR($L262)-YEAR(INDEX('1 Budget annuel'!$L$14:$L$43,COLUMN()-COLUMN($X$42)+1)))*12+MONTH($L262)-MONTH(INDEX('1 Budget annuel'!$L$14:$L$43,COLUMN()-COLUMN($X$42)+1)),3)=0,DAY($L262)=MIN(DAY(INDEX('1 Budget annuel'!$L$14:$L$43,COLUMN()-COLUMN($X$42)+1)),DAY(EOMONTH($L262,0)))),AND(INDEX('1 Budget annuel'!$E$14:$E$43,COLUMN()-COLUMN($X$42)+1)="Semestrielle",MOD((YEAR($L262)-YEAR(INDEX('1 Budget annuel'!$L$14:$L$43,COLUMN()-COLUMN($X$42)+1)))*12+MONTH($L262)-MONTH(INDEX('1 Budget annuel'!$L$14:$L$43,COLUMN()-COLUMN($X$42)+1)),6)=0,DAY($L262)=MIN(DAY(INDEX('1 Budget annuel'!$L$14:$L$43,COLUMN()-COLUMN($X$42)+1)),DAY(EOMONTH($L262,0)))),AND(INDEX('1 Budget annuel'!$E$14:$E$43,COLUMN()-COLUMN($X$42)+1)="Annuelle",MOD((YEAR($L262)-YEAR(INDEX('1 Budget annuel'!$L$14:$L$43,COLUMN()-COLUMN($X$42)+1)))*12+MONTH($L262)-MONTH(INDEX('1 Budget annuel'!$L$14:$L$43,COLUMN()-COLUMN($X$42)+1)),12)=0,DAY($L262)=MIN(DAY(INDEX('1 Budget annuel'!$L$14:$L$43,COLUMN()-COLUMN($X$42)+1)),DAY(EOMONTH($L262,0))))),IF(INDEX('1 Budget annuel'!$B$14:$B$43,COLUMN()-COLUMN($X$42)+1)="Entrée",INDEX('1 Budget annuel'!$I$14:$I$43,COLUMN()-COLUMN($X$42)+1),-INDEX('1 Budget annuel'!$I$14:$I$43,COLUMN()-COLUMN($X$42)+1)),0))</x:f>
        <x:v>0</x:v>
      </x:c>
    </x:row>
    <x:row r="263">
      <x:c r="L263" s="114" t="n">
        <x:f>L262+1</x:f>
        <x:v>46457</x:v>
      </x:c>
      <x:c r="M263" s="115" t="b">
        <x:f>AND(L263&gt;=$D$5,L263&lt;=$D$5+363,MOD(L263-$D$5,7)=0)</x:f>
        <x:v>0</x:v>
      </x:c>
      <x:c r="N263" s="116" t="n">
        <x:f>SUM(X263:BA263)</x:f>
        <x:v>0</x:v>
      </x:c>
      <x:c r="O263" s="116" t="n">
        <x:f>IF(M263,$D$10,0)</x:f>
        <x:v>0</x:v>
      </x:c>
      <x:c r="P263" s="116" t="n">
        <x:f>N263-O263</x:f>
        <x:v>0</x:v>
      </x:c>
      <x:c r="Q263" s="116" t="n">
        <x:f>IF(L263&lt;$D$5,0,IF(L263=$D$5,P263,Q262+P263))</x:f>
        <x:v>0</x:v>
      </x:c>
      <x:c r="R263" s="116" t="n">
        <x:f>IF(L263&lt;$D$5,"",$J$10+Q263)</x:f>
        <x:v>0</x:v>
      </x:c>
      <x:c r="S263" s="116" t="n">
        <x:f>IF($L263&lt;$D$5,"",IF($L263=$D$5,$J$10+$N263-IF($M263,IF(INT(($L263-$D$5)/7)&lt;$A$20,$B$20,$D$10),0),S262+$N263-IF($M263,IF(INT(($L263-$D$5)/7)&lt;$A$20,$B$20,$D$10),0)))</x:f>
        <x:v>0</x:v>
      </x:c>
      <x:c r="T263" s="116" t="n">
        <x:f>IF($L263&lt;$D$5,"",IF($L263=$D$5,$J$10+$N263-IF($M263,IF(INT(($L263-$D$5)/7)&lt;$A$21,$B$21,$D$10),0),T262+$N263-IF($M263,IF(INT(($L263-$D$5)/7)&lt;$A$21,$B$21,$D$10),0)))</x:f>
        <x:v>0</x:v>
      </x:c>
      <x:c r="U263" s="116" t="n">
        <x:f>IF($L263&lt;$D$5,"",IF($L263=$D$5,$J$10+$N263-IF($M263,IF(INT(($L263-$D$5)/7)&lt;$A$22,$B$22,$D$10),0),U262+$N263-IF($M263,IF(INT(($L263-$D$5)/7)&lt;$A$22,$B$22,$D$10),0)))</x:f>
        <x:v>0</x:v>
      </x:c>
      <x:c r="V263" s="116" t="n">
        <x:f>IF($L263&lt;$D$5,"",IF($L263=$D$5,$J$10+$N263-IF($M263,IF(INT(($L263-$D$5)/7)&lt;$A$23,$B$23,$D$10),0),V262+$N263-IF($M263,IF(INT(($L263-$D$5)/7)&lt;$A$23,$B$23,$D$10),0)))</x:f>
        <x:v>0</x:v>
      </x:c>
      <x:c r="W263" s="116" t="n">
        <x:f>IF($L263&lt;$D$5,"",IF($L263=$D$5,$J$10+$N263-IF($M263,IF(INT(($L263-$D$5)/7)&lt;$A$24,$B$24,$D$10),0),W262+$N263-IF($M263,IF(INT(($L263-$D$5)/7)&lt;$A$24,$B$24,$D$10),0)))</x:f>
        <x:v>0</x:v>
      </x:c>
      <x:c r="X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Y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Z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A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B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C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D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E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F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G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H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I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J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K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L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M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N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O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P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Q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R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S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T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U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V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W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X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Y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AZ263" s="116"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c r="BA263" s="117" t="n">
        <x:f>IF(OR(INDEX('1 Budget annuel'!$A$14:$A$43,COLUMN()-COLUMN($X$42)+1)&lt;&gt;"Oui",INDEX('1 Budget annuel'!$L$14:$L$43,COLUMN()-COLUMN($X$42)+1)="",AND(INDEX('1 Budget annuel'!$B$14:$B$43,COLUMN()-COLUMN($X$42)+1)="Sortie",INDEX('1 Budget annuel'!$M$14:$M$43,COLUMN()-COLUMN($X$42)+1)="Oui"),$L263&lt;INDEX('1 Budget annuel'!$L$14:$L$43,COLUMN()-COLUMN($X$42)+1),$L263&gt;$D$5+363),0,IF(OR(AND(INDEX('1 Budget annuel'!$E$14:$E$43,COLUMN()-COLUMN($X$42)+1)="Hebdomadaire",MOD($L263-INDEX('1 Budget annuel'!$L$14:$L$43,COLUMN()-COLUMN($X$42)+1),7)=0),AND(INDEX('1 Budget annuel'!$E$14:$E$43,COLUMN()-COLUMN($X$42)+1)="Toutes les 4 semaines",MOD($L263-INDEX('1 Budget annuel'!$L$14:$L$43,COLUMN()-COLUMN($X$42)+1),28)=0),AND(INDEX('1 Budget annuel'!$E$14:$E$43,COLUMN()-COLUMN($X$42)+1)="Mensuelle",DAY($L263)=MIN(DAY(INDEX('1 Budget annuel'!$L$14:$L$43,COLUMN()-COLUMN($X$42)+1)),DAY(EOMONTH($L263,0)))),AND(INDEX('1 Budget annuel'!$E$14:$E$43,COLUMN()-COLUMN($X$42)+1)="Trimestrielle",MOD((YEAR($L263)-YEAR(INDEX('1 Budget annuel'!$L$14:$L$43,COLUMN()-COLUMN($X$42)+1)))*12+MONTH($L263)-MONTH(INDEX('1 Budget annuel'!$L$14:$L$43,COLUMN()-COLUMN($X$42)+1)),3)=0,DAY($L263)=MIN(DAY(INDEX('1 Budget annuel'!$L$14:$L$43,COLUMN()-COLUMN($X$42)+1)),DAY(EOMONTH($L263,0)))),AND(INDEX('1 Budget annuel'!$E$14:$E$43,COLUMN()-COLUMN($X$42)+1)="Semestrielle",MOD((YEAR($L263)-YEAR(INDEX('1 Budget annuel'!$L$14:$L$43,COLUMN()-COLUMN($X$42)+1)))*12+MONTH($L263)-MONTH(INDEX('1 Budget annuel'!$L$14:$L$43,COLUMN()-COLUMN($X$42)+1)),6)=0,DAY($L263)=MIN(DAY(INDEX('1 Budget annuel'!$L$14:$L$43,COLUMN()-COLUMN($X$42)+1)),DAY(EOMONTH($L263,0)))),AND(INDEX('1 Budget annuel'!$E$14:$E$43,COLUMN()-COLUMN($X$42)+1)="Annuelle",MOD((YEAR($L263)-YEAR(INDEX('1 Budget annuel'!$L$14:$L$43,COLUMN()-COLUMN($X$42)+1)))*12+MONTH($L263)-MONTH(INDEX('1 Budget annuel'!$L$14:$L$43,COLUMN()-COLUMN($X$42)+1)),12)=0,DAY($L263)=MIN(DAY(INDEX('1 Budget annuel'!$L$14:$L$43,COLUMN()-COLUMN($X$42)+1)),DAY(EOMONTH($L263,0))))),IF(INDEX('1 Budget annuel'!$B$14:$B$43,COLUMN()-COLUMN($X$42)+1)="Entrée",INDEX('1 Budget annuel'!$I$14:$I$43,COLUMN()-COLUMN($X$42)+1),-INDEX('1 Budget annuel'!$I$14:$I$43,COLUMN()-COLUMN($X$42)+1)),0))</x:f>
        <x:v>0</x:v>
      </x:c>
    </x:row>
    <x:row r="264">
      <x:c r="L264" s="114" t="n">
        <x:f>L263+1</x:f>
        <x:v>46458</x:v>
      </x:c>
      <x:c r="M264" s="115" t="b">
        <x:f>AND(L264&gt;=$D$5,L264&lt;=$D$5+363,MOD(L264-$D$5,7)=0)</x:f>
        <x:v>0</x:v>
      </x:c>
      <x:c r="N264" s="116" t="n">
        <x:f>SUM(X264:BA264)</x:f>
        <x:v>0</x:v>
      </x:c>
      <x:c r="O264" s="116" t="n">
        <x:f>IF(M264,$D$10,0)</x:f>
        <x:v>0</x:v>
      </x:c>
      <x:c r="P264" s="116" t="n">
        <x:f>N264-O264</x:f>
        <x:v>0</x:v>
      </x:c>
      <x:c r="Q264" s="116" t="n">
        <x:f>IF(L264&lt;$D$5,0,IF(L264=$D$5,P264,Q263+P264))</x:f>
        <x:v>0</x:v>
      </x:c>
      <x:c r="R264" s="116" t="n">
        <x:f>IF(L264&lt;$D$5,"",$J$10+Q264)</x:f>
        <x:v>0</x:v>
      </x:c>
      <x:c r="S264" s="116" t="n">
        <x:f>IF($L264&lt;$D$5,"",IF($L264=$D$5,$J$10+$N264-IF($M264,IF(INT(($L264-$D$5)/7)&lt;$A$20,$B$20,$D$10),0),S263+$N264-IF($M264,IF(INT(($L264-$D$5)/7)&lt;$A$20,$B$20,$D$10),0)))</x:f>
        <x:v>0</x:v>
      </x:c>
      <x:c r="T264" s="116" t="n">
        <x:f>IF($L264&lt;$D$5,"",IF($L264=$D$5,$J$10+$N264-IF($M264,IF(INT(($L264-$D$5)/7)&lt;$A$21,$B$21,$D$10),0),T263+$N264-IF($M264,IF(INT(($L264-$D$5)/7)&lt;$A$21,$B$21,$D$10),0)))</x:f>
        <x:v>0</x:v>
      </x:c>
      <x:c r="U264" s="116" t="n">
        <x:f>IF($L264&lt;$D$5,"",IF($L264=$D$5,$J$10+$N264-IF($M264,IF(INT(($L264-$D$5)/7)&lt;$A$22,$B$22,$D$10),0),U263+$N264-IF($M264,IF(INT(($L264-$D$5)/7)&lt;$A$22,$B$22,$D$10),0)))</x:f>
        <x:v>0</x:v>
      </x:c>
      <x:c r="V264" s="116" t="n">
        <x:f>IF($L264&lt;$D$5,"",IF($L264=$D$5,$J$10+$N264-IF($M264,IF(INT(($L264-$D$5)/7)&lt;$A$23,$B$23,$D$10),0),V263+$N264-IF($M264,IF(INT(($L264-$D$5)/7)&lt;$A$23,$B$23,$D$10),0)))</x:f>
        <x:v>0</x:v>
      </x:c>
      <x:c r="W264" s="116" t="n">
        <x:f>IF($L264&lt;$D$5,"",IF($L264=$D$5,$J$10+$N264-IF($M264,IF(INT(($L264-$D$5)/7)&lt;$A$24,$B$24,$D$10),0),W263+$N264-IF($M264,IF(INT(($L264-$D$5)/7)&lt;$A$24,$B$24,$D$10),0)))</x:f>
        <x:v>0</x:v>
      </x:c>
      <x:c r="X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Y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Z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A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B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C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D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E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F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G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H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I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J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K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L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M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N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O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P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Q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R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S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T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U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V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W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X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Y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AZ264" s="116"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c r="BA264" s="117" t="n">
        <x:f>IF(OR(INDEX('1 Budget annuel'!$A$14:$A$43,COLUMN()-COLUMN($X$42)+1)&lt;&gt;"Oui",INDEX('1 Budget annuel'!$L$14:$L$43,COLUMN()-COLUMN($X$42)+1)="",AND(INDEX('1 Budget annuel'!$B$14:$B$43,COLUMN()-COLUMN($X$42)+1)="Sortie",INDEX('1 Budget annuel'!$M$14:$M$43,COLUMN()-COLUMN($X$42)+1)="Oui"),$L264&lt;INDEX('1 Budget annuel'!$L$14:$L$43,COLUMN()-COLUMN($X$42)+1),$L264&gt;$D$5+363),0,IF(OR(AND(INDEX('1 Budget annuel'!$E$14:$E$43,COLUMN()-COLUMN($X$42)+1)="Hebdomadaire",MOD($L264-INDEX('1 Budget annuel'!$L$14:$L$43,COLUMN()-COLUMN($X$42)+1),7)=0),AND(INDEX('1 Budget annuel'!$E$14:$E$43,COLUMN()-COLUMN($X$42)+1)="Toutes les 4 semaines",MOD($L264-INDEX('1 Budget annuel'!$L$14:$L$43,COLUMN()-COLUMN($X$42)+1),28)=0),AND(INDEX('1 Budget annuel'!$E$14:$E$43,COLUMN()-COLUMN($X$42)+1)="Mensuelle",DAY($L264)=MIN(DAY(INDEX('1 Budget annuel'!$L$14:$L$43,COLUMN()-COLUMN($X$42)+1)),DAY(EOMONTH($L264,0)))),AND(INDEX('1 Budget annuel'!$E$14:$E$43,COLUMN()-COLUMN($X$42)+1)="Trimestrielle",MOD((YEAR($L264)-YEAR(INDEX('1 Budget annuel'!$L$14:$L$43,COLUMN()-COLUMN($X$42)+1)))*12+MONTH($L264)-MONTH(INDEX('1 Budget annuel'!$L$14:$L$43,COLUMN()-COLUMN($X$42)+1)),3)=0,DAY($L264)=MIN(DAY(INDEX('1 Budget annuel'!$L$14:$L$43,COLUMN()-COLUMN($X$42)+1)),DAY(EOMONTH($L264,0)))),AND(INDEX('1 Budget annuel'!$E$14:$E$43,COLUMN()-COLUMN($X$42)+1)="Semestrielle",MOD((YEAR($L264)-YEAR(INDEX('1 Budget annuel'!$L$14:$L$43,COLUMN()-COLUMN($X$42)+1)))*12+MONTH($L264)-MONTH(INDEX('1 Budget annuel'!$L$14:$L$43,COLUMN()-COLUMN($X$42)+1)),6)=0,DAY($L264)=MIN(DAY(INDEX('1 Budget annuel'!$L$14:$L$43,COLUMN()-COLUMN($X$42)+1)),DAY(EOMONTH($L264,0)))),AND(INDEX('1 Budget annuel'!$E$14:$E$43,COLUMN()-COLUMN($X$42)+1)="Annuelle",MOD((YEAR($L264)-YEAR(INDEX('1 Budget annuel'!$L$14:$L$43,COLUMN()-COLUMN($X$42)+1)))*12+MONTH($L264)-MONTH(INDEX('1 Budget annuel'!$L$14:$L$43,COLUMN()-COLUMN($X$42)+1)),12)=0,DAY($L264)=MIN(DAY(INDEX('1 Budget annuel'!$L$14:$L$43,COLUMN()-COLUMN($X$42)+1)),DAY(EOMONTH($L264,0))))),IF(INDEX('1 Budget annuel'!$B$14:$B$43,COLUMN()-COLUMN($X$42)+1)="Entrée",INDEX('1 Budget annuel'!$I$14:$I$43,COLUMN()-COLUMN($X$42)+1),-INDEX('1 Budget annuel'!$I$14:$I$43,COLUMN()-COLUMN($X$42)+1)),0))</x:f>
        <x:v>0</x:v>
      </x:c>
    </x:row>
    <x:row r="265">
      <x:c r="L265" s="114" t="n">
        <x:f>L264+1</x:f>
        <x:v>46459</x:v>
      </x:c>
      <x:c r="M265" s="115" t="b">
        <x:f>AND(L265&gt;=$D$5,L265&lt;=$D$5+363,MOD(L265-$D$5,7)=0)</x:f>
        <x:v>1</x:v>
      </x:c>
      <x:c r="N265" s="116" t="n">
        <x:f>SUM(X265:BA265)</x:f>
        <x:v>0</x:v>
      </x:c>
      <x:c r="O265" s="116" t="n">
        <x:f>IF(M265,$D$10,0)</x:f>
        <x:v>0</x:v>
      </x:c>
      <x:c r="P265" s="116" t="n">
        <x:f>N265-O265</x:f>
        <x:v>0</x:v>
      </x:c>
      <x:c r="Q265" s="116" t="n">
        <x:f>IF(L265&lt;$D$5,0,IF(L265=$D$5,P265,Q264+P265))</x:f>
        <x:v>0</x:v>
      </x:c>
      <x:c r="R265" s="116" t="n">
        <x:f>IF(L265&lt;$D$5,"",$J$10+Q265)</x:f>
        <x:v>0</x:v>
      </x:c>
      <x:c r="S265" s="116" t="n">
        <x:f>IF($L265&lt;$D$5,"",IF($L265=$D$5,$J$10+$N265-IF($M265,IF(INT(($L265-$D$5)/7)&lt;$A$20,$B$20,$D$10),0),S264+$N265-IF($M265,IF(INT(($L265-$D$5)/7)&lt;$A$20,$B$20,$D$10),0)))</x:f>
        <x:v>0</x:v>
      </x:c>
      <x:c r="T265" s="116" t="n">
        <x:f>IF($L265&lt;$D$5,"",IF($L265=$D$5,$J$10+$N265-IF($M265,IF(INT(($L265-$D$5)/7)&lt;$A$21,$B$21,$D$10),0),T264+$N265-IF($M265,IF(INT(($L265-$D$5)/7)&lt;$A$21,$B$21,$D$10),0)))</x:f>
        <x:v>0</x:v>
      </x:c>
      <x:c r="U265" s="116" t="n">
        <x:f>IF($L265&lt;$D$5,"",IF($L265=$D$5,$J$10+$N265-IF($M265,IF(INT(($L265-$D$5)/7)&lt;$A$22,$B$22,$D$10),0),U264+$N265-IF($M265,IF(INT(($L265-$D$5)/7)&lt;$A$22,$B$22,$D$10),0)))</x:f>
        <x:v>0</x:v>
      </x:c>
      <x:c r="V265" s="116" t="n">
        <x:f>IF($L265&lt;$D$5,"",IF($L265=$D$5,$J$10+$N265-IF($M265,IF(INT(($L265-$D$5)/7)&lt;$A$23,$B$23,$D$10),0),V264+$N265-IF($M265,IF(INT(($L265-$D$5)/7)&lt;$A$23,$B$23,$D$10),0)))</x:f>
        <x:v>0</x:v>
      </x:c>
      <x:c r="W265" s="116" t="n">
        <x:f>IF($L265&lt;$D$5,"",IF($L265=$D$5,$J$10+$N265-IF($M265,IF(INT(($L265-$D$5)/7)&lt;$A$24,$B$24,$D$10),0),W264+$N265-IF($M265,IF(INT(($L265-$D$5)/7)&lt;$A$24,$B$24,$D$10),0)))</x:f>
        <x:v>0</x:v>
      </x:c>
      <x:c r="X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Y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Z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A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B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C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D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E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F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G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H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I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J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K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L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M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N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O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P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Q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R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S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T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U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V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W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X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Y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AZ265" s="116"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c r="BA265" s="117" t="n">
        <x:f>IF(OR(INDEX('1 Budget annuel'!$A$14:$A$43,COLUMN()-COLUMN($X$42)+1)&lt;&gt;"Oui",INDEX('1 Budget annuel'!$L$14:$L$43,COLUMN()-COLUMN($X$42)+1)="",AND(INDEX('1 Budget annuel'!$B$14:$B$43,COLUMN()-COLUMN($X$42)+1)="Sortie",INDEX('1 Budget annuel'!$M$14:$M$43,COLUMN()-COLUMN($X$42)+1)="Oui"),$L265&lt;INDEX('1 Budget annuel'!$L$14:$L$43,COLUMN()-COLUMN($X$42)+1),$L265&gt;$D$5+363),0,IF(OR(AND(INDEX('1 Budget annuel'!$E$14:$E$43,COLUMN()-COLUMN($X$42)+1)="Hebdomadaire",MOD($L265-INDEX('1 Budget annuel'!$L$14:$L$43,COLUMN()-COLUMN($X$42)+1),7)=0),AND(INDEX('1 Budget annuel'!$E$14:$E$43,COLUMN()-COLUMN($X$42)+1)="Toutes les 4 semaines",MOD($L265-INDEX('1 Budget annuel'!$L$14:$L$43,COLUMN()-COLUMN($X$42)+1),28)=0),AND(INDEX('1 Budget annuel'!$E$14:$E$43,COLUMN()-COLUMN($X$42)+1)="Mensuelle",DAY($L265)=MIN(DAY(INDEX('1 Budget annuel'!$L$14:$L$43,COLUMN()-COLUMN($X$42)+1)),DAY(EOMONTH($L265,0)))),AND(INDEX('1 Budget annuel'!$E$14:$E$43,COLUMN()-COLUMN($X$42)+1)="Trimestrielle",MOD((YEAR($L265)-YEAR(INDEX('1 Budget annuel'!$L$14:$L$43,COLUMN()-COLUMN($X$42)+1)))*12+MONTH($L265)-MONTH(INDEX('1 Budget annuel'!$L$14:$L$43,COLUMN()-COLUMN($X$42)+1)),3)=0,DAY($L265)=MIN(DAY(INDEX('1 Budget annuel'!$L$14:$L$43,COLUMN()-COLUMN($X$42)+1)),DAY(EOMONTH($L265,0)))),AND(INDEX('1 Budget annuel'!$E$14:$E$43,COLUMN()-COLUMN($X$42)+1)="Semestrielle",MOD((YEAR($L265)-YEAR(INDEX('1 Budget annuel'!$L$14:$L$43,COLUMN()-COLUMN($X$42)+1)))*12+MONTH($L265)-MONTH(INDEX('1 Budget annuel'!$L$14:$L$43,COLUMN()-COLUMN($X$42)+1)),6)=0,DAY($L265)=MIN(DAY(INDEX('1 Budget annuel'!$L$14:$L$43,COLUMN()-COLUMN($X$42)+1)),DAY(EOMONTH($L265,0)))),AND(INDEX('1 Budget annuel'!$E$14:$E$43,COLUMN()-COLUMN($X$42)+1)="Annuelle",MOD((YEAR($L265)-YEAR(INDEX('1 Budget annuel'!$L$14:$L$43,COLUMN()-COLUMN($X$42)+1)))*12+MONTH($L265)-MONTH(INDEX('1 Budget annuel'!$L$14:$L$43,COLUMN()-COLUMN($X$42)+1)),12)=0,DAY($L265)=MIN(DAY(INDEX('1 Budget annuel'!$L$14:$L$43,COLUMN()-COLUMN($X$42)+1)),DAY(EOMONTH($L265,0))))),IF(INDEX('1 Budget annuel'!$B$14:$B$43,COLUMN()-COLUMN($X$42)+1)="Entrée",INDEX('1 Budget annuel'!$I$14:$I$43,COLUMN()-COLUMN($X$42)+1),-INDEX('1 Budget annuel'!$I$14:$I$43,COLUMN()-COLUMN($X$42)+1)),0))</x:f>
        <x:v>0</x:v>
      </x:c>
    </x:row>
    <x:row r="266">
      <x:c r="L266" s="114" t="n">
        <x:f>L265+1</x:f>
        <x:v>46460</x:v>
      </x:c>
      <x:c r="M266" s="115" t="b">
        <x:f>AND(L266&gt;=$D$5,L266&lt;=$D$5+363,MOD(L266-$D$5,7)=0)</x:f>
        <x:v>0</x:v>
      </x:c>
      <x:c r="N266" s="116" t="n">
        <x:f>SUM(X266:BA266)</x:f>
        <x:v>0</x:v>
      </x:c>
      <x:c r="O266" s="116" t="n">
        <x:f>IF(M266,$D$10,0)</x:f>
        <x:v>0</x:v>
      </x:c>
      <x:c r="P266" s="116" t="n">
        <x:f>N266-O266</x:f>
        <x:v>0</x:v>
      </x:c>
      <x:c r="Q266" s="116" t="n">
        <x:f>IF(L266&lt;$D$5,0,IF(L266=$D$5,P266,Q265+P266))</x:f>
        <x:v>0</x:v>
      </x:c>
      <x:c r="R266" s="116" t="n">
        <x:f>IF(L266&lt;$D$5,"",$J$10+Q266)</x:f>
        <x:v>0</x:v>
      </x:c>
      <x:c r="S266" s="116" t="n">
        <x:f>IF($L266&lt;$D$5,"",IF($L266=$D$5,$J$10+$N266-IF($M266,IF(INT(($L266-$D$5)/7)&lt;$A$20,$B$20,$D$10),0),S265+$N266-IF($M266,IF(INT(($L266-$D$5)/7)&lt;$A$20,$B$20,$D$10),0)))</x:f>
        <x:v>0</x:v>
      </x:c>
      <x:c r="T266" s="116" t="n">
        <x:f>IF($L266&lt;$D$5,"",IF($L266=$D$5,$J$10+$N266-IF($M266,IF(INT(($L266-$D$5)/7)&lt;$A$21,$B$21,$D$10),0),T265+$N266-IF($M266,IF(INT(($L266-$D$5)/7)&lt;$A$21,$B$21,$D$10),0)))</x:f>
        <x:v>0</x:v>
      </x:c>
      <x:c r="U266" s="116" t="n">
        <x:f>IF($L266&lt;$D$5,"",IF($L266=$D$5,$J$10+$N266-IF($M266,IF(INT(($L266-$D$5)/7)&lt;$A$22,$B$22,$D$10),0),U265+$N266-IF($M266,IF(INT(($L266-$D$5)/7)&lt;$A$22,$B$22,$D$10),0)))</x:f>
        <x:v>0</x:v>
      </x:c>
      <x:c r="V266" s="116" t="n">
        <x:f>IF($L266&lt;$D$5,"",IF($L266=$D$5,$J$10+$N266-IF($M266,IF(INT(($L266-$D$5)/7)&lt;$A$23,$B$23,$D$10),0),V265+$N266-IF($M266,IF(INT(($L266-$D$5)/7)&lt;$A$23,$B$23,$D$10),0)))</x:f>
        <x:v>0</x:v>
      </x:c>
      <x:c r="W266" s="116" t="n">
        <x:f>IF($L266&lt;$D$5,"",IF($L266=$D$5,$J$10+$N266-IF($M266,IF(INT(($L266-$D$5)/7)&lt;$A$24,$B$24,$D$10),0),W265+$N266-IF($M266,IF(INT(($L266-$D$5)/7)&lt;$A$24,$B$24,$D$10),0)))</x:f>
        <x:v>0</x:v>
      </x:c>
      <x:c r="X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Y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Z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A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B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C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D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E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F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G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H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I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J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K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L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M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N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O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P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Q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R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S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T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U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V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W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X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Y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AZ266" s="116"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c r="BA266" s="117" t="n">
        <x:f>IF(OR(INDEX('1 Budget annuel'!$A$14:$A$43,COLUMN()-COLUMN($X$42)+1)&lt;&gt;"Oui",INDEX('1 Budget annuel'!$L$14:$L$43,COLUMN()-COLUMN($X$42)+1)="",AND(INDEX('1 Budget annuel'!$B$14:$B$43,COLUMN()-COLUMN($X$42)+1)="Sortie",INDEX('1 Budget annuel'!$M$14:$M$43,COLUMN()-COLUMN($X$42)+1)="Oui"),$L266&lt;INDEX('1 Budget annuel'!$L$14:$L$43,COLUMN()-COLUMN($X$42)+1),$L266&gt;$D$5+363),0,IF(OR(AND(INDEX('1 Budget annuel'!$E$14:$E$43,COLUMN()-COLUMN($X$42)+1)="Hebdomadaire",MOD($L266-INDEX('1 Budget annuel'!$L$14:$L$43,COLUMN()-COLUMN($X$42)+1),7)=0),AND(INDEX('1 Budget annuel'!$E$14:$E$43,COLUMN()-COLUMN($X$42)+1)="Toutes les 4 semaines",MOD($L266-INDEX('1 Budget annuel'!$L$14:$L$43,COLUMN()-COLUMN($X$42)+1),28)=0),AND(INDEX('1 Budget annuel'!$E$14:$E$43,COLUMN()-COLUMN($X$42)+1)="Mensuelle",DAY($L266)=MIN(DAY(INDEX('1 Budget annuel'!$L$14:$L$43,COLUMN()-COLUMN($X$42)+1)),DAY(EOMONTH($L266,0)))),AND(INDEX('1 Budget annuel'!$E$14:$E$43,COLUMN()-COLUMN($X$42)+1)="Trimestrielle",MOD((YEAR($L266)-YEAR(INDEX('1 Budget annuel'!$L$14:$L$43,COLUMN()-COLUMN($X$42)+1)))*12+MONTH($L266)-MONTH(INDEX('1 Budget annuel'!$L$14:$L$43,COLUMN()-COLUMN($X$42)+1)),3)=0,DAY($L266)=MIN(DAY(INDEX('1 Budget annuel'!$L$14:$L$43,COLUMN()-COLUMN($X$42)+1)),DAY(EOMONTH($L266,0)))),AND(INDEX('1 Budget annuel'!$E$14:$E$43,COLUMN()-COLUMN($X$42)+1)="Semestrielle",MOD((YEAR($L266)-YEAR(INDEX('1 Budget annuel'!$L$14:$L$43,COLUMN()-COLUMN($X$42)+1)))*12+MONTH($L266)-MONTH(INDEX('1 Budget annuel'!$L$14:$L$43,COLUMN()-COLUMN($X$42)+1)),6)=0,DAY($L266)=MIN(DAY(INDEX('1 Budget annuel'!$L$14:$L$43,COLUMN()-COLUMN($X$42)+1)),DAY(EOMONTH($L266,0)))),AND(INDEX('1 Budget annuel'!$E$14:$E$43,COLUMN()-COLUMN($X$42)+1)="Annuelle",MOD((YEAR($L266)-YEAR(INDEX('1 Budget annuel'!$L$14:$L$43,COLUMN()-COLUMN($X$42)+1)))*12+MONTH($L266)-MONTH(INDEX('1 Budget annuel'!$L$14:$L$43,COLUMN()-COLUMN($X$42)+1)),12)=0,DAY($L266)=MIN(DAY(INDEX('1 Budget annuel'!$L$14:$L$43,COLUMN()-COLUMN($X$42)+1)),DAY(EOMONTH($L266,0))))),IF(INDEX('1 Budget annuel'!$B$14:$B$43,COLUMN()-COLUMN($X$42)+1)="Entrée",INDEX('1 Budget annuel'!$I$14:$I$43,COLUMN()-COLUMN($X$42)+1),-INDEX('1 Budget annuel'!$I$14:$I$43,COLUMN()-COLUMN($X$42)+1)),0))</x:f>
        <x:v>0</x:v>
      </x:c>
    </x:row>
    <x:row r="267">
      <x:c r="L267" s="114" t="n">
        <x:f>L266+1</x:f>
        <x:v>46461</x:v>
      </x:c>
      <x:c r="M267" s="115" t="b">
        <x:f>AND(L267&gt;=$D$5,L267&lt;=$D$5+363,MOD(L267-$D$5,7)=0)</x:f>
        <x:v>0</x:v>
      </x:c>
      <x:c r="N267" s="116" t="n">
        <x:f>SUM(X267:BA267)</x:f>
        <x:v>0</x:v>
      </x:c>
      <x:c r="O267" s="116" t="n">
        <x:f>IF(M267,$D$10,0)</x:f>
        <x:v>0</x:v>
      </x:c>
      <x:c r="P267" s="116" t="n">
        <x:f>N267-O267</x:f>
        <x:v>0</x:v>
      </x:c>
      <x:c r="Q267" s="116" t="n">
        <x:f>IF(L267&lt;$D$5,0,IF(L267=$D$5,P267,Q266+P267))</x:f>
        <x:v>0</x:v>
      </x:c>
      <x:c r="R267" s="116" t="n">
        <x:f>IF(L267&lt;$D$5,"",$J$10+Q267)</x:f>
        <x:v>0</x:v>
      </x:c>
      <x:c r="S267" s="116" t="n">
        <x:f>IF($L267&lt;$D$5,"",IF($L267=$D$5,$J$10+$N267-IF($M267,IF(INT(($L267-$D$5)/7)&lt;$A$20,$B$20,$D$10),0),S266+$N267-IF($M267,IF(INT(($L267-$D$5)/7)&lt;$A$20,$B$20,$D$10),0)))</x:f>
        <x:v>0</x:v>
      </x:c>
      <x:c r="T267" s="116" t="n">
        <x:f>IF($L267&lt;$D$5,"",IF($L267=$D$5,$J$10+$N267-IF($M267,IF(INT(($L267-$D$5)/7)&lt;$A$21,$B$21,$D$10),0),T266+$N267-IF($M267,IF(INT(($L267-$D$5)/7)&lt;$A$21,$B$21,$D$10),0)))</x:f>
        <x:v>0</x:v>
      </x:c>
      <x:c r="U267" s="116" t="n">
        <x:f>IF($L267&lt;$D$5,"",IF($L267=$D$5,$J$10+$N267-IF($M267,IF(INT(($L267-$D$5)/7)&lt;$A$22,$B$22,$D$10),0),U266+$N267-IF($M267,IF(INT(($L267-$D$5)/7)&lt;$A$22,$B$22,$D$10),0)))</x:f>
        <x:v>0</x:v>
      </x:c>
      <x:c r="V267" s="116" t="n">
        <x:f>IF($L267&lt;$D$5,"",IF($L267=$D$5,$J$10+$N267-IF($M267,IF(INT(($L267-$D$5)/7)&lt;$A$23,$B$23,$D$10),0),V266+$N267-IF($M267,IF(INT(($L267-$D$5)/7)&lt;$A$23,$B$23,$D$10),0)))</x:f>
        <x:v>0</x:v>
      </x:c>
      <x:c r="W267" s="116" t="n">
        <x:f>IF($L267&lt;$D$5,"",IF($L267=$D$5,$J$10+$N267-IF($M267,IF(INT(($L267-$D$5)/7)&lt;$A$24,$B$24,$D$10),0),W266+$N267-IF($M267,IF(INT(($L267-$D$5)/7)&lt;$A$24,$B$24,$D$10),0)))</x:f>
        <x:v>0</x:v>
      </x:c>
      <x:c r="X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Y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Z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A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B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C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D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E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F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G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H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I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J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K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L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M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N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O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P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Q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R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S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T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U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V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W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X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Y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AZ267" s="116"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c r="BA267" s="117" t="n">
        <x:f>IF(OR(INDEX('1 Budget annuel'!$A$14:$A$43,COLUMN()-COLUMN($X$42)+1)&lt;&gt;"Oui",INDEX('1 Budget annuel'!$L$14:$L$43,COLUMN()-COLUMN($X$42)+1)="",AND(INDEX('1 Budget annuel'!$B$14:$B$43,COLUMN()-COLUMN($X$42)+1)="Sortie",INDEX('1 Budget annuel'!$M$14:$M$43,COLUMN()-COLUMN($X$42)+1)="Oui"),$L267&lt;INDEX('1 Budget annuel'!$L$14:$L$43,COLUMN()-COLUMN($X$42)+1),$L267&gt;$D$5+363),0,IF(OR(AND(INDEX('1 Budget annuel'!$E$14:$E$43,COLUMN()-COLUMN($X$42)+1)="Hebdomadaire",MOD($L267-INDEX('1 Budget annuel'!$L$14:$L$43,COLUMN()-COLUMN($X$42)+1),7)=0),AND(INDEX('1 Budget annuel'!$E$14:$E$43,COLUMN()-COLUMN($X$42)+1)="Toutes les 4 semaines",MOD($L267-INDEX('1 Budget annuel'!$L$14:$L$43,COLUMN()-COLUMN($X$42)+1),28)=0),AND(INDEX('1 Budget annuel'!$E$14:$E$43,COLUMN()-COLUMN($X$42)+1)="Mensuelle",DAY($L267)=MIN(DAY(INDEX('1 Budget annuel'!$L$14:$L$43,COLUMN()-COLUMN($X$42)+1)),DAY(EOMONTH($L267,0)))),AND(INDEX('1 Budget annuel'!$E$14:$E$43,COLUMN()-COLUMN($X$42)+1)="Trimestrielle",MOD((YEAR($L267)-YEAR(INDEX('1 Budget annuel'!$L$14:$L$43,COLUMN()-COLUMN($X$42)+1)))*12+MONTH($L267)-MONTH(INDEX('1 Budget annuel'!$L$14:$L$43,COLUMN()-COLUMN($X$42)+1)),3)=0,DAY($L267)=MIN(DAY(INDEX('1 Budget annuel'!$L$14:$L$43,COLUMN()-COLUMN($X$42)+1)),DAY(EOMONTH($L267,0)))),AND(INDEX('1 Budget annuel'!$E$14:$E$43,COLUMN()-COLUMN($X$42)+1)="Semestrielle",MOD((YEAR($L267)-YEAR(INDEX('1 Budget annuel'!$L$14:$L$43,COLUMN()-COLUMN($X$42)+1)))*12+MONTH($L267)-MONTH(INDEX('1 Budget annuel'!$L$14:$L$43,COLUMN()-COLUMN($X$42)+1)),6)=0,DAY($L267)=MIN(DAY(INDEX('1 Budget annuel'!$L$14:$L$43,COLUMN()-COLUMN($X$42)+1)),DAY(EOMONTH($L267,0)))),AND(INDEX('1 Budget annuel'!$E$14:$E$43,COLUMN()-COLUMN($X$42)+1)="Annuelle",MOD((YEAR($L267)-YEAR(INDEX('1 Budget annuel'!$L$14:$L$43,COLUMN()-COLUMN($X$42)+1)))*12+MONTH($L267)-MONTH(INDEX('1 Budget annuel'!$L$14:$L$43,COLUMN()-COLUMN($X$42)+1)),12)=0,DAY($L267)=MIN(DAY(INDEX('1 Budget annuel'!$L$14:$L$43,COLUMN()-COLUMN($X$42)+1)),DAY(EOMONTH($L267,0))))),IF(INDEX('1 Budget annuel'!$B$14:$B$43,COLUMN()-COLUMN($X$42)+1)="Entrée",INDEX('1 Budget annuel'!$I$14:$I$43,COLUMN()-COLUMN($X$42)+1),-INDEX('1 Budget annuel'!$I$14:$I$43,COLUMN()-COLUMN($X$42)+1)),0))</x:f>
        <x:v>0</x:v>
      </x:c>
    </x:row>
    <x:row r="268">
      <x:c r="L268" s="114" t="n">
        <x:f>L267+1</x:f>
        <x:v>46462</x:v>
      </x:c>
      <x:c r="M268" s="115" t="b">
        <x:f>AND(L268&gt;=$D$5,L268&lt;=$D$5+363,MOD(L268-$D$5,7)=0)</x:f>
        <x:v>0</x:v>
      </x:c>
      <x:c r="N268" s="116" t="n">
        <x:f>SUM(X268:BA268)</x:f>
        <x:v>0</x:v>
      </x:c>
      <x:c r="O268" s="116" t="n">
        <x:f>IF(M268,$D$10,0)</x:f>
        <x:v>0</x:v>
      </x:c>
      <x:c r="P268" s="116" t="n">
        <x:f>N268-O268</x:f>
        <x:v>0</x:v>
      </x:c>
      <x:c r="Q268" s="116" t="n">
        <x:f>IF(L268&lt;$D$5,0,IF(L268=$D$5,P268,Q267+P268))</x:f>
        <x:v>0</x:v>
      </x:c>
      <x:c r="R268" s="116" t="n">
        <x:f>IF(L268&lt;$D$5,"",$J$10+Q268)</x:f>
        <x:v>0</x:v>
      </x:c>
      <x:c r="S268" s="116" t="n">
        <x:f>IF($L268&lt;$D$5,"",IF($L268=$D$5,$J$10+$N268-IF($M268,IF(INT(($L268-$D$5)/7)&lt;$A$20,$B$20,$D$10),0),S267+$N268-IF($M268,IF(INT(($L268-$D$5)/7)&lt;$A$20,$B$20,$D$10),0)))</x:f>
        <x:v>0</x:v>
      </x:c>
      <x:c r="T268" s="116" t="n">
        <x:f>IF($L268&lt;$D$5,"",IF($L268=$D$5,$J$10+$N268-IF($M268,IF(INT(($L268-$D$5)/7)&lt;$A$21,$B$21,$D$10),0),T267+$N268-IF($M268,IF(INT(($L268-$D$5)/7)&lt;$A$21,$B$21,$D$10),0)))</x:f>
        <x:v>0</x:v>
      </x:c>
      <x:c r="U268" s="116" t="n">
        <x:f>IF($L268&lt;$D$5,"",IF($L268=$D$5,$J$10+$N268-IF($M268,IF(INT(($L268-$D$5)/7)&lt;$A$22,$B$22,$D$10),0),U267+$N268-IF($M268,IF(INT(($L268-$D$5)/7)&lt;$A$22,$B$22,$D$10),0)))</x:f>
        <x:v>0</x:v>
      </x:c>
      <x:c r="V268" s="116" t="n">
        <x:f>IF($L268&lt;$D$5,"",IF($L268=$D$5,$J$10+$N268-IF($M268,IF(INT(($L268-$D$5)/7)&lt;$A$23,$B$23,$D$10),0),V267+$N268-IF($M268,IF(INT(($L268-$D$5)/7)&lt;$A$23,$B$23,$D$10),0)))</x:f>
        <x:v>0</x:v>
      </x:c>
      <x:c r="W268" s="116" t="n">
        <x:f>IF($L268&lt;$D$5,"",IF($L268=$D$5,$J$10+$N268-IF($M268,IF(INT(($L268-$D$5)/7)&lt;$A$24,$B$24,$D$10),0),W267+$N268-IF($M268,IF(INT(($L268-$D$5)/7)&lt;$A$24,$B$24,$D$10),0)))</x:f>
        <x:v>0</x:v>
      </x:c>
      <x:c r="X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Y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Z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A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B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C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D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E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F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G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H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I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J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K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L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M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N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O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P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Q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R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S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T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U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V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W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X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Y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AZ268" s="116"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c r="BA268" s="117" t="n">
        <x:f>IF(OR(INDEX('1 Budget annuel'!$A$14:$A$43,COLUMN()-COLUMN($X$42)+1)&lt;&gt;"Oui",INDEX('1 Budget annuel'!$L$14:$L$43,COLUMN()-COLUMN($X$42)+1)="",AND(INDEX('1 Budget annuel'!$B$14:$B$43,COLUMN()-COLUMN($X$42)+1)="Sortie",INDEX('1 Budget annuel'!$M$14:$M$43,COLUMN()-COLUMN($X$42)+1)="Oui"),$L268&lt;INDEX('1 Budget annuel'!$L$14:$L$43,COLUMN()-COLUMN($X$42)+1),$L268&gt;$D$5+363),0,IF(OR(AND(INDEX('1 Budget annuel'!$E$14:$E$43,COLUMN()-COLUMN($X$42)+1)="Hebdomadaire",MOD($L268-INDEX('1 Budget annuel'!$L$14:$L$43,COLUMN()-COLUMN($X$42)+1),7)=0),AND(INDEX('1 Budget annuel'!$E$14:$E$43,COLUMN()-COLUMN($X$42)+1)="Toutes les 4 semaines",MOD($L268-INDEX('1 Budget annuel'!$L$14:$L$43,COLUMN()-COLUMN($X$42)+1),28)=0),AND(INDEX('1 Budget annuel'!$E$14:$E$43,COLUMN()-COLUMN($X$42)+1)="Mensuelle",DAY($L268)=MIN(DAY(INDEX('1 Budget annuel'!$L$14:$L$43,COLUMN()-COLUMN($X$42)+1)),DAY(EOMONTH($L268,0)))),AND(INDEX('1 Budget annuel'!$E$14:$E$43,COLUMN()-COLUMN($X$42)+1)="Trimestrielle",MOD((YEAR($L268)-YEAR(INDEX('1 Budget annuel'!$L$14:$L$43,COLUMN()-COLUMN($X$42)+1)))*12+MONTH($L268)-MONTH(INDEX('1 Budget annuel'!$L$14:$L$43,COLUMN()-COLUMN($X$42)+1)),3)=0,DAY($L268)=MIN(DAY(INDEX('1 Budget annuel'!$L$14:$L$43,COLUMN()-COLUMN($X$42)+1)),DAY(EOMONTH($L268,0)))),AND(INDEX('1 Budget annuel'!$E$14:$E$43,COLUMN()-COLUMN($X$42)+1)="Semestrielle",MOD((YEAR($L268)-YEAR(INDEX('1 Budget annuel'!$L$14:$L$43,COLUMN()-COLUMN($X$42)+1)))*12+MONTH($L268)-MONTH(INDEX('1 Budget annuel'!$L$14:$L$43,COLUMN()-COLUMN($X$42)+1)),6)=0,DAY($L268)=MIN(DAY(INDEX('1 Budget annuel'!$L$14:$L$43,COLUMN()-COLUMN($X$42)+1)),DAY(EOMONTH($L268,0)))),AND(INDEX('1 Budget annuel'!$E$14:$E$43,COLUMN()-COLUMN($X$42)+1)="Annuelle",MOD((YEAR($L268)-YEAR(INDEX('1 Budget annuel'!$L$14:$L$43,COLUMN()-COLUMN($X$42)+1)))*12+MONTH($L268)-MONTH(INDEX('1 Budget annuel'!$L$14:$L$43,COLUMN()-COLUMN($X$42)+1)),12)=0,DAY($L268)=MIN(DAY(INDEX('1 Budget annuel'!$L$14:$L$43,COLUMN()-COLUMN($X$42)+1)),DAY(EOMONTH($L268,0))))),IF(INDEX('1 Budget annuel'!$B$14:$B$43,COLUMN()-COLUMN($X$42)+1)="Entrée",INDEX('1 Budget annuel'!$I$14:$I$43,COLUMN()-COLUMN($X$42)+1),-INDEX('1 Budget annuel'!$I$14:$I$43,COLUMN()-COLUMN($X$42)+1)),0))</x:f>
        <x:v>0</x:v>
      </x:c>
    </x:row>
    <x:row r="269">
      <x:c r="L269" s="114" t="n">
        <x:f>L268+1</x:f>
        <x:v>46463</x:v>
      </x:c>
      <x:c r="M269" s="115" t="b">
        <x:f>AND(L269&gt;=$D$5,L269&lt;=$D$5+363,MOD(L269-$D$5,7)=0)</x:f>
        <x:v>0</x:v>
      </x:c>
      <x:c r="N269" s="116" t="n">
        <x:f>SUM(X269:BA269)</x:f>
        <x:v>0</x:v>
      </x:c>
      <x:c r="O269" s="116" t="n">
        <x:f>IF(M269,$D$10,0)</x:f>
        <x:v>0</x:v>
      </x:c>
      <x:c r="P269" s="116" t="n">
        <x:f>N269-O269</x:f>
        <x:v>0</x:v>
      </x:c>
      <x:c r="Q269" s="116" t="n">
        <x:f>IF(L269&lt;$D$5,0,IF(L269=$D$5,P269,Q268+P269))</x:f>
        <x:v>0</x:v>
      </x:c>
      <x:c r="R269" s="116" t="n">
        <x:f>IF(L269&lt;$D$5,"",$J$10+Q269)</x:f>
        <x:v>0</x:v>
      </x:c>
      <x:c r="S269" s="116" t="n">
        <x:f>IF($L269&lt;$D$5,"",IF($L269=$D$5,$J$10+$N269-IF($M269,IF(INT(($L269-$D$5)/7)&lt;$A$20,$B$20,$D$10),0),S268+$N269-IF($M269,IF(INT(($L269-$D$5)/7)&lt;$A$20,$B$20,$D$10),0)))</x:f>
        <x:v>0</x:v>
      </x:c>
      <x:c r="T269" s="116" t="n">
        <x:f>IF($L269&lt;$D$5,"",IF($L269=$D$5,$J$10+$N269-IF($M269,IF(INT(($L269-$D$5)/7)&lt;$A$21,$B$21,$D$10),0),T268+$N269-IF($M269,IF(INT(($L269-$D$5)/7)&lt;$A$21,$B$21,$D$10),0)))</x:f>
        <x:v>0</x:v>
      </x:c>
      <x:c r="U269" s="116" t="n">
        <x:f>IF($L269&lt;$D$5,"",IF($L269=$D$5,$J$10+$N269-IF($M269,IF(INT(($L269-$D$5)/7)&lt;$A$22,$B$22,$D$10),0),U268+$N269-IF($M269,IF(INT(($L269-$D$5)/7)&lt;$A$22,$B$22,$D$10),0)))</x:f>
        <x:v>0</x:v>
      </x:c>
      <x:c r="V269" s="116" t="n">
        <x:f>IF($L269&lt;$D$5,"",IF($L269=$D$5,$J$10+$N269-IF($M269,IF(INT(($L269-$D$5)/7)&lt;$A$23,$B$23,$D$10),0),V268+$N269-IF($M269,IF(INT(($L269-$D$5)/7)&lt;$A$23,$B$23,$D$10),0)))</x:f>
        <x:v>0</x:v>
      </x:c>
      <x:c r="W269" s="116" t="n">
        <x:f>IF($L269&lt;$D$5,"",IF($L269=$D$5,$J$10+$N269-IF($M269,IF(INT(($L269-$D$5)/7)&lt;$A$24,$B$24,$D$10),0),W268+$N269-IF($M269,IF(INT(($L269-$D$5)/7)&lt;$A$24,$B$24,$D$10),0)))</x:f>
        <x:v>0</x:v>
      </x:c>
      <x:c r="X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Y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Z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A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B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C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D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E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F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G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H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I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J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K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L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M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N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O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P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Q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R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S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T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U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V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W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X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Y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AZ269" s="116"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c r="BA269" s="117" t="n">
        <x:f>IF(OR(INDEX('1 Budget annuel'!$A$14:$A$43,COLUMN()-COLUMN($X$42)+1)&lt;&gt;"Oui",INDEX('1 Budget annuel'!$L$14:$L$43,COLUMN()-COLUMN($X$42)+1)="",AND(INDEX('1 Budget annuel'!$B$14:$B$43,COLUMN()-COLUMN($X$42)+1)="Sortie",INDEX('1 Budget annuel'!$M$14:$M$43,COLUMN()-COLUMN($X$42)+1)="Oui"),$L269&lt;INDEX('1 Budget annuel'!$L$14:$L$43,COLUMN()-COLUMN($X$42)+1),$L269&gt;$D$5+363),0,IF(OR(AND(INDEX('1 Budget annuel'!$E$14:$E$43,COLUMN()-COLUMN($X$42)+1)="Hebdomadaire",MOD($L269-INDEX('1 Budget annuel'!$L$14:$L$43,COLUMN()-COLUMN($X$42)+1),7)=0),AND(INDEX('1 Budget annuel'!$E$14:$E$43,COLUMN()-COLUMN($X$42)+1)="Toutes les 4 semaines",MOD($L269-INDEX('1 Budget annuel'!$L$14:$L$43,COLUMN()-COLUMN($X$42)+1),28)=0),AND(INDEX('1 Budget annuel'!$E$14:$E$43,COLUMN()-COLUMN($X$42)+1)="Mensuelle",DAY($L269)=MIN(DAY(INDEX('1 Budget annuel'!$L$14:$L$43,COLUMN()-COLUMN($X$42)+1)),DAY(EOMONTH($L269,0)))),AND(INDEX('1 Budget annuel'!$E$14:$E$43,COLUMN()-COLUMN($X$42)+1)="Trimestrielle",MOD((YEAR($L269)-YEAR(INDEX('1 Budget annuel'!$L$14:$L$43,COLUMN()-COLUMN($X$42)+1)))*12+MONTH($L269)-MONTH(INDEX('1 Budget annuel'!$L$14:$L$43,COLUMN()-COLUMN($X$42)+1)),3)=0,DAY($L269)=MIN(DAY(INDEX('1 Budget annuel'!$L$14:$L$43,COLUMN()-COLUMN($X$42)+1)),DAY(EOMONTH($L269,0)))),AND(INDEX('1 Budget annuel'!$E$14:$E$43,COLUMN()-COLUMN($X$42)+1)="Semestrielle",MOD((YEAR($L269)-YEAR(INDEX('1 Budget annuel'!$L$14:$L$43,COLUMN()-COLUMN($X$42)+1)))*12+MONTH($L269)-MONTH(INDEX('1 Budget annuel'!$L$14:$L$43,COLUMN()-COLUMN($X$42)+1)),6)=0,DAY($L269)=MIN(DAY(INDEX('1 Budget annuel'!$L$14:$L$43,COLUMN()-COLUMN($X$42)+1)),DAY(EOMONTH($L269,0)))),AND(INDEX('1 Budget annuel'!$E$14:$E$43,COLUMN()-COLUMN($X$42)+1)="Annuelle",MOD((YEAR($L269)-YEAR(INDEX('1 Budget annuel'!$L$14:$L$43,COLUMN()-COLUMN($X$42)+1)))*12+MONTH($L269)-MONTH(INDEX('1 Budget annuel'!$L$14:$L$43,COLUMN()-COLUMN($X$42)+1)),12)=0,DAY($L269)=MIN(DAY(INDEX('1 Budget annuel'!$L$14:$L$43,COLUMN()-COLUMN($X$42)+1)),DAY(EOMONTH($L269,0))))),IF(INDEX('1 Budget annuel'!$B$14:$B$43,COLUMN()-COLUMN($X$42)+1)="Entrée",INDEX('1 Budget annuel'!$I$14:$I$43,COLUMN()-COLUMN($X$42)+1),-INDEX('1 Budget annuel'!$I$14:$I$43,COLUMN()-COLUMN($X$42)+1)),0))</x:f>
        <x:v>0</x:v>
      </x:c>
    </x:row>
    <x:row r="270">
      <x:c r="L270" s="114" t="n">
        <x:f>L269+1</x:f>
        <x:v>46464</x:v>
      </x:c>
      <x:c r="M270" s="115" t="b">
        <x:f>AND(L270&gt;=$D$5,L270&lt;=$D$5+363,MOD(L270-$D$5,7)=0)</x:f>
        <x:v>0</x:v>
      </x:c>
      <x:c r="N270" s="116" t="n">
        <x:f>SUM(X270:BA270)</x:f>
        <x:v>0</x:v>
      </x:c>
      <x:c r="O270" s="116" t="n">
        <x:f>IF(M270,$D$10,0)</x:f>
        <x:v>0</x:v>
      </x:c>
      <x:c r="P270" s="116" t="n">
        <x:f>N270-O270</x:f>
        <x:v>0</x:v>
      </x:c>
      <x:c r="Q270" s="116" t="n">
        <x:f>IF(L270&lt;$D$5,0,IF(L270=$D$5,P270,Q269+P270))</x:f>
        <x:v>0</x:v>
      </x:c>
      <x:c r="R270" s="116" t="n">
        <x:f>IF(L270&lt;$D$5,"",$J$10+Q270)</x:f>
        <x:v>0</x:v>
      </x:c>
      <x:c r="S270" s="116" t="n">
        <x:f>IF($L270&lt;$D$5,"",IF($L270=$D$5,$J$10+$N270-IF($M270,IF(INT(($L270-$D$5)/7)&lt;$A$20,$B$20,$D$10),0),S269+$N270-IF($M270,IF(INT(($L270-$D$5)/7)&lt;$A$20,$B$20,$D$10),0)))</x:f>
        <x:v>0</x:v>
      </x:c>
      <x:c r="T270" s="116" t="n">
        <x:f>IF($L270&lt;$D$5,"",IF($L270=$D$5,$J$10+$N270-IF($M270,IF(INT(($L270-$D$5)/7)&lt;$A$21,$B$21,$D$10),0),T269+$N270-IF($M270,IF(INT(($L270-$D$5)/7)&lt;$A$21,$B$21,$D$10),0)))</x:f>
        <x:v>0</x:v>
      </x:c>
      <x:c r="U270" s="116" t="n">
        <x:f>IF($L270&lt;$D$5,"",IF($L270=$D$5,$J$10+$N270-IF($M270,IF(INT(($L270-$D$5)/7)&lt;$A$22,$B$22,$D$10),0),U269+$N270-IF($M270,IF(INT(($L270-$D$5)/7)&lt;$A$22,$B$22,$D$10),0)))</x:f>
        <x:v>0</x:v>
      </x:c>
      <x:c r="V270" s="116" t="n">
        <x:f>IF($L270&lt;$D$5,"",IF($L270=$D$5,$J$10+$N270-IF($M270,IF(INT(($L270-$D$5)/7)&lt;$A$23,$B$23,$D$10),0),V269+$N270-IF($M270,IF(INT(($L270-$D$5)/7)&lt;$A$23,$B$23,$D$10),0)))</x:f>
        <x:v>0</x:v>
      </x:c>
      <x:c r="W270" s="116" t="n">
        <x:f>IF($L270&lt;$D$5,"",IF($L270=$D$5,$J$10+$N270-IF($M270,IF(INT(($L270-$D$5)/7)&lt;$A$24,$B$24,$D$10),0),W269+$N270-IF($M270,IF(INT(($L270-$D$5)/7)&lt;$A$24,$B$24,$D$10),0)))</x:f>
        <x:v>0</x:v>
      </x:c>
      <x:c r="X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Y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Z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A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B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C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D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E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F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G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H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I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J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K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L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M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N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O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P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Q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R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S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T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U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V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W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X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Y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AZ270" s="116"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c r="BA270" s="117" t="n">
        <x:f>IF(OR(INDEX('1 Budget annuel'!$A$14:$A$43,COLUMN()-COLUMN($X$42)+1)&lt;&gt;"Oui",INDEX('1 Budget annuel'!$L$14:$L$43,COLUMN()-COLUMN($X$42)+1)="",AND(INDEX('1 Budget annuel'!$B$14:$B$43,COLUMN()-COLUMN($X$42)+1)="Sortie",INDEX('1 Budget annuel'!$M$14:$M$43,COLUMN()-COLUMN($X$42)+1)="Oui"),$L270&lt;INDEX('1 Budget annuel'!$L$14:$L$43,COLUMN()-COLUMN($X$42)+1),$L270&gt;$D$5+363),0,IF(OR(AND(INDEX('1 Budget annuel'!$E$14:$E$43,COLUMN()-COLUMN($X$42)+1)="Hebdomadaire",MOD($L270-INDEX('1 Budget annuel'!$L$14:$L$43,COLUMN()-COLUMN($X$42)+1),7)=0),AND(INDEX('1 Budget annuel'!$E$14:$E$43,COLUMN()-COLUMN($X$42)+1)="Toutes les 4 semaines",MOD($L270-INDEX('1 Budget annuel'!$L$14:$L$43,COLUMN()-COLUMN($X$42)+1),28)=0),AND(INDEX('1 Budget annuel'!$E$14:$E$43,COLUMN()-COLUMN($X$42)+1)="Mensuelle",DAY($L270)=MIN(DAY(INDEX('1 Budget annuel'!$L$14:$L$43,COLUMN()-COLUMN($X$42)+1)),DAY(EOMONTH($L270,0)))),AND(INDEX('1 Budget annuel'!$E$14:$E$43,COLUMN()-COLUMN($X$42)+1)="Trimestrielle",MOD((YEAR($L270)-YEAR(INDEX('1 Budget annuel'!$L$14:$L$43,COLUMN()-COLUMN($X$42)+1)))*12+MONTH($L270)-MONTH(INDEX('1 Budget annuel'!$L$14:$L$43,COLUMN()-COLUMN($X$42)+1)),3)=0,DAY($L270)=MIN(DAY(INDEX('1 Budget annuel'!$L$14:$L$43,COLUMN()-COLUMN($X$42)+1)),DAY(EOMONTH($L270,0)))),AND(INDEX('1 Budget annuel'!$E$14:$E$43,COLUMN()-COLUMN($X$42)+1)="Semestrielle",MOD((YEAR($L270)-YEAR(INDEX('1 Budget annuel'!$L$14:$L$43,COLUMN()-COLUMN($X$42)+1)))*12+MONTH($L270)-MONTH(INDEX('1 Budget annuel'!$L$14:$L$43,COLUMN()-COLUMN($X$42)+1)),6)=0,DAY($L270)=MIN(DAY(INDEX('1 Budget annuel'!$L$14:$L$43,COLUMN()-COLUMN($X$42)+1)),DAY(EOMONTH($L270,0)))),AND(INDEX('1 Budget annuel'!$E$14:$E$43,COLUMN()-COLUMN($X$42)+1)="Annuelle",MOD((YEAR($L270)-YEAR(INDEX('1 Budget annuel'!$L$14:$L$43,COLUMN()-COLUMN($X$42)+1)))*12+MONTH($L270)-MONTH(INDEX('1 Budget annuel'!$L$14:$L$43,COLUMN()-COLUMN($X$42)+1)),12)=0,DAY($L270)=MIN(DAY(INDEX('1 Budget annuel'!$L$14:$L$43,COLUMN()-COLUMN($X$42)+1)),DAY(EOMONTH($L270,0))))),IF(INDEX('1 Budget annuel'!$B$14:$B$43,COLUMN()-COLUMN($X$42)+1)="Entrée",INDEX('1 Budget annuel'!$I$14:$I$43,COLUMN()-COLUMN($X$42)+1),-INDEX('1 Budget annuel'!$I$14:$I$43,COLUMN()-COLUMN($X$42)+1)),0))</x:f>
        <x:v>0</x:v>
      </x:c>
    </x:row>
    <x:row r="271">
      <x:c r="L271" s="114" t="n">
        <x:f>L270+1</x:f>
        <x:v>46465</x:v>
      </x:c>
      <x:c r="M271" s="115" t="b">
        <x:f>AND(L271&gt;=$D$5,L271&lt;=$D$5+363,MOD(L271-$D$5,7)=0)</x:f>
        <x:v>0</x:v>
      </x:c>
      <x:c r="N271" s="116" t="n">
        <x:f>SUM(X271:BA271)</x:f>
        <x:v>0</x:v>
      </x:c>
      <x:c r="O271" s="116" t="n">
        <x:f>IF(M271,$D$10,0)</x:f>
        <x:v>0</x:v>
      </x:c>
      <x:c r="P271" s="116" t="n">
        <x:f>N271-O271</x:f>
        <x:v>0</x:v>
      </x:c>
      <x:c r="Q271" s="116" t="n">
        <x:f>IF(L271&lt;$D$5,0,IF(L271=$D$5,P271,Q270+P271))</x:f>
        <x:v>0</x:v>
      </x:c>
      <x:c r="R271" s="116" t="n">
        <x:f>IF(L271&lt;$D$5,"",$J$10+Q271)</x:f>
        <x:v>0</x:v>
      </x:c>
      <x:c r="S271" s="116" t="n">
        <x:f>IF($L271&lt;$D$5,"",IF($L271=$D$5,$J$10+$N271-IF($M271,IF(INT(($L271-$D$5)/7)&lt;$A$20,$B$20,$D$10),0),S270+$N271-IF($M271,IF(INT(($L271-$D$5)/7)&lt;$A$20,$B$20,$D$10),0)))</x:f>
        <x:v>0</x:v>
      </x:c>
      <x:c r="T271" s="116" t="n">
        <x:f>IF($L271&lt;$D$5,"",IF($L271=$D$5,$J$10+$N271-IF($M271,IF(INT(($L271-$D$5)/7)&lt;$A$21,$B$21,$D$10),0),T270+$N271-IF($M271,IF(INT(($L271-$D$5)/7)&lt;$A$21,$B$21,$D$10),0)))</x:f>
        <x:v>0</x:v>
      </x:c>
      <x:c r="U271" s="116" t="n">
        <x:f>IF($L271&lt;$D$5,"",IF($L271=$D$5,$J$10+$N271-IF($M271,IF(INT(($L271-$D$5)/7)&lt;$A$22,$B$22,$D$10),0),U270+$N271-IF($M271,IF(INT(($L271-$D$5)/7)&lt;$A$22,$B$22,$D$10),0)))</x:f>
        <x:v>0</x:v>
      </x:c>
      <x:c r="V271" s="116" t="n">
        <x:f>IF($L271&lt;$D$5,"",IF($L271=$D$5,$J$10+$N271-IF($M271,IF(INT(($L271-$D$5)/7)&lt;$A$23,$B$23,$D$10),0),V270+$N271-IF($M271,IF(INT(($L271-$D$5)/7)&lt;$A$23,$B$23,$D$10),0)))</x:f>
        <x:v>0</x:v>
      </x:c>
      <x:c r="W271" s="116" t="n">
        <x:f>IF($L271&lt;$D$5,"",IF($L271=$D$5,$J$10+$N271-IF($M271,IF(INT(($L271-$D$5)/7)&lt;$A$24,$B$24,$D$10),0),W270+$N271-IF($M271,IF(INT(($L271-$D$5)/7)&lt;$A$24,$B$24,$D$10),0)))</x:f>
        <x:v>0</x:v>
      </x:c>
      <x:c r="X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Y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Z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A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B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C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D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E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F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G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H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I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J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K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L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M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N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O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P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Q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R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S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T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U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V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W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X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Y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AZ271" s="116"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c r="BA271" s="117" t="n">
        <x:f>IF(OR(INDEX('1 Budget annuel'!$A$14:$A$43,COLUMN()-COLUMN($X$42)+1)&lt;&gt;"Oui",INDEX('1 Budget annuel'!$L$14:$L$43,COLUMN()-COLUMN($X$42)+1)="",AND(INDEX('1 Budget annuel'!$B$14:$B$43,COLUMN()-COLUMN($X$42)+1)="Sortie",INDEX('1 Budget annuel'!$M$14:$M$43,COLUMN()-COLUMN($X$42)+1)="Oui"),$L271&lt;INDEX('1 Budget annuel'!$L$14:$L$43,COLUMN()-COLUMN($X$42)+1),$L271&gt;$D$5+363),0,IF(OR(AND(INDEX('1 Budget annuel'!$E$14:$E$43,COLUMN()-COLUMN($X$42)+1)="Hebdomadaire",MOD($L271-INDEX('1 Budget annuel'!$L$14:$L$43,COLUMN()-COLUMN($X$42)+1),7)=0),AND(INDEX('1 Budget annuel'!$E$14:$E$43,COLUMN()-COLUMN($X$42)+1)="Toutes les 4 semaines",MOD($L271-INDEX('1 Budget annuel'!$L$14:$L$43,COLUMN()-COLUMN($X$42)+1),28)=0),AND(INDEX('1 Budget annuel'!$E$14:$E$43,COLUMN()-COLUMN($X$42)+1)="Mensuelle",DAY($L271)=MIN(DAY(INDEX('1 Budget annuel'!$L$14:$L$43,COLUMN()-COLUMN($X$42)+1)),DAY(EOMONTH($L271,0)))),AND(INDEX('1 Budget annuel'!$E$14:$E$43,COLUMN()-COLUMN($X$42)+1)="Trimestrielle",MOD((YEAR($L271)-YEAR(INDEX('1 Budget annuel'!$L$14:$L$43,COLUMN()-COLUMN($X$42)+1)))*12+MONTH($L271)-MONTH(INDEX('1 Budget annuel'!$L$14:$L$43,COLUMN()-COLUMN($X$42)+1)),3)=0,DAY($L271)=MIN(DAY(INDEX('1 Budget annuel'!$L$14:$L$43,COLUMN()-COLUMN($X$42)+1)),DAY(EOMONTH($L271,0)))),AND(INDEX('1 Budget annuel'!$E$14:$E$43,COLUMN()-COLUMN($X$42)+1)="Semestrielle",MOD((YEAR($L271)-YEAR(INDEX('1 Budget annuel'!$L$14:$L$43,COLUMN()-COLUMN($X$42)+1)))*12+MONTH($L271)-MONTH(INDEX('1 Budget annuel'!$L$14:$L$43,COLUMN()-COLUMN($X$42)+1)),6)=0,DAY($L271)=MIN(DAY(INDEX('1 Budget annuel'!$L$14:$L$43,COLUMN()-COLUMN($X$42)+1)),DAY(EOMONTH($L271,0)))),AND(INDEX('1 Budget annuel'!$E$14:$E$43,COLUMN()-COLUMN($X$42)+1)="Annuelle",MOD((YEAR($L271)-YEAR(INDEX('1 Budget annuel'!$L$14:$L$43,COLUMN()-COLUMN($X$42)+1)))*12+MONTH($L271)-MONTH(INDEX('1 Budget annuel'!$L$14:$L$43,COLUMN()-COLUMN($X$42)+1)),12)=0,DAY($L271)=MIN(DAY(INDEX('1 Budget annuel'!$L$14:$L$43,COLUMN()-COLUMN($X$42)+1)),DAY(EOMONTH($L271,0))))),IF(INDEX('1 Budget annuel'!$B$14:$B$43,COLUMN()-COLUMN($X$42)+1)="Entrée",INDEX('1 Budget annuel'!$I$14:$I$43,COLUMN()-COLUMN($X$42)+1),-INDEX('1 Budget annuel'!$I$14:$I$43,COLUMN()-COLUMN($X$42)+1)),0))</x:f>
        <x:v>0</x:v>
      </x:c>
    </x:row>
    <x:row r="272">
      <x:c r="L272" s="114" t="n">
        <x:f>L271+1</x:f>
        <x:v>46466</x:v>
      </x:c>
      <x:c r="M272" s="115" t="b">
        <x:f>AND(L272&gt;=$D$5,L272&lt;=$D$5+363,MOD(L272-$D$5,7)=0)</x:f>
        <x:v>1</x:v>
      </x:c>
      <x:c r="N272" s="116" t="n">
        <x:f>SUM(X272:BA272)</x:f>
        <x:v>0</x:v>
      </x:c>
      <x:c r="O272" s="116" t="n">
        <x:f>IF(M272,$D$10,0)</x:f>
        <x:v>0</x:v>
      </x:c>
      <x:c r="P272" s="116" t="n">
        <x:f>N272-O272</x:f>
        <x:v>0</x:v>
      </x:c>
      <x:c r="Q272" s="116" t="n">
        <x:f>IF(L272&lt;$D$5,0,IF(L272=$D$5,P272,Q271+P272))</x:f>
        <x:v>0</x:v>
      </x:c>
      <x:c r="R272" s="116" t="n">
        <x:f>IF(L272&lt;$D$5,"",$J$10+Q272)</x:f>
        <x:v>0</x:v>
      </x:c>
      <x:c r="S272" s="116" t="n">
        <x:f>IF($L272&lt;$D$5,"",IF($L272=$D$5,$J$10+$N272-IF($M272,IF(INT(($L272-$D$5)/7)&lt;$A$20,$B$20,$D$10),0),S271+$N272-IF($M272,IF(INT(($L272-$D$5)/7)&lt;$A$20,$B$20,$D$10),0)))</x:f>
        <x:v>0</x:v>
      </x:c>
      <x:c r="T272" s="116" t="n">
        <x:f>IF($L272&lt;$D$5,"",IF($L272=$D$5,$J$10+$N272-IF($M272,IF(INT(($L272-$D$5)/7)&lt;$A$21,$B$21,$D$10),0),T271+$N272-IF($M272,IF(INT(($L272-$D$5)/7)&lt;$A$21,$B$21,$D$10),0)))</x:f>
        <x:v>0</x:v>
      </x:c>
      <x:c r="U272" s="116" t="n">
        <x:f>IF($L272&lt;$D$5,"",IF($L272=$D$5,$J$10+$N272-IF($M272,IF(INT(($L272-$D$5)/7)&lt;$A$22,$B$22,$D$10),0),U271+$N272-IF($M272,IF(INT(($L272-$D$5)/7)&lt;$A$22,$B$22,$D$10),0)))</x:f>
        <x:v>0</x:v>
      </x:c>
      <x:c r="V272" s="116" t="n">
        <x:f>IF($L272&lt;$D$5,"",IF($L272=$D$5,$J$10+$N272-IF($M272,IF(INT(($L272-$D$5)/7)&lt;$A$23,$B$23,$D$10),0),V271+$N272-IF($M272,IF(INT(($L272-$D$5)/7)&lt;$A$23,$B$23,$D$10),0)))</x:f>
        <x:v>0</x:v>
      </x:c>
      <x:c r="W272" s="116" t="n">
        <x:f>IF($L272&lt;$D$5,"",IF($L272=$D$5,$J$10+$N272-IF($M272,IF(INT(($L272-$D$5)/7)&lt;$A$24,$B$24,$D$10),0),W271+$N272-IF($M272,IF(INT(($L272-$D$5)/7)&lt;$A$24,$B$24,$D$10),0)))</x:f>
        <x:v>0</x:v>
      </x:c>
      <x:c r="X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Y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Z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A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B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C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D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E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F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G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H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I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J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K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L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M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N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O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P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Q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R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S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T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U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V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W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X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Y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AZ272" s="116"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c r="BA272" s="117" t="n">
        <x:f>IF(OR(INDEX('1 Budget annuel'!$A$14:$A$43,COLUMN()-COLUMN($X$42)+1)&lt;&gt;"Oui",INDEX('1 Budget annuel'!$L$14:$L$43,COLUMN()-COLUMN($X$42)+1)="",AND(INDEX('1 Budget annuel'!$B$14:$B$43,COLUMN()-COLUMN($X$42)+1)="Sortie",INDEX('1 Budget annuel'!$M$14:$M$43,COLUMN()-COLUMN($X$42)+1)="Oui"),$L272&lt;INDEX('1 Budget annuel'!$L$14:$L$43,COLUMN()-COLUMN($X$42)+1),$L272&gt;$D$5+363),0,IF(OR(AND(INDEX('1 Budget annuel'!$E$14:$E$43,COLUMN()-COLUMN($X$42)+1)="Hebdomadaire",MOD($L272-INDEX('1 Budget annuel'!$L$14:$L$43,COLUMN()-COLUMN($X$42)+1),7)=0),AND(INDEX('1 Budget annuel'!$E$14:$E$43,COLUMN()-COLUMN($X$42)+1)="Toutes les 4 semaines",MOD($L272-INDEX('1 Budget annuel'!$L$14:$L$43,COLUMN()-COLUMN($X$42)+1),28)=0),AND(INDEX('1 Budget annuel'!$E$14:$E$43,COLUMN()-COLUMN($X$42)+1)="Mensuelle",DAY($L272)=MIN(DAY(INDEX('1 Budget annuel'!$L$14:$L$43,COLUMN()-COLUMN($X$42)+1)),DAY(EOMONTH($L272,0)))),AND(INDEX('1 Budget annuel'!$E$14:$E$43,COLUMN()-COLUMN($X$42)+1)="Trimestrielle",MOD((YEAR($L272)-YEAR(INDEX('1 Budget annuel'!$L$14:$L$43,COLUMN()-COLUMN($X$42)+1)))*12+MONTH($L272)-MONTH(INDEX('1 Budget annuel'!$L$14:$L$43,COLUMN()-COLUMN($X$42)+1)),3)=0,DAY($L272)=MIN(DAY(INDEX('1 Budget annuel'!$L$14:$L$43,COLUMN()-COLUMN($X$42)+1)),DAY(EOMONTH($L272,0)))),AND(INDEX('1 Budget annuel'!$E$14:$E$43,COLUMN()-COLUMN($X$42)+1)="Semestrielle",MOD((YEAR($L272)-YEAR(INDEX('1 Budget annuel'!$L$14:$L$43,COLUMN()-COLUMN($X$42)+1)))*12+MONTH($L272)-MONTH(INDEX('1 Budget annuel'!$L$14:$L$43,COLUMN()-COLUMN($X$42)+1)),6)=0,DAY($L272)=MIN(DAY(INDEX('1 Budget annuel'!$L$14:$L$43,COLUMN()-COLUMN($X$42)+1)),DAY(EOMONTH($L272,0)))),AND(INDEX('1 Budget annuel'!$E$14:$E$43,COLUMN()-COLUMN($X$42)+1)="Annuelle",MOD((YEAR($L272)-YEAR(INDEX('1 Budget annuel'!$L$14:$L$43,COLUMN()-COLUMN($X$42)+1)))*12+MONTH($L272)-MONTH(INDEX('1 Budget annuel'!$L$14:$L$43,COLUMN()-COLUMN($X$42)+1)),12)=0,DAY($L272)=MIN(DAY(INDEX('1 Budget annuel'!$L$14:$L$43,COLUMN()-COLUMN($X$42)+1)),DAY(EOMONTH($L272,0))))),IF(INDEX('1 Budget annuel'!$B$14:$B$43,COLUMN()-COLUMN($X$42)+1)="Entrée",INDEX('1 Budget annuel'!$I$14:$I$43,COLUMN()-COLUMN($X$42)+1),-INDEX('1 Budget annuel'!$I$14:$I$43,COLUMN()-COLUMN($X$42)+1)),0))</x:f>
        <x:v>0</x:v>
      </x:c>
    </x:row>
    <x:row r="273">
      <x:c r="L273" s="114" t="n">
        <x:f>L272+1</x:f>
        <x:v>46467</x:v>
      </x:c>
      <x:c r="M273" s="115" t="b">
        <x:f>AND(L273&gt;=$D$5,L273&lt;=$D$5+363,MOD(L273-$D$5,7)=0)</x:f>
        <x:v>0</x:v>
      </x:c>
      <x:c r="N273" s="116" t="n">
        <x:f>SUM(X273:BA273)</x:f>
        <x:v>0</x:v>
      </x:c>
      <x:c r="O273" s="116" t="n">
        <x:f>IF(M273,$D$10,0)</x:f>
        <x:v>0</x:v>
      </x:c>
      <x:c r="P273" s="116" t="n">
        <x:f>N273-O273</x:f>
        <x:v>0</x:v>
      </x:c>
      <x:c r="Q273" s="116" t="n">
        <x:f>IF(L273&lt;$D$5,0,IF(L273=$D$5,P273,Q272+P273))</x:f>
        <x:v>0</x:v>
      </x:c>
      <x:c r="R273" s="116" t="n">
        <x:f>IF(L273&lt;$D$5,"",$J$10+Q273)</x:f>
        <x:v>0</x:v>
      </x:c>
      <x:c r="S273" s="116" t="n">
        <x:f>IF($L273&lt;$D$5,"",IF($L273=$D$5,$J$10+$N273-IF($M273,IF(INT(($L273-$D$5)/7)&lt;$A$20,$B$20,$D$10),0),S272+$N273-IF($M273,IF(INT(($L273-$D$5)/7)&lt;$A$20,$B$20,$D$10),0)))</x:f>
        <x:v>0</x:v>
      </x:c>
      <x:c r="T273" s="116" t="n">
        <x:f>IF($L273&lt;$D$5,"",IF($L273=$D$5,$J$10+$N273-IF($M273,IF(INT(($L273-$D$5)/7)&lt;$A$21,$B$21,$D$10),0),T272+$N273-IF($M273,IF(INT(($L273-$D$5)/7)&lt;$A$21,$B$21,$D$10),0)))</x:f>
        <x:v>0</x:v>
      </x:c>
      <x:c r="U273" s="116" t="n">
        <x:f>IF($L273&lt;$D$5,"",IF($L273=$D$5,$J$10+$N273-IF($M273,IF(INT(($L273-$D$5)/7)&lt;$A$22,$B$22,$D$10),0),U272+$N273-IF($M273,IF(INT(($L273-$D$5)/7)&lt;$A$22,$B$22,$D$10),0)))</x:f>
        <x:v>0</x:v>
      </x:c>
      <x:c r="V273" s="116" t="n">
        <x:f>IF($L273&lt;$D$5,"",IF($L273=$D$5,$J$10+$N273-IF($M273,IF(INT(($L273-$D$5)/7)&lt;$A$23,$B$23,$D$10),0),V272+$N273-IF($M273,IF(INT(($L273-$D$5)/7)&lt;$A$23,$B$23,$D$10),0)))</x:f>
        <x:v>0</x:v>
      </x:c>
      <x:c r="W273" s="116" t="n">
        <x:f>IF($L273&lt;$D$5,"",IF($L273=$D$5,$J$10+$N273-IF($M273,IF(INT(($L273-$D$5)/7)&lt;$A$24,$B$24,$D$10),0),W272+$N273-IF($M273,IF(INT(($L273-$D$5)/7)&lt;$A$24,$B$24,$D$10),0)))</x:f>
        <x:v>0</x:v>
      </x:c>
      <x:c r="X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Y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Z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A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B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C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D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E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F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G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H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I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J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K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L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M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N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O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P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Q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R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S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T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U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V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W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X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Y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AZ273" s="116"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c r="BA273" s="117" t="n">
        <x:f>IF(OR(INDEX('1 Budget annuel'!$A$14:$A$43,COLUMN()-COLUMN($X$42)+1)&lt;&gt;"Oui",INDEX('1 Budget annuel'!$L$14:$L$43,COLUMN()-COLUMN($X$42)+1)="",AND(INDEX('1 Budget annuel'!$B$14:$B$43,COLUMN()-COLUMN($X$42)+1)="Sortie",INDEX('1 Budget annuel'!$M$14:$M$43,COLUMN()-COLUMN($X$42)+1)="Oui"),$L273&lt;INDEX('1 Budget annuel'!$L$14:$L$43,COLUMN()-COLUMN($X$42)+1),$L273&gt;$D$5+363),0,IF(OR(AND(INDEX('1 Budget annuel'!$E$14:$E$43,COLUMN()-COLUMN($X$42)+1)="Hebdomadaire",MOD($L273-INDEX('1 Budget annuel'!$L$14:$L$43,COLUMN()-COLUMN($X$42)+1),7)=0),AND(INDEX('1 Budget annuel'!$E$14:$E$43,COLUMN()-COLUMN($X$42)+1)="Toutes les 4 semaines",MOD($L273-INDEX('1 Budget annuel'!$L$14:$L$43,COLUMN()-COLUMN($X$42)+1),28)=0),AND(INDEX('1 Budget annuel'!$E$14:$E$43,COLUMN()-COLUMN($X$42)+1)="Mensuelle",DAY($L273)=MIN(DAY(INDEX('1 Budget annuel'!$L$14:$L$43,COLUMN()-COLUMN($X$42)+1)),DAY(EOMONTH($L273,0)))),AND(INDEX('1 Budget annuel'!$E$14:$E$43,COLUMN()-COLUMN($X$42)+1)="Trimestrielle",MOD((YEAR($L273)-YEAR(INDEX('1 Budget annuel'!$L$14:$L$43,COLUMN()-COLUMN($X$42)+1)))*12+MONTH($L273)-MONTH(INDEX('1 Budget annuel'!$L$14:$L$43,COLUMN()-COLUMN($X$42)+1)),3)=0,DAY($L273)=MIN(DAY(INDEX('1 Budget annuel'!$L$14:$L$43,COLUMN()-COLUMN($X$42)+1)),DAY(EOMONTH($L273,0)))),AND(INDEX('1 Budget annuel'!$E$14:$E$43,COLUMN()-COLUMN($X$42)+1)="Semestrielle",MOD((YEAR($L273)-YEAR(INDEX('1 Budget annuel'!$L$14:$L$43,COLUMN()-COLUMN($X$42)+1)))*12+MONTH($L273)-MONTH(INDEX('1 Budget annuel'!$L$14:$L$43,COLUMN()-COLUMN($X$42)+1)),6)=0,DAY($L273)=MIN(DAY(INDEX('1 Budget annuel'!$L$14:$L$43,COLUMN()-COLUMN($X$42)+1)),DAY(EOMONTH($L273,0)))),AND(INDEX('1 Budget annuel'!$E$14:$E$43,COLUMN()-COLUMN($X$42)+1)="Annuelle",MOD((YEAR($L273)-YEAR(INDEX('1 Budget annuel'!$L$14:$L$43,COLUMN()-COLUMN($X$42)+1)))*12+MONTH($L273)-MONTH(INDEX('1 Budget annuel'!$L$14:$L$43,COLUMN()-COLUMN($X$42)+1)),12)=0,DAY($L273)=MIN(DAY(INDEX('1 Budget annuel'!$L$14:$L$43,COLUMN()-COLUMN($X$42)+1)),DAY(EOMONTH($L273,0))))),IF(INDEX('1 Budget annuel'!$B$14:$B$43,COLUMN()-COLUMN($X$42)+1)="Entrée",INDEX('1 Budget annuel'!$I$14:$I$43,COLUMN()-COLUMN($X$42)+1),-INDEX('1 Budget annuel'!$I$14:$I$43,COLUMN()-COLUMN($X$42)+1)),0))</x:f>
        <x:v>0</x:v>
      </x:c>
    </x:row>
    <x:row r="274">
      <x:c r="L274" s="114" t="n">
        <x:f>L273+1</x:f>
        <x:v>46468</x:v>
      </x:c>
      <x:c r="M274" s="115" t="b">
        <x:f>AND(L274&gt;=$D$5,L274&lt;=$D$5+363,MOD(L274-$D$5,7)=0)</x:f>
        <x:v>0</x:v>
      </x:c>
      <x:c r="N274" s="116" t="n">
        <x:f>SUM(X274:BA274)</x:f>
        <x:v>0</x:v>
      </x:c>
      <x:c r="O274" s="116" t="n">
        <x:f>IF(M274,$D$10,0)</x:f>
        <x:v>0</x:v>
      </x:c>
      <x:c r="P274" s="116" t="n">
        <x:f>N274-O274</x:f>
        <x:v>0</x:v>
      </x:c>
      <x:c r="Q274" s="116" t="n">
        <x:f>IF(L274&lt;$D$5,0,IF(L274=$D$5,P274,Q273+P274))</x:f>
        <x:v>0</x:v>
      </x:c>
      <x:c r="R274" s="116" t="n">
        <x:f>IF(L274&lt;$D$5,"",$J$10+Q274)</x:f>
        <x:v>0</x:v>
      </x:c>
      <x:c r="S274" s="116" t="n">
        <x:f>IF($L274&lt;$D$5,"",IF($L274=$D$5,$J$10+$N274-IF($M274,IF(INT(($L274-$D$5)/7)&lt;$A$20,$B$20,$D$10),0),S273+$N274-IF($M274,IF(INT(($L274-$D$5)/7)&lt;$A$20,$B$20,$D$10),0)))</x:f>
        <x:v>0</x:v>
      </x:c>
      <x:c r="T274" s="116" t="n">
        <x:f>IF($L274&lt;$D$5,"",IF($L274=$D$5,$J$10+$N274-IF($M274,IF(INT(($L274-$D$5)/7)&lt;$A$21,$B$21,$D$10),0),T273+$N274-IF($M274,IF(INT(($L274-$D$5)/7)&lt;$A$21,$B$21,$D$10),0)))</x:f>
        <x:v>0</x:v>
      </x:c>
      <x:c r="U274" s="116" t="n">
        <x:f>IF($L274&lt;$D$5,"",IF($L274=$D$5,$J$10+$N274-IF($M274,IF(INT(($L274-$D$5)/7)&lt;$A$22,$B$22,$D$10),0),U273+$N274-IF($M274,IF(INT(($L274-$D$5)/7)&lt;$A$22,$B$22,$D$10),0)))</x:f>
        <x:v>0</x:v>
      </x:c>
      <x:c r="V274" s="116" t="n">
        <x:f>IF($L274&lt;$D$5,"",IF($L274=$D$5,$J$10+$N274-IF($M274,IF(INT(($L274-$D$5)/7)&lt;$A$23,$B$23,$D$10),0),V273+$N274-IF($M274,IF(INT(($L274-$D$5)/7)&lt;$A$23,$B$23,$D$10),0)))</x:f>
        <x:v>0</x:v>
      </x:c>
      <x:c r="W274" s="116" t="n">
        <x:f>IF($L274&lt;$D$5,"",IF($L274=$D$5,$J$10+$N274-IF($M274,IF(INT(($L274-$D$5)/7)&lt;$A$24,$B$24,$D$10),0),W273+$N274-IF($M274,IF(INT(($L274-$D$5)/7)&lt;$A$24,$B$24,$D$10),0)))</x:f>
        <x:v>0</x:v>
      </x:c>
      <x:c r="X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Y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Z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A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B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C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D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E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F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G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H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I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J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K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L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M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N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O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P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Q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R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S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T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U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V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W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X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Y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AZ274" s="116"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c r="BA274" s="117" t="n">
        <x:f>IF(OR(INDEX('1 Budget annuel'!$A$14:$A$43,COLUMN()-COLUMN($X$42)+1)&lt;&gt;"Oui",INDEX('1 Budget annuel'!$L$14:$L$43,COLUMN()-COLUMN($X$42)+1)="",AND(INDEX('1 Budget annuel'!$B$14:$B$43,COLUMN()-COLUMN($X$42)+1)="Sortie",INDEX('1 Budget annuel'!$M$14:$M$43,COLUMN()-COLUMN($X$42)+1)="Oui"),$L274&lt;INDEX('1 Budget annuel'!$L$14:$L$43,COLUMN()-COLUMN($X$42)+1),$L274&gt;$D$5+363),0,IF(OR(AND(INDEX('1 Budget annuel'!$E$14:$E$43,COLUMN()-COLUMN($X$42)+1)="Hebdomadaire",MOD($L274-INDEX('1 Budget annuel'!$L$14:$L$43,COLUMN()-COLUMN($X$42)+1),7)=0),AND(INDEX('1 Budget annuel'!$E$14:$E$43,COLUMN()-COLUMN($X$42)+1)="Toutes les 4 semaines",MOD($L274-INDEX('1 Budget annuel'!$L$14:$L$43,COLUMN()-COLUMN($X$42)+1),28)=0),AND(INDEX('1 Budget annuel'!$E$14:$E$43,COLUMN()-COLUMN($X$42)+1)="Mensuelle",DAY($L274)=MIN(DAY(INDEX('1 Budget annuel'!$L$14:$L$43,COLUMN()-COLUMN($X$42)+1)),DAY(EOMONTH($L274,0)))),AND(INDEX('1 Budget annuel'!$E$14:$E$43,COLUMN()-COLUMN($X$42)+1)="Trimestrielle",MOD((YEAR($L274)-YEAR(INDEX('1 Budget annuel'!$L$14:$L$43,COLUMN()-COLUMN($X$42)+1)))*12+MONTH($L274)-MONTH(INDEX('1 Budget annuel'!$L$14:$L$43,COLUMN()-COLUMN($X$42)+1)),3)=0,DAY($L274)=MIN(DAY(INDEX('1 Budget annuel'!$L$14:$L$43,COLUMN()-COLUMN($X$42)+1)),DAY(EOMONTH($L274,0)))),AND(INDEX('1 Budget annuel'!$E$14:$E$43,COLUMN()-COLUMN($X$42)+1)="Semestrielle",MOD((YEAR($L274)-YEAR(INDEX('1 Budget annuel'!$L$14:$L$43,COLUMN()-COLUMN($X$42)+1)))*12+MONTH($L274)-MONTH(INDEX('1 Budget annuel'!$L$14:$L$43,COLUMN()-COLUMN($X$42)+1)),6)=0,DAY($L274)=MIN(DAY(INDEX('1 Budget annuel'!$L$14:$L$43,COLUMN()-COLUMN($X$42)+1)),DAY(EOMONTH($L274,0)))),AND(INDEX('1 Budget annuel'!$E$14:$E$43,COLUMN()-COLUMN($X$42)+1)="Annuelle",MOD((YEAR($L274)-YEAR(INDEX('1 Budget annuel'!$L$14:$L$43,COLUMN()-COLUMN($X$42)+1)))*12+MONTH($L274)-MONTH(INDEX('1 Budget annuel'!$L$14:$L$43,COLUMN()-COLUMN($X$42)+1)),12)=0,DAY($L274)=MIN(DAY(INDEX('1 Budget annuel'!$L$14:$L$43,COLUMN()-COLUMN($X$42)+1)),DAY(EOMONTH($L274,0))))),IF(INDEX('1 Budget annuel'!$B$14:$B$43,COLUMN()-COLUMN($X$42)+1)="Entrée",INDEX('1 Budget annuel'!$I$14:$I$43,COLUMN()-COLUMN($X$42)+1),-INDEX('1 Budget annuel'!$I$14:$I$43,COLUMN()-COLUMN($X$42)+1)),0))</x:f>
        <x:v>0</x:v>
      </x:c>
    </x:row>
    <x:row r="275">
      <x:c r="L275" s="114" t="n">
        <x:f>L274+1</x:f>
        <x:v>46469</x:v>
      </x:c>
      <x:c r="M275" s="115" t="b">
        <x:f>AND(L275&gt;=$D$5,L275&lt;=$D$5+363,MOD(L275-$D$5,7)=0)</x:f>
        <x:v>0</x:v>
      </x:c>
      <x:c r="N275" s="116" t="n">
        <x:f>SUM(X275:BA275)</x:f>
        <x:v>0</x:v>
      </x:c>
      <x:c r="O275" s="116" t="n">
        <x:f>IF(M275,$D$10,0)</x:f>
        <x:v>0</x:v>
      </x:c>
      <x:c r="P275" s="116" t="n">
        <x:f>N275-O275</x:f>
        <x:v>0</x:v>
      </x:c>
      <x:c r="Q275" s="116" t="n">
        <x:f>IF(L275&lt;$D$5,0,IF(L275=$D$5,P275,Q274+P275))</x:f>
        <x:v>0</x:v>
      </x:c>
      <x:c r="R275" s="116" t="n">
        <x:f>IF(L275&lt;$D$5,"",$J$10+Q275)</x:f>
        <x:v>0</x:v>
      </x:c>
      <x:c r="S275" s="116" t="n">
        <x:f>IF($L275&lt;$D$5,"",IF($L275=$D$5,$J$10+$N275-IF($M275,IF(INT(($L275-$D$5)/7)&lt;$A$20,$B$20,$D$10),0),S274+$N275-IF($M275,IF(INT(($L275-$D$5)/7)&lt;$A$20,$B$20,$D$10),0)))</x:f>
        <x:v>0</x:v>
      </x:c>
      <x:c r="T275" s="116" t="n">
        <x:f>IF($L275&lt;$D$5,"",IF($L275=$D$5,$J$10+$N275-IF($M275,IF(INT(($L275-$D$5)/7)&lt;$A$21,$B$21,$D$10),0),T274+$N275-IF($M275,IF(INT(($L275-$D$5)/7)&lt;$A$21,$B$21,$D$10),0)))</x:f>
        <x:v>0</x:v>
      </x:c>
      <x:c r="U275" s="116" t="n">
        <x:f>IF($L275&lt;$D$5,"",IF($L275=$D$5,$J$10+$N275-IF($M275,IF(INT(($L275-$D$5)/7)&lt;$A$22,$B$22,$D$10),0),U274+$N275-IF($M275,IF(INT(($L275-$D$5)/7)&lt;$A$22,$B$22,$D$10),0)))</x:f>
        <x:v>0</x:v>
      </x:c>
      <x:c r="V275" s="116" t="n">
        <x:f>IF($L275&lt;$D$5,"",IF($L275=$D$5,$J$10+$N275-IF($M275,IF(INT(($L275-$D$5)/7)&lt;$A$23,$B$23,$D$10),0),V274+$N275-IF($M275,IF(INT(($L275-$D$5)/7)&lt;$A$23,$B$23,$D$10),0)))</x:f>
        <x:v>0</x:v>
      </x:c>
      <x:c r="W275" s="116" t="n">
        <x:f>IF($L275&lt;$D$5,"",IF($L275=$D$5,$J$10+$N275-IF($M275,IF(INT(($L275-$D$5)/7)&lt;$A$24,$B$24,$D$10),0),W274+$N275-IF($M275,IF(INT(($L275-$D$5)/7)&lt;$A$24,$B$24,$D$10),0)))</x:f>
        <x:v>0</x:v>
      </x:c>
      <x:c r="X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Y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Z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A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B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C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D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E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F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G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H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I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J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K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L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M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N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O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P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Q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R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S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T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U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V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W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X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Y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AZ275" s="116"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c r="BA275" s="117" t="n">
        <x:f>IF(OR(INDEX('1 Budget annuel'!$A$14:$A$43,COLUMN()-COLUMN($X$42)+1)&lt;&gt;"Oui",INDEX('1 Budget annuel'!$L$14:$L$43,COLUMN()-COLUMN($X$42)+1)="",AND(INDEX('1 Budget annuel'!$B$14:$B$43,COLUMN()-COLUMN($X$42)+1)="Sortie",INDEX('1 Budget annuel'!$M$14:$M$43,COLUMN()-COLUMN($X$42)+1)="Oui"),$L275&lt;INDEX('1 Budget annuel'!$L$14:$L$43,COLUMN()-COLUMN($X$42)+1),$L275&gt;$D$5+363),0,IF(OR(AND(INDEX('1 Budget annuel'!$E$14:$E$43,COLUMN()-COLUMN($X$42)+1)="Hebdomadaire",MOD($L275-INDEX('1 Budget annuel'!$L$14:$L$43,COLUMN()-COLUMN($X$42)+1),7)=0),AND(INDEX('1 Budget annuel'!$E$14:$E$43,COLUMN()-COLUMN($X$42)+1)="Toutes les 4 semaines",MOD($L275-INDEX('1 Budget annuel'!$L$14:$L$43,COLUMN()-COLUMN($X$42)+1),28)=0),AND(INDEX('1 Budget annuel'!$E$14:$E$43,COLUMN()-COLUMN($X$42)+1)="Mensuelle",DAY($L275)=MIN(DAY(INDEX('1 Budget annuel'!$L$14:$L$43,COLUMN()-COLUMN($X$42)+1)),DAY(EOMONTH($L275,0)))),AND(INDEX('1 Budget annuel'!$E$14:$E$43,COLUMN()-COLUMN($X$42)+1)="Trimestrielle",MOD((YEAR($L275)-YEAR(INDEX('1 Budget annuel'!$L$14:$L$43,COLUMN()-COLUMN($X$42)+1)))*12+MONTH($L275)-MONTH(INDEX('1 Budget annuel'!$L$14:$L$43,COLUMN()-COLUMN($X$42)+1)),3)=0,DAY($L275)=MIN(DAY(INDEX('1 Budget annuel'!$L$14:$L$43,COLUMN()-COLUMN($X$42)+1)),DAY(EOMONTH($L275,0)))),AND(INDEX('1 Budget annuel'!$E$14:$E$43,COLUMN()-COLUMN($X$42)+1)="Semestrielle",MOD((YEAR($L275)-YEAR(INDEX('1 Budget annuel'!$L$14:$L$43,COLUMN()-COLUMN($X$42)+1)))*12+MONTH($L275)-MONTH(INDEX('1 Budget annuel'!$L$14:$L$43,COLUMN()-COLUMN($X$42)+1)),6)=0,DAY($L275)=MIN(DAY(INDEX('1 Budget annuel'!$L$14:$L$43,COLUMN()-COLUMN($X$42)+1)),DAY(EOMONTH($L275,0)))),AND(INDEX('1 Budget annuel'!$E$14:$E$43,COLUMN()-COLUMN($X$42)+1)="Annuelle",MOD((YEAR($L275)-YEAR(INDEX('1 Budget annuel'!$L$14:$L$43,COLUMN()-COLUMN($X$42)+1)))*12+MONTH($L275)-MONTH(INDEX('1 Budget annuel'!$L$14:$L$43,COLUMN()-COLUMN($X$42)+1)),12)=0,DAY($L275)=MIN(DAY(INDEX('1 Budget annuel'!$L$14:$L$43,COLUMN()-COLUMN($X$42)+1)),DAY(EOMONTH($L275,0))))),IF(INDEX('1 Budget annuel'!$B$14:$B$43,COLUMN()-COLUMN($X$42)+1)="Entrée",INDEX('1 Budget annuel'!$I$14:$I$43,COLUMN()-COLUMN($X$42)+1),-INDEX('1 Budget annuel'!$I$14:$I$43,COLUMN()-COLUMN($X$42)+1)),0))</x:f>
        <x:v>0</x:v>
      </x:c>
    </x:row>
    <x:row r="276">
      <x:c r="L276" s="114" t="n">
        <x:f>L275+1</x:f>
        <x:v>46470</x:v>
      </x:c>
      <x:c r="M276" s="115" t="b">
        <x:f>AND(L276&gt;=$D$5,L276&lt;=$D$5+363,MOD(L276-$D$5,7)=0)</x:f>
        <x:v>0</x:v>
      </x:c>
      <x:c r="N276" s="116" t="n">
        <x:f>SUM(X276:BA276)</x:f>
        <x:v>0</x:v>
      </x:c>
      <x:c r="O276" s="116" t="n">
        <x:f>IF(M276,$D$10,0)</x:f>
        <x:v>0</x:v>
      </x:c>
      <x:c r="P276" s="116" t="n">
        <x:f>N276-O276</x:f>
        <x:v>0</x:v>
      </x:c>
      <x:c r="Q276" s="116" t="n">
        <x:f>IF(L276&lt;$D$5,0,IF(L276=$D$5,P276,Q275+P276))</x:f>
        <x:v>0</x:v>
      </x:c>
      <x:c r="R276" s="116" t="n">
        <x:f>IF(L276&lt;$D$5,"",$J$10+Q276)</x:f>
        <x:v>0</x:v>
      </x:c>
      <x:c r="S276" s="116" t="n">
        <x:f>IF($L276&lt;$D$5,"",IF($L276=$D$5,$J$10+$N276-IF($M276,IF(INT(($L276-$D$5)/7)&lt;$A$20,$B$20,$D$10),0),S275+$N276-IF($M276,IF(INT(($L276-$D$5)/7)&lt;$A$20,$B$20,$D$10),0)))</x:f>
        <x:v>0</x:v>
      </x:c>
      <x:c r="T276" s="116" t="n">
        <x:f>IF($L276&lt;$D$5,"",IF($L276=$D$5,$J$10+$N276-IF($M276,IF(INT(($L276-$D$5)/7)&lt;$A$21,$B$21,$D$10),0),T275+$N276-IF($M276,IF(INT(($L276-$D$5)/7)&lt;$A$21,$B$21,$D$10),0)))</x:f>
        <x:v>0</x:v>
      </x:c>
      <x:c r="U276" s="116" t="n">
        <x:f>IF($L276&lt;$D$5,"",IF($L276=$D$5,$J$10+$N276-IF($M276,IF(INT(($L276-$D$5)/7)&lt;$A$22,$B$22,$D$10),0),U275+$N276-IF($M276,IF(INT(($L276-$D$5)/7)&lt;$A$22,$B$22,$D$10),0)))</x:f>
        <x:v>0</x:v>
      </x:c>
      <x:c r="V276" s="116" t="n">
        <x:f>IF($L276&lt;$D$5,"",IF($L276=$D$5,$J$10+$N276-IF($M276,IF(INT(($L276-$D$5)/7)&lt;$A$23,$B$23,$D$10),0),V275+$N276-IF($M276,IF(INT(($L276-$D$5)/7)&lt;$A$23,$B$23,$D$10),0)))</x:f>
        <x:v>0</x:v>
      </x:c>
      <x:c r="W276" s="116" t="n">
        <x:f>IF($L276&lt;$D$5,"",IF($L276=$D$5,$J$10+$N276-IF($M276,IF(INT(($L276-$D$5)/7)&lt;$A$24,$B$24,$D$10),0),W275+$N276-IF($M276,IF(INT(($L276-$D$5)/7)&lt;$A$24,$B$24,$D$10),0)))</x:f>
        <x:v>0</x:v>
      </x:c>
      <x:c r="X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Y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Z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A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B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C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D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E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F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G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H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I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J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K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L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M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N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O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P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Q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R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S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T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U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V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W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X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Y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AZ276" s="116"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c r="BA276" s="117" t="n">
        <x:f>IF(OR(INDEX('1 Budget annuel'!$A$14:$A$43,COLUMN()-COLUMN($X$42)+1)&lt;&gt;"Oui",INDEX('1 Budget annuel'!$L$14:$L$43,COLUMN()-COLUMN($X$42)+1)="",AND(INDEX('1 Budget annuel'!$B$14:$B$43,COLUMN()-COLUMN($X$42)+1)="Sortie",INDEX('1 Budget annuel'!$M$14:$M$43,COLUMN()-COLUMN($X$42)+1)="Oui"),$L276&lt;INDEX('1 Budget annuel'!$L$14:$L$43,COLUMN()-COLUMN($X$42)+1),$L276&gt;$D$5+363),0,IF(OR(AND(INDEX('1 Budget annuel'!$E$14:$E$43,COLUMN()-COLUMN($X$42)+1)="Hebdomadaire",MOD($L276-INDEX('1 Budget annuel'!$L$14:$L$43,COLUMN()-COLUMN($X$42)+1),7)=0),AND(INDEX('1 Budget annuel'!$E$14:$E$43,COLUMN()-COLUMN($X$42)+1)="Toutes les 4 semaines",MOD($L276-INDEX('1 Budget annuel'!$L$14:$L$43,COLUMN()-COLUMN($X$42)+1),28)=0),AND(INDEX('1 Budget annuel'!$E$14:$E$43,COLUMN()-COLUMN($X$42)+1)="Mensuelle",DAY($L276)=MIN(DAY(INDEX('1 Budget annuel'!$L$14:$L$43,COLUMN()-COLUMN($X$42)+1)),DAY(EOMONTH($L276,0)))),AND(INDEX('1 Budget annuel'!$E$14:$E$43,COLUMN()-COLUMN($X$42)+1)="Trimestrielle",MOD((YEAR($L276)-YEAR(INDEX('1 Budget annuel'!$L$14:$L$43,COLUMN()-COLUMN($X$42)+1)))*12+MONTH($L276)-MONTH(INDEX('1 Budget annuel'!$L$14:$L$43,COLUMN()-COLUMN($X$42)+1)),3)=0,DAY($L276)=MIN(DAY(INDEX('1 Budget annuel'!$L$14:$L$43,COLUMN()-COLUMN($X$42)+1)),DAY(EOMONTH($L276,0)))),AND(INDEX('1 Budget annuel'!$E$14:$E$43,COLUMN()-COLUMN($X$42)+1)="Semestrielle",MOD((YEAR($L276)-YEAR(INDEX('1 Budget annuel'!$L$14:$L$43,COLUMN()-COLUMN($X$42)+1)))*12+MONTH($L276)-MONTH(INDEX('1 Budget annuel'!$L$14:$L$43,COLUMN()-COLUMN($X$42)+1)),6)=0,DAY($L276)=MIN(DAY(INDEX('1 Budget annuel'!$L$14:$L$43,COLUMN()-COLUMN($X$42)+1)),DAY(EOMONTH($L276,0)))),AND(INDEX('1 Budget annuel'!$E$14:$E$43,COLUMN()-COLUMN($X$42)+1)="Annuelle",MOD((YEAR($L276)-YEAR(INDEX('1 Budget annuel'!$L$14:$L$43,COLUMN()-COLUMN($X$42)+1)))*12+MONTH($L276)-MONTH(INDEX('1 Budget annuel'!$L$14:$L$43,COLUMN()-COLUMN($X$42)+1)),12)=0,DAY($L276)=MIN(DAY(INDEX('1 Budget annuel'!$L$14:$L$43,COLUMN()-COLUMN($X$42)+1)),DAY(EOMONTH($L276,0))))),IF(INDEX('1 Budget annuel'!$B$14:$B$43,COLUMN()-COLUMN($X$42)+1)="Entrée",INDEX('1 Budget annuel'!$I$14:$I$43,COLUMN()-COLUMN($X$42)+1),-INDEX('1 Budget annuel'!$I$14:$I$43,COLUMN()-COLUMN($X$42)+1)),0))</x:f>
        <x:v>0</x:v>
      </x:c>
    </x:row>
    <x:row r="277">
      <x:c r="L277" s="114" t="n">
        <x:f>L276+1</x:f>
        <x:v>46471</x:v>
      </x:c>
      <x:c r="M277" s="115" t="b">
        <x:f>AND(L277&gt;=$D$5,L277&lt;=$D$5+363,MOD(L277-$D$5,7)=0)</x:f>
        <x:v>0</x:v>
      </x:c>
      <x:c r="N277" s="116" t="n">
        <x:f>SUM(X277:BA277)</x:f>
        <x:v>0</x:v>
      </x:c>
      <x:c r="O277" s="116" t="n">
        <x:f>IF(M277,$D$10,0)</x:f>
        <x:v>0</x:v>
      </x:c>
      <x:c r="P277" s="116" t="n">
        <x:f>N277-O277</x:f>
        <x:v>0</x:v>
      </x:c>
      <x:c r="Q277" s="116" t="n">
        <x:f>IF(L277&lt;$D$5,0,IF(L277=$D$5,P277,Q276+P277))</x:f>
        <x:v>0</x:v>
      </x:c>
      <x:c r="R277" s="116" t="n">
        <x:f>IF(L277&lt;$D$5,"",$J$10+Q277)</x:f>
        <x:v>0</x:v>
      </x:c>
      <x:c r="S277" s="116" t="n">
        <x:f>IF($L277&lt;$D$5,"",IF($L277=$D$5,$J$10+$N277-IF($M277,IF(INT(($L277-$D$5)/7)&lt;$A$20,$B$20,$D$10),0),S276+$N277-IF($M277,IF(INT(($L277-$D$5)/7)&lt;$A$20,$B$20,$D$10),0)))</x:f>
        <x:v>0</x:v>
      </x:c>
      <x:c r="T277" s="116" t="n">
        <x:f>IF($L277&lt;$D$5,"",IF($L277=$D$5,$J$10+$N277-IF($M277,IF(INT(($L277-$D$5)/7)&lt;$A$21,$B$21,$D$10),0),T276+$N277-IF($M277,IF(INT(($L277-$D$5)/7)&lt;$A$21,$B$21,$D$10),0)))</x:f>
        <x:v>0</x:v>
      </x:c>
      <x:c r="U277" s="116" t="n">
        <x:f>IF($L277&lt;$D$5,"",IF($L277=$D$5,$J$10+$N277-IF($M277,IF(INT(($L277-$D$5)/7)&lt;$A$22,$B$22,$D$10),0),U276+$N277-IF($M277,IF(INT(($L277-$D$5)/7)&lt;$A$22,$B$22,$D$10),0)))</x:f>
        <x:v>0</x:v>
      </x:c>
      <x:c r="V277" s="116" t="n">
        <x:f>IF($L277&lt;$D$5,"",IF($L277=$D$5,$J$10+$N277-IF($M277,IF(INT(($L277-$D$5)/7)&lt;$A$23,$B$23,$D$10),0),V276+$N277-IF($M277,IF(INT(($L277-$D$5)/7)&lt;$A$23,$B$23,$D$10),0)))</x:f>
        <x:v>0</x:v>
      </x:c>
      <x:c r="W277" s="116" t="n">
        <x:f>IF($L277&lt;$D$5,"",IF($L277=$D$5,$J$10+$N277-IF($M277,IF(INT(($L277-$D$5)/7)&lt;$A$24,$B$24,$D$10),0),W276+$N277-IF($M277,IF(INT(($L277-$D$5)/7)&lt;$A$24,$B$24,$D$10),0)))</x:f>
        <x:v>0</x:v>
      </x:c>
      <x:c r="X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Y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Z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A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B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C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D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E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F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G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H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I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J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K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L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M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N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O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P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Q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R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S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T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U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V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W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X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Y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AZ277" s="116"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c r="BA277" s="117" t="n">
        <x:f>IF(OR(INDEX('1 Budget annuel'!$A$14:$A$43,COLUMN()-COLUMN($X$42)+1)&lt;&gt;"Oui",INDEX('1 Budget annuel'!$L$14:$L$43,COLUMN()-COLUMN($X$42)+1)="",AND(INDEX('1 Budget annuel'!$B$14:$B$43,COLUMN()-COLUMN($X$42)+1)="Sortie",INDEX('1 Budget annuel'!$M$14:$M$43,COLUMN()-COLUMN($X$42)+1)="Oui"),$L277&lt;INDEX('1 Budget annuel'!$L$14:$L$43,COLUMN()-COLUMN($X$42)+1),$L277&gt;$D$5+363),0,IF(OR(AND(INDEX('1 Budget annuel'!$E$14:$E$43,COLUMN()-COLUMN($X$42)+1)="Hebdomadaire",MOD($L277-INDEX('1 Budget annuel'!$L$14:$L$43,COLUMN()-COLUMN($X$42)+1),7)=0),AND(INDEX('1 Budget annuel'!$E$14:$E$43,COLUMN()-COLUMN($X$42)+1)="Toutes les 4 semaines",MOD($L277-INDEX('1 Budget annuel'!$L$14:$L$43,COLUMN()-COLUMN($X$42)+1),28)=0),AND(INDEX('1 Budget annuel'!$E$14:$E$43,COLUMN()-COLUMN($X$42)+1)="Mensuelle",DAY($L277)=MIN(DAY(INDEX('1 Budget annuel'!$L$14:$L$43,COLUMN()-COLUMN($X$42)+1)),DAY(EOMONTH($L277,0)))),AND(INDEX('1 Budget annuel'!$E$14:$E$43,COLUMN()-COLUMN($X$42)+1)="Trimestrielle",MOD((YEAR($L277)-YEAR(INDEX('1 Budget annuel'!$L$14:$L$43,COLUMN()-COLUMN($X$42)+1)))*12+MONTH($L277)-MONTH(INDEX('1 Budget annuel'!$L$14:$L$43,COLUMN()-COLUMN($X$42)+1)),3)=0,DAY($L277)=MIN(DAY(INDEX('1 Budget annuel'!$L$14:$L$43,COLUMN()-COLUMN($X$42)+1)),DAY(EOMONTH($L277,0)))),AND(INDEX('1 Budget annuel'!$E$14:$E$43,COLUMN()-COLUMN($X$42)+1)="Semestrielle",MOD((YEAR($L277)-YEAR(INDEX('1 Budget annuel'!$L$14:$L$43,COLUMN()-COLUMN($X$42)+1)))*12+MONTH($L277)-MONTH(INDEX('1 Budget annuel'!$L$14:$L$43,COLUMN()-COLUMN($X$42)+1)),6)=0,DAY($L277)=MIN(DAY(INDEX('1 Budget annuel'!$L$14:$L$43,COLUMN()-COLUMN($X$42)+1)),DAY(EOMONTH($L277,0)))),AND(INDEX('1 Budget annuel'!$E$14:$E$43,COLUMN()-COLUMN($X$42)+1)="Annuelle",MOD((YEAR($L277)-YEAR(INDEX('1 Budget annuel'!$L$14:$L$43,COLUMN()-COLUMN($X$42)+1)))*12+MONTH($L277)-MONTH(INDEX('1 Budget annuel'!$L$14:$L$43,COLUMN()-COLUMN($X$42)+1)),12)=0,DAY($L277)=MIN(DAY(INDEX('1 Budget annuel'!$L$14:$L$43,COLUMN()-COLUMN($X$42)+1)),DAY(EOMONTH($L277,0))))),IF(INDEX('1 Budget annuel'!$B$14:$B$43,COLUMN()-COLUMN($X$42)+1)="Entrée",INDEX('1 Budget annuel'!$I$14:$I$43,COLUMN()-COLUMN($X$42)+1),-INDEX('1 Budget annuel'!$I$14:$I$43,COLUMN()-COLUMN($X$42)+1)),0))</x:f>
        <x:v>0</x:v>
      </x:c>
    </x:row>
    <x:row r="278">
      <x:c r="L278" s="114" t="n">
        <x:f>L277+1</x:f>
        <x:v>46472</x:v>
      </x:c>
      <x:c r="M278" s="115" t="b">
        <x:f>AND(L278&gt;=$D$5,L278&lt;=$D$5+363,MOD(L278-$D$5,7)=0)</x:f>
        <x:v>0</x:v>
      </x:c>
      <x:c r="N278" s="116" t="n">
        <x:f>SUM(X278:BA278)</x:f>
        <x:v>0</x:v>
      </x:c>
      <x:c r="O278" s="116" t="n">
        <x:f>IF(M278,$D$10,0)</x:f>
        <x:v>0</x:v>
      </x:c>
      <x:c r="P278" s="116" t="n">
        <x:f>N278-O278</x:f>
        <x:v>0</x:v>
      </x:c>
      <x:c r="Q278" s="116" t="n">
        <x:f>IF(L278&lt;$D$5,0,IF(L278=$D$5,P278,Q277+P278))</x:f>
        <x:v>0</x:v>
      </x:c>
      <x:c r="R278" s="116" t="n">
        <x:f>IF(L278&lt;$D$5,"",$J$10+Q278)</x:f>
        <x:v>0</x:v>
      </x:c>
      <x:c r="S278" s="116" t="n">
        <x:f>IF($L278&lt;$D$5,"",IF($L278=$D$5,$J$10+$N278-IF($M278,IF(INT(($L278-$D$5)/7)&lt;$A$20,$B$20,$D$10),0),S277+$N278-IF($M278,IF(INT(($L278-$D$5)/7)&lt;$A$20,$B$20,$D$10),0)))</x:f>
        <x:v>0</x:v>
      </x:c>
      <x:c r="T278" s="116" t="n">
        <x:f>IF($L278&lt;$D$5,"",IF($L278=$D$5,$J$10+$N278-IF($M278,IF(INT(($L278-$D$5)/7)&lt;$A$21,$B$21,$D$10),0),T277+$N278-IF($M278,IF(INT(($L278-$D$5)/7)&lt;$A$21,$B$21,$D$10),0)))</x:f>
        <x:v>0</x:v>
      </x:c>
      <x:c r="U278" s="116" t="n">
        <x:f>IF($L278&lt;$D$5,"",IF($L278=$D$5,$J$10+$N278-IF($M278,IF(INT(($L278-$D$5)/7)&lt;$A$22,$B$22,$D$10),0),U277+$N278-IF($M278,IF(INT(($L278-$D$5)/7)&lt;$A$22,$B$22,$D$10),0)))</x:f>
        <x:v>0</x:v>
      </x:c>
      <x:c r="V278" s="116" t="n">
        <x:f>IF($L278&lt;$D$5,"",IF($L278=$D$5,$J$10+$N278-IF($M278,IF(INT(($L278-$D$5)/7)&lt;$A$23,$B$23,$D$10),0),V277+$N278-IF($M278,IF(INT(($L278-$D$5)/7)&lt;$A$23,$B$23,$D$10),0)))</x:f>
        <x:v>0</x:v>
      </x:c>
      <x:c r="W278" s="116" t="n">
        <x:f>IF($L278&lt;$D$5,"",IF($L278=$D$5,$J$10+$N278-IF($M278,IF(INT(($L278-$D$5)/7)&lt;$A$24,$B$24,$D$10),0),W277+$N278-IF($M278,IF(INT(($L278-$D$5)/7)&lt;$A$24,$B$24,$D$10),0)))</x:f>
        <x:v>0</x:v>
      </x:c>
      <x:c r="X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Y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Z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A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B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C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D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E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F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G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H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I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J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K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L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M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N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O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P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Q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R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S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T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U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V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W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X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Y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AZ278" s="116"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c r="BA278" s="117" t="n">
        <x:f>IF(OR(INDEX('1 Budget annuel'!$A$14:$A$43,COLUMN()-COLUMN($X$42)+1)&lt;&gt;"Oui",INDEX('1 Budget annuel'!$L$14:$L$43,COLUMN()-COLUMN($X$42)+1)="",AND(INDEX('1 Budget annuel'!$B$14:$B$43,COLUMN()-COLUMN($X$42)+1)="Sortie",INDEX('1 Budget annuel'!$M$14:$M$43,COLUMN()-COLUMN($X$42)+1)="Oui"),$L278&lt;INDEX('1 Budget annuel'!$L$14:$L$43,COLUMN()-COLUMN($X$42)+1),$L278&gt;$D$5+363),0,IF(OR(AND(INDEX('1 Budget annuel'!$E$14:$E$43,COLUMN()-COLUMN($X$42)+1)="Hebdomadaire",MOD($L278-INDEX('1 Budget annuel'!$L$14:$L$43,COLUMN()-COLUMN($X$42)+1),7)=0),AND(INDEX('1 Budget annuel'!$E$14:$E$43,COLUMN()-COLUMN($X$42)+1)="Toutes les 4 semaines",MOD($L278-INDEX('1 Budget annuel'!$L$14:$L$43,COLUMN()-COLUMN($X$42)+1),28)=0),AND(INDEX('1 Budget annuel'!$E$14:$E$43,COLUMN()-COLUMN($X$42)+1)="Mensuelle",DAY($L278)=MIN(DAY(INDEX('1 Budget annuel'!$L$14:$L$43,COLUMN()-COLUMN($X$42)+1)),DAY(EOMONTH($L278,0)))),AND(INDEX('1 Budget annuel'!$E$14:$E$43,COLUMN()-COLUMN($X$42)+1)="Trimestrielle",MOD((YEAR($L278)-YEAR(INDEX('1 Budget annuel'!$L$14:$L$43,COLUMN()-COLUMN($X$42)+1)))*12+MONTH($L278)-MONTH(INDEX('1 Budget annuel'!$L$14:$L$43,COLUMN()-COLUMN($X$42)+1)),3)=0,DAY($L278)=MIN(DAY(INDEX('1 Budget annuel'!$L$14:$L$43,COLUMN()-COLUMN($X$42)+1)),DAY(EOMONTH($L278,0)))),AND(INDEX('1 Budget annuel'!$E$14:$E$43,COLUMN()-COLUMN($X$42)+1)="Semestrielle",MOD((YEAR($L278)-YEAR(INDEX('1 Budget annuel'!$L$14:$L$43,COLUMN()-COLUMN($X$42)+1)))*12+MONTH($L278)-MONTH(INDEX('1 Budget annuel'!$L$14:$L$43,COLUMN()-COLUMN($X$42)+1)),6)=0,DAY($L278)=MIN(DAY(INDEX('1 Budget annuel'!$L$14:$L$43,COLUMN()-COLUMN($X$42)+1)),DAY(EOMONTH($L278,0)))),AND(INDEX('1 Budget annuel'!$E$14:$E$43,COLUMN()-COLUMN($X$42)+1)="Annuelle",MOD((YEAR($L278)-YEAR(INDEX('1 Budget annuel'!$L$14:$L$43,COLUMN()-COLUMN($X$42)+1)))*12+MONTH($L278)-MONTH(INDEX('1 Budget annuel'!$L$14:$L$43,COLUMN()-COLUMN($X$42)+1)),12)=0,DAY($L278)=MIN(DAY(INDEX('1 Budget annuel'!$L$14:$L$43,COLUMN()-COLUMN($X$42)+1)),DAY(EOMONTH($L278,0))))),IF(INDEX('1 Budget annuel'!$B$14:$B$43,COLUMN()-COLUMN($X$42)+1)="Entrée",INDEX('1 Budget annuel'!$I$14:$I$43,COLUMN()-COLUMN($X$42)+1),-INDEX('1 Budget annuel'!$I$14:$I$43,COLUMN()-COLUMN($X$42)+1)),0))</x:f>
        <x:v>0</x:v>
      </x:c>
    </x:row>
    <x:row r="279">
      <x:c r="L279" s="114" t="n">
        <x:f>L278+1</x:f>
        <x:v>46473</x:v>
      </x:c>
      <x:c r="M279" s="115" t="b">
        <x:f>AND(L279&gt;=$D$5,L279&lt;=$D$5+363,MOD(L279-$D$5,7)=0)</x:f>
        <x:v>1</x:v>
      </x:c>
      <x:c r="N279" s="116" t="n">
        <x:f>SUM(X279:BA279)</x:f>
        <x:v>0</x:v>
      </x:c>
      <x:c r="O279" s="116" t="n">
        <x:f>IF(M279,$D$10,0)</x:f>
        <x:v>0</x:v>
      </x:c>
      <x:c r="P279" s="116" t="n">
        <x:f>N279-O279</x:f>
        <x:v>0</x:v>
      </x:c>
      <x:c r="Q279" s="116" t="n">
        <x:f>IF(L279&lt;$D$5,0,IF(L279=$D$5,P279,Q278+P279))</x:f>
        <x:v>0</x:v>
      </x:c>
      <x:c r="R279" s="116" t="n">
        <x:f>IF(L279&lt;$D$5,"",$J$10+Q279)</x:f>
        <x:v>0</x:v>
      </x:c>
      <x:c r="S279" s="116" t="n">
        <x:f>IF($L279&lt;$D$5,"",IF($L279=$D$5,$J$10+$N279-IF($M279,IF(INT(($L279-$D$5)/7)&lt;$A$20,$B$20,$D$10),0),S278+$N279-IF($M279,IF(INT(($L279-$D$5)/7)&lt;$A$20,$B$20,$D$10),0)))</x:f>
        <x:v>0</x:v>
      </x:c>
      <x:c r="T279" s="116" t="n">
        <x:f>IF($L279&lt;$D$5,"",IF($L279=$D$5,$J$10+$N279-IF($M279,IF(INT(($L279-$D$5)/7)&lt;$A$21,$B$21,$D$10),0),T278+$N279-IF($M279,IF(INT(($L279-$D$5)/7)&lt;$A$21,$B$21,$D$10),0)))</x:f>
        <x:v>0</x:v>
      </x:c>
      <x:c r="U279" s="116" t="n">
        <x:f>IF($L279&lt;$D$5,"",IF($L279=$D$5,$J$10+$N279-IF($M279,IF(INT(($L279-$D$5)/7)&lt;$A$22,$B$22,$D$10),0),U278+$N279-IF($M279,IF(INT(($L279-$D$5)/7)&lt;$A$22,$B$22,$D$10),0)))</x:f>
        <x:v>0</x:v>
      </x:c>
      <x:c r="V279" s="116" t="n">
        <x:f>IF($L279&lt;$D$5,"",IF($L279=$D$5,$J$10+$N279-IF($M279,IF(INT(($L279-$D$5)/7)&lt;$A$23,$B$23,$D$10),0),V278+$N279-IF($M279,IF(INT(($L279-$D$5)/7)&lt;$A$23,$B$23,$D$10),0)))</x:f>
        <x:v>0</x:v>
      </x:c>
      <x:c r="W279" s="116" t="n">
        <x:f>IF($L279&lt;$D$5,"",IF($L279=$D$5,$J$10+$N279-IF($M279,IF(INT(($L279-$D$5)/7)&lt;$A$24,$B$24,$D$10),0),W278+$N279-IF($M279,IF(INT(($L279-$D$5)/7)&lt;$A$24,$B$24,$D$10),0)))</x:f>
        <x:v>0</x:v>
      </x:c>
      <x:c r="X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Y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Z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A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B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C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D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E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F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G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H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I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J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K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L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M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N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O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P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Q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R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S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T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U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V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W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X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Y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AZ279" s="116"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c r="BA279" s="117" t="n">
        <x:f>IF(OR(INDEX('1 Budget annuel'!$A$14:$A$43,COLUMN()-COLUMN($X$42)+1)&lt;&gt;"Oui",INDEX('1 Budget annuel'!$L$14:$L$43,COLUMN()-COLUMN($X$42)+1)="",AND(INDEX('1 Budget annuel'!$B$14:$B$43,COLUMN()-COLUMN($X$42)+1)="Sortie",INDEX('1 Budget annuel'!$M$14:$M$43,COLUMN()-COLUMN($X$42)+1)="Oui"),$L279&lt;INDEX('1 Budget annuel'!$L$14:$L$43,COLUMN()-COLUMN($X$42)+1),$L279&gt;$D$5+363),0,IF(OR(AND(INDEX('1 Budget annuel'!$E$14:$E$43,COLUMN()-COLUMN($X$42)+1)="Hebdomadaire",MOD($L279-INDEX('1 Budget annuel'!$L$14:$L$43,COLUMN()-COLUMN($X$42)+1),7)=0),AND(INDEX('1 Budget annuel'!$E$14:$E$43,COLUMN()-COLUMN($X$42)+1)="Toutes les 4 semaines",MOD($L279-INDEX('1 Budget annuel'!$L$14:$L$43,COLUMN()-COLUMN($X$42)+1),28)=0),AND(INDEX('1 Budget annuel'!$E$14:$E$43,COLUMN()-COLUMN($X$42)+1)="Mensuelle",DAY($L279)=MIN(DAY(INDEX('1 Budget annuel'!$L$14:$L$43,COLUMN()-COLUMN($X$42)+1)),DAY(EOMONTH($L279,0)))),AND(INDEX('1 Budget annuel'!$E$14:$E$43,COLUMN()-COLUMN($X$42)+1)="Trimestrielle",MOD((YEAR($L279)-YEAR(INDEX('1 Budget annuel'!$L$14:$L$43,COLUMN()-COLUMN($X$42)+1)))*12+MONTH($L279)-MONTH(INDEX('1 Budget annuel'!$L$14:$L$43,COLUMN()-COLUMN($X$42)+1)),3)=0,DAY($L279)=MIN(DAY(INDEX('1 Budget annuel'!$L$14:$L$43,COLUMN()-COLUMN($X$42)+1)),DAY(EOMONTH($L279,0)))),AND(INDEX('1 Budget annuel'!$E$14:$E$43,COLUMN()-COLUMN($X$42)+1)="Semestrielle",MOD((YEAR($L279)-YEAR(INDEX('1 Budget annuel'!$L$14:$L$43,COLUMN()-COLUMN($X$42)+1)))*12+MONTH($L279)-MONTH(INDEX('1 Budget annuel'!$L$14:$L$43,COLUMN()-COLUMN($X$42)+1)),6)=0,DAY($L279)=MIN(DAY(INDEX('1 Budget annuel'!$L$14:$L$43,COLUMN()-COLUMN($X$42)+1)),DAY(EOMONTH($L279,0)))),AND(INDEX('1 Budget annuel'!$E$14:$E$43,COLUMN()-COLUMN($X$42)+1)="Annuelle",MOD((YEAR($L279)-YEAR(INDEX('1 Budget annuel'!$L$14:$L$43,COLUMN()-COLUMN($X$42)+1)))*12+MONTH($L279)-MONTH(INDEX('1 Budget annuel'!$L$14:$L$43,COLUMN()-COLUMN($X$42)+1)),12)=0,DAY($L279)=MIN(DAY(INDEX('1 Budget annuel'!$L$14:$L$43,COLUMN()-COLUMN($X$42)+1)),DAY(EOMONTH($L279,0))))),IF(INDEX('1 Budget annuel'!$B$14:$B$43,COLUMN()-COLUMN($X$42)+1)="Entrée",INDEX('1 Budget annuel'!$I$14:$I$43,COLUMN()-COLUMN($X$42)+1),-INDEX('1 Budget annuel'!$I$14:$I$43,COLUMN()-COLUMN($X$42)+1)),0))</x:f>
        <x:v>0</x:v>
      </x:c>
    </x:row>
    <x:row r="280">
      <x:c r="L280" s="114" t="n">
        <x:f>L279+1</x:f>
        <x:v>46474</x:v>
      </x:c>
      <x:c r="M280" s="115" t="b">
        <x:f>AND(L280&gt;=$D$5,L280&lt;=$D$5+363,MOD(L280-$D$5,7)=0)</x:f>
        <x:v>0</x:v>
      </x:c>
      <x:c r="N280" s="116" t="n">
        <x:f>SUM(X280:BA280)</x:f>
        <x:v>0</x:v>
      </x:c>
      <x:c r="O280" s="116" t="n">
        <x:f>IF(M280,$D$10,0)</x:f>
        <x:v>0</x:v>
      </x:c>
      <x:c r="P280" s="116" t="n">
        <x:f>N280-O280</x:f>
        <x:v>0</x:v>
      </x:c>
      <x:c r="Q280" s="116" t="n">
        <x:f>IF(L280&lt;$D$5,0,IF(L280=$D$5,P280,Q279+P280))</x:f>
        <x:v>0</x:v>
      </x:c>
      <x:c r="R280" s="116" t="n">
        <x:f>IF(L280&lt;$D$5,"",$J$10+Q280)</x:f>
        <x:v>0</x:v>
      </x:c>
      <x:c r="S280" s="116" t="n">
        <x:f>IF($L280&lt;$D$5,"",IF($L280=$D$5,$J$10+$N280-IF($M280,IF(INT(($L280-$D$5)/7)&lt;$A$20,$B$20,$D$10),0),S279+$N280-IF($M280,IF(INT(($L280-$D$5)/7)&lt;$A$20,$B$20,$D$10),0)))</x:f>
        <x:v>0</x:v>
      </x:c>
      <x:c r="T280" s="116" t="n">
        <x:f>IF($L280&lt;$D$5,"",IF($L280=$D$5,$J$10+$N280-IF($M280,IF(INT(($L280-$D$5)/7)&lt;$A$21,$B$21,$D$10),0),T279+$N280-IF($M280,IF(INT(($L280-$D$5)/7)&lt;$A$21,$B$21,$D$10),0)))</x:f>
        <x:v>0</x:v>
      </x:c>
      <x:c r="U280" s="116" t="n">
        <x:f>IF($L280&lt;$D$5,"",IF($L280=$D$5,$J$10+$N280-IF($M280,IF(INT(($L280-$D$5)/7)&lt;$A$22,$B$22,$D$10),0),U279+$N280-IF($M280,IF(INT(($L280-$D$5)/7)&lt;$A$22,$B$22,$D$10),0)))</x:f>
        <x:v>0</x:v>
      </x:c>
      <x:c r="V280" s="116" t="n">
        <x:f>IF($L280&lt;$D$5,"",IF($L280=$D$5,$J$10+$N280-IF($M280,IF(INT(($L280-$D$5)/7)&lt;$A$23,$B$23,$D$10),0),V279+$N280-IF($M280,IF(INT(($L280-$D$5)/7)&lt;$A$23,$B$23,$D$10),0)))</x:f>
        <x:v>0</x:v>
      </x:c>
      <x:c r="W280" s="116" t="n">
        <x:f>IF($L280&lt;$D$5,"",IF($L280=$D$5,$J$10+$N280-IF($M280,IF(INT(($L280-$D$5)/7)&lt;$A$24,$B$24,$D$10),0),W279+$N280-IF($M280,IF(INT(($L280-$D$5)/7)&lt;$A$24,$B$24,$D$10),0)))</x:f>
        <x:v>0</x:v>
      </x:c>
      <x:c r="X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Y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Z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A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B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C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D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E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F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G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H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I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J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K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L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M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N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O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P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Q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R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S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T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U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V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W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X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Y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AZ280" s="116"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c r="BA280" s="117" t="n">
        <x:f>IF(OR(INDEX('1 Budget annuel'!$A$14:$A$43,COLUMN()-COLUMN($X$42)+1)&lt;&gt;"Oui",INDEX('1 Budget annuel'!$L$14:$L$43,COLUMN()-COLUMN($X$42)+1)="",AND(INDEX('1 Budget annuel'!$B$14:$B$43,COLUMN()-COLUMN($X$42)+1)="Sortie",INDEX('1 Budget annuel'!$M$14:$M$43,COLUMN()-COLUMN($X$42)+1)="Oui"),$L280&lt;INDEX('1 Budget annuel'!$L$14:$L$43,COLUMN()-COLUMN($X$42)+1),$L280&gt;$D$5+363),0,IF(OR(AND(INDEX('1 Budget annuel'!$E$14:$E$43,COLUMN()-COLUMN($X$42)+1)="Hebdomadaire",MOD($L280-INDEX('1 Budget annuel'!$L$14:$L$43,COLUMN()-COLUMN($X$42)+1),7)=0),AND(INDEX('1 Budget annuel'!$E$14:$E$43,COLUMN()-COLUMN($X$42)+1)="Toutes les 4 semaines",MOD($L280-INDEX('1 Budget annuel'!$L$14:$L$43,COLUMN()-COLUMN($X$42)+1),28)=0),AND(INDEX('1 Budget annuel'!$E$14:$E$43,COLUMN()-COLUMN($X$42)+1)="Mensuelle",DAY($L280)=MIN(DAY(INDEX('1 Budget annuel'!$L$14:$L$43,COLUMN()-COLUMN($X$42)+1)),DAY(EOMONTH($L280,0)))),AND(INDEX('1 Budget annuel'!$E$14:$E$43,COLUMN()-COLUMN($X$42)+1)="Trimestrielle",MOD((YEAR($L280)-YEAR(INDEX('1 Budget annuel'!$L$14:$L$43,COLUMN()-COLUMN($X$42)+1)))*12+MONTH($L280)-MONTH(INDEX('1 Budget annuel'!$L$14:$L$43,COLUMN()-COLUMN($X$42)+1)),3)=0,DAY($L280)=MIN(DAY(INDEX('1 Budget annuel'!$L$14:$L$43,COLUMN()-COLUMN($X$42)+1)),DAY(EOMONTH($L280,0)))),AND(INDEX('1 Budget annuel'!$E$14:$E$43,COLUMN()-COLUMN($X$42)+1)="Semestrielle",MOD((YEAR($L280)-YEAR(INDEX('1 Budget annuel'!$L$14:$L$43,COLUMN()-COLUMN($X$42)+1)))*12+MONTH($L280)-MONTH(INDEX('1 Budget annuel'!$L$14:$L$43,COLUMN()-COLUMN($X$42)+1)),6)=0,DAY($L280)=MIN(DAY(INDEX('1 Budget annuel'!$L$14:$L$43,COLUMN()-COLUMN($X$42)+1)),DAY(EOMONTH($L280,0)))),AND(INDEX('1 Budget annuel'!$E$14:$E$43,COLUMN()-COLUMN($X$42)+1)="Annuelle",MOD((YEAR($L280)-YEAR(INDEX('1 Budget annuel'!$L$14:$L$43,COLUMN()-COLUMN($X$42)+1)))*12+MONTH($L280)-MONTH(INDEX('1 Budget annuel'!$L$14:$L$43,COLUMN()-COLUMN($X$42)+1)),12)=0,DAY($L280)=MIN(DAY(INDEX('1 Budget annuel'!$L$14:$L$43,COLUMN()-COLUMN($X$42)+1)),DAY(EOMONTH($L280,0))))),IF(INDEX('1 Budget annuel'!$B$14:$B$43,COLUMN()-COLUMN($X$42)+1)="Entrée",INDEX('1 Budget annuel'!$I$14:$I$43,COLUMN()-COLUMN($X$42)+1),-INDEX('1 Budget annuel'!$I$14:$I$43,COLUMN()-COLUMN($X$42)+1)),0))</x:f>
        <x:v>0</x:v>
      </x:c>
    </x:row>
    <x:row r="281">
      <x:c r="L281" s="114" t="n">
        <x:f>L280+1</x:f>
        <x:v>46475</x:v>
      </x:c>
      <x:c r="M281" s="115" t="b">
        <x:f>AND(L281&gt;=$D$5,L281&lt;=$D$5+363,MOD(L281-$D$5,7)=0)</x:f>
        <x:v>0</x:v>
      </x:c>
      <x:c r="N281" s="116" t="n">
        <x:f>SUM(X281:BA281)</x:f>
        <x:v>0</x:v>
      </x:c>
      <x:c r="O281" s="116" t="n">
        <x:f>IF(M281,$D$10,0)</x:f>
        <x:v>0</x:v>
      </x:c>
      <x:c r="P281" s="116" t="n">
        <x:f>N281-O281</x:f>
        <x:v>0</x:v>
      </x:c>
      <x:c r="Q281" s="116" t="n">
        <x:f>IF(L281&lt;$D$5,0,IF(L281=$D$5,P281,Q280+P281))</x:f>
        <x:v>0</x:v>
      </x:c>
      <x:c r="R281" s="116" t="n">
        <x:f>IF(L281&lt;$D$5,"",$J$10+Q281)</x:f>
        <x:v>0</x:v>
      </x:c>
      <x:c r="S281" s="116" t="n">
        <x:f>IF($L281&lt;$D$5,"",IF($L281=$D$5,$J$10+$N281-IF($M281,IF(INT(($L281-$D$5)/7)&lt;$A$20,$B$20,$D$10),0),S280+$N281-IF($M281,IF(INT(($L281-$D$5)/7)&lt;$A$20,$B$20,$D$10),0)))</x:f>
        <x:v>0</x:v>
      </x:c>
      <x:c r="T281" s="116" t="n">
        <x:f>IF($L281&lt;$D$5,"",IF($L281=$D$5,$J$10+$N281-IF($M281,IF(INT(($L281-$D$5)/7)&lt;$A$21,$B$21,$D$10),0),T280+$N281-IF($M281,IF(INT(($L281-$D$5)/7)&lt;$A$21,$B$21,$D$10),0)))</x:f>
        <x:v>0</x:v>
      </x:c>
      <x:c r="U281" s="116" t="n">
        <x:f>IF($L281&lt;$D$5,"",IF($L281=$D$5,$J$10+$N281-IF($M281,IF(INT(($L281-$D$5)/7)&lt;$A$22,$B$22,$D$10),0),U280+$N281-IF($M281,IF(INT(($L281-$D$5)/7)&lt;$A$22,$B$22,$D$10),0)))</x:f>
        <x:v>0</x:v>
      </x:c>
      <x:c r="V281" s="116" t="n">
        <x:f>IF($L281&lt;$D$5,"",IF($L281=$D$5,$J$10+$N281-IF($M281,IF(INT(($L281-$D$5)/7)&lt;$A$23,$B$23,$D$10),0),V280+$N281-IF($M281,IF(INT(($L281-$D$5)/7)&lt;$A$23,$B$23,$D$10),0)))</x:f>
        <x:v>0</x:v>
      </x:c>
      <x:c r="W281" s="116" t="n">
        <x:f>IF($L281&lt;$D$5,"",IF($L281=$D$5,$J$10+$N281-IF($M281,IF(INT(($L281-$D$5)/7)&lt;$A$24,$B$24,$D$10),0),W280+$N281-IF($M281,IF(INT(($L281-$D$5)/7)&lt;$A$24,$B$24,$D$10),0)))</x:f>
        <x:v>0</x:v>
      </x:c>
      <x:c r="X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Y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Z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A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B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C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D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E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F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G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H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I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J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K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L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M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N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O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P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Q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R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S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T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U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V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W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X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Y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AZ281" s="116"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c r="BA281" s="117" t="n">
        <x:f>IF(OR(INDEX('1 Budget annuel'!$A$14:$A$43,COLUMN()-COLUMN($X$42)+1)&lt;&gt;"Oui",INDEX('1 Budget annuel'!$L$14:$L$43,COLUMN()-COLUMN($X$42)+1)="",AND(INDEX('1 Budget annuel'!$B$14:$B$43,COLUMN()-COLUMN($X$42)+1)="Sortie",INDEX('1 Budget annuel'!$M$14:$M$43,COLUMN()-COLUMN($X$42)+1)="Oui"),$L281&lt;INDEX('1 Budget annuel'!$L$14:$L$43,COLUMN()-COLUMN($X$42)+1),$L281&gt;$D$5+363),0,IF(OR(AND(INDEX('1 Budget annuel'!$E$14:$E$43,COLUMN()-COLUMN($X$42)+1)="Hebdomadaire",MOD($L281-INDEX('1 Budget annuel'!$L$14:$L$43,COLUMN()-COLUMN($X$42)+1),7)=0),AND(INDEX('1 Budget annuel'!$E$14:$E$43,COLUMN()-COLUMN($X$42)+1)="Toutes les 4 semaines",MOD($L281-INDEX('1 Budget annuel'!$L$14:$L$43,COLUMN()-COLUMN($X$42)+1),28)=0),AND(INDEX('1 Budget annuel'!$E$14:$E$43,COLUMN()-COLUMN($X$42)+1)="Mensuelle",DAY($L281)=MIN(DAY(INDEX('1 Budget annuel'!$L$14:$L$43,COLUMN()-COLUMN($X$42)+1)),DAY(EOMONTH($L281,0)))),AND(INDEX('1 Budget annuel'!$E$14:$E$43,COLUMN()-COLUMN($X$42)+1)="Trimestrielle",MOD((YEAR($L281)-YEAR(INDEX('1 Budget annuel'!$L$14:$L$43,COLUMN()-COLUMN($X$42)+1)))*12+MONTH($L281)-MONTH(INDEX('1 Budget annuel'!$L$14:$L$43,COLUMN()-COLUMN($X$42)+1)),3)=0,DAY($L281)=MIN(DAY(INDEX('1 Budget annuel'!$L$14:$L$43,COLUMN()-COLUMN($X$42)+1)),DAY(EOMONTH($L281,0)))),AND(INDEX('1 Budget annuel'!$E$14:$E$43,COLUMN()-COLUMN($X$42)+1)="Semestrielle",MOD((YEAR($L281)-YEAR(INDEX('1 Budget annuel'!$L$14:$L$43,COLUMN()-COLUMN($X$42)+1)))*12+MONTH($L281)-MONTH(INDEX('1 Budget annuel'!$L$14:$L$43,COLUMN()-COLUMN($X$42)+1)),6)=0,DAY($L281)=MIN(DAY(INDEX('1 Budget annuel'!$L$14:$L$43,COLUMN()-COLUMN($X$42)+1)),DAY(EOMONTH($L281,0)))),AND(INDEX('1 Budget annuel'!$E$14:$E$43,COLUMN()-COLUMN($X$42)+1)="Annuelle",MOD((YEAR($L281)-YEAR(INDEX('1 Budget annuel'!$L$14:$L$43,COLUMN()-COLUMN($X$42)+1)))*12+MONTH($L281)-MONTH(INDEX('1 Budget annuel'!$L$14:$L$43,COLUMN()-COLUMN($X$42)+1)),12)=0,DAY($L281)=MIN(DAY(INDEX('1 Budget annuel'!$L$14:$L$43,COLUMN()-COLUMN($X$42)+1)),DAY(EOMONTH($L281,0))))),IF(INDEX('1 Budget annuel'!$B$14:$B$43,COLUMN()-COLUMN($X$42)+1)="Entrée",INDEX('1 Budget annuel'!$I$14:$I$43,COLUMN()-COLUMN($X$42)+1),-INDEX('1 Budget annuel'!$I$14:$I$43,COLUMN()-COLUMN($X$42)+1)),0))</x:f>
        <x:v>0</x:v>
      </x:c>
    </x:row>
    <x:row r="282">
      <x:c r="L282" s="114" t="n">
        <x:f>L281+1</x:f>
        <x:v>46476</x:v>
      </x:c>
      <x:c r="M282" s="115" t="b">
        <x:f>AND(L282&gt;=$D$5,L282&lt;=$D$5+363,MOD(L282-$D$5,7)=0)</x:f>
        <x:v>0</x:v>
      </x:c>
      <x:c r="N282" s="116" t="n">
        <x:f>SUM(X282:BA282)</x:f>
        <x:v>0</x:v>
      </x:c>
      <x:c r="O282" s="116" t="n">
        <x:f>IF(M282,$D$10,0)</x:f>
        <x:v>0</x:v>
      </x:c>
      <x:c r="P282" s="116" t="n">
        <x:f>N282-O282</x:f>
        <x:v>0</x:v>
      </x:c>
      <x:c r="Q282" s="116" t="n">
        <x:f>IF(L282&lt;$D$5,0,IF(L282=$D$5,P282,Q281+P282))</x:f>
        <x:v>0</x:v>
      </x:c>
      <x:c r="R282" s="116" t="n">
        <x:f>IF(L282&lt;$D$5,"",$J$10+Q282)</x:f>
        <x:v>0</x:v>
      </x:c>
      <x:c r="S282" s="116" t="n">
        <x:f>IF($L282&lt;$D$5,"",IF($L282=$D$5,$J$10+$N282-IF($M282,IF(INT(($L282-$D$5)/7)&lt;$A$20,$B$20,$D$10),0),S281+$N282-IF($M282,IF(INT(($L282-$D$5)/7)&lt;$A$20,$B$20,$D$10),0)))</x:f>
        <x:v>0</x:v>
      </x:c>
      <x:c r="T282" s="116" t="n">
        <x:f>IF($L282&lt;$D$5,"",IF($L282=$D$5,$J$10+$N282-IF($M282,IF(INT(($L282-$D$5)/7)&lt;$A$21,$B$21,$D$10),0),T281+$N282-IF($M282,IF(INT(($L282-$D$5)/7)&lt;$A$21,$B$21,$D$10),0)))</x:f>
        <x:v>0</x:v>
      </x:c>
      <x:c r="U282" s="116" t="n">
        <x:f>IF($L282&lt;$D$5,"",IF($L282=$D$5,$J$10+$N282-IF($M282,IF(INT(($L282-$D$5)/7)&lt;$A$22,$B$22,$D$10),0),U281+$N282-IF($M282,IF(INT(($L282-$D$5)/7)&lt;$A$22,$B$22,$D$10),0)))</x:f>
        <x:v>0</x:v>
      </x:c>
      <x:c r="V282" s="116" t="n">
        <x:f>IF($L282&lt;$D$5,"",IF($L282=$D$5,$J$10+$N282-IF($M282,IF(INT(($L282-$D$5)/7)&lt;$A$23,$B$23,$D$10),0),V281+$N282-IF($M282,IF(INT(($L282-$D$5)/7)&lt;$A$23,$B$23,$D$10),0)))</x:f>
        <x:v>0</x:v>
      </x:c>
      <x:c r="W282" s="116" t="n">
        <x:f>IF($L282&lt;$D$5,"",IF($L282=$D$5,$J$10+$N282-IF($M282,IF(INT(($L282-$D$5)/7)&lt;$A$24,$B$24,$D$10),0),W281+$N282-IF($M282,IF(INT(($L282-$D$5)/7)&lt;$A$24,$B$24,$D$10),0)))</x:f>
        <x:v>0</x:v>
      </x:c>
      <x:c r="X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Y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Z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A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B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C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D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E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F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G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H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I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J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K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L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M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N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O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P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Q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R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S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T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U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V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W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X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Y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AZ282" s="116"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c r="BA282" s="117" t="n">
        <x:f>IF(OR(INDEX('1 Budget annuel'!$A$14:$A$43,COLUMN()-COLUMN($X$42)+1)&lt;&gt;"Oui",INDEX('1 Budget annuel'!$L$14:$L$43,COLUMN()-COLUMN($X$42)+1)="",AND(INDEX('1 Budget annuel'!$B$14:$B$43,COLUMN()-COLUMN($X$42)+1)="Sortie",INDEX('1 Budget annuel'!$M$14:$M$43,COLUMN()-COLUMN($X$42)+1)="Oui"),$L282&lt;INDEX('1 Budget annuel'!$L$14:$L$43,COLUMN()-COLUMN($X$42)+1),$L282&gt;$D$5+363),0,IF(OR(AND(INDEX('1 Budget annuel'!$E$14:$E$43,COLUMN()-COLUMN($X$42)+1)="Hebdomadaire",MOD($L282-INDEX('1 Budget annuel'!$L$14:$L$43,COLUMN()-COLUMN($X$42)+1),7)=0),AND(INDEX('1 Budget annuel'!$E$14:$E$43,COLUMN()-COLUMN($X$42)+1)="Toutes les 4 semaines",MOD($L282-INDEX('1 Budget annuel'!$L$14:$L$43,COLUMN()-COLUMN($X$42)+1),28)=0),AND(INDEX('1 Budget annuel'!$E$14:$E$43,COLUMN()-COLUMN($X$42)+1)="Mensuelle",DAY($L282)=MIN(DAY(INDEX('1 Budget annuel'!$L$14:$L$43,COLUMN()-COLUMN($X$42)+1)),DAY(EOMONTH($L282,0)))),AND(INDEX('1 Budget annuel'!$E$14:$E$43,COLUMN()-COLUMN($X$42)+1)="Trimestrielle",MOD((YEAR($L282)-YEAR(INDEX('1 Budget annuel'!$L$14:$L$43,COLUMN()-COLUMN($X$42)+1)))*12+MONTH($L282)-MONTH(INDEX('1 Budget annuel'!$L$14:$L$43,COLUMN()-COLUMN($X$42)+1)),3)=0,DAY($L282)=MIN(DAY(INDEX('1 Budget annuel'!$L$14:$L$43,COLUMN()-COLUMN($X$42)+1)),DAY(EOMONTH($L282,0)))),AND(INDEX('1 Budget annuel'!$E$14:$E$43,COLUMN()-COLUMN($X$42)+1)="Semestrielle",MOD((YEAR($L282)-YEAR(INDEX('1 Budget annuel'!$L$14:$L$43,COLUMN()-COLUMN($X$42)+1)))*12+MONTH($L282)-MONTH(INDEX('1 Budget annuel'!$L$14:$L$43,COLUMN()-COLUMN($X$42)+1)),6)=0,DAY($L282)=MIN(DAY(INDEX('1 Budget annuel'!$L$14:$L$43,COLUMN()-COLUMN($X$42)+1)),DAY(EOMONTH($L282,0)))),AND(INDEX('1 Budget annuel'!$E$14:$E$43,COLUMN()-COLUMN($X$42)+1)="Annuelle",MOD((YEAR($L282)-YEAR(INDEX('1 Budget annuel'!$L$14:$L$43,COLUMN()-COLUMN($X$42)+1)))*12+MONTH($L282)-MONTH(INDEX('1 Budget annuel'!$L$14:$L$43,COLUMN()-COLUMN($X$42)+1)),12)=0,DAY($L282)=MIN(DAY(INDEX('1 Budget annuel'!$L$14:$L$43,COLUMN()-COLUMN($X$42)+1)),DAY(EOMONTH($L282,0))))),IF(INDEX('1 Budget annuel'!$B$14:$B$43,COLUMN()-COLUMN($X$42)+1)="Entrée",INDEX('1 Budget annuel'!$I$14:$I$43,COLUMN()-COLUMN($X$42)+1),-INDEX('1 Budget annuel'!$I$14:$I$43,COLUMN()-COLUMN($X$42)+1)),0))</x:f>
        <x:v>0</x:v>
      </x:c>
    </x:row>
    <x:row r="283">
      <x:c r="L283" s="114" t="n">
        <x:f>L282+1</x:f>
        <x:v>46477</x:v>
      </x:c>
      <x:c r="M283" s="115" t="b">
        <x:f>AND(L283&gt;=$D$5,L283&lt;=$D$5+363,MOD(L283-$D$5,7)=0)</x:f>
        <x:v>0</x:v>
      </x:c>
      <x:c r="N283" s="116" t="n">
        <x:f>SUM(X283:BA283)</x:f>
        <x:v>0</x:v>
      </x:c>
      <x:c r="O283" s="116" t="n">
        <x:f>IF(M283,$D$10,0)</x:f>
        <x:v>0</x:v>
      </x:c>
      <x:c r="P283" s="116" t="n">
        <x:f>N283-O283</x:f>
        <x:v>0</x:v>
      </x:c>
      <x:c r="Q283" s="116" t="n">
        <x:f>IF(L283&lt;$D$5,0,IF(L283=$D$5,P283,Q282+P283))</x:f>
        <x:v>0</x:v>
      </x:c>
      <x:c r="R283" s="116" t="n">
        <x:f>IF(L283&lt;$D$5,"",$J$10+Q283)</x:f>
        <x:v>0</x:v>
      </x:c>
      <x:c r="S283" s="116" t="n">
        <x:f>IF($L283&lt;$D$5,"",IF($L283=$D$5,$J$10+$N283-IF($M283,IF(INT(($L283-$D$5)/7)&lt;$A$20,$B$20,$D$10),0),S282+$N283-IF($M283,IF(INT(($L283-$D$5)/7)&lt;$A$20,$B$20,$D$10),0)))</x:f>
        <x:v>0</x:v>
      </x:c>
      <x:c r="T283" s="116" t="n">
        <x:f>IF($L283&lt;$D$5,"",IF($L283=$D$5,$J$10+$N283-IF($M283,IF(INT(($L283-$D$5)/7)&lt;$A$21,$B$21,$D$10),0),T282+$N283-IF($M283,IF(INT(($L283-$D$5)/7)&lt;$A$21,$B$21,$D$10),0)))</x:f>
        <x:v>0</x:v>
      </x:c>
      <x:c r="U283" s="116" t="n">
        <x:f>IF($L283&lt;$D$5,"",IF($L283=$D$5,$J$10+$N283-IF($M283,IF(INT(($L283-$D$5)/7)&lt;$A$22,$B$22,$D$10),0),U282+$N283-IF($M283,IF(INT(($L283-$D$5)/7)&lt;$A$22,$B$22,$D$10),0)))</x:f>
        <x:v>0</x:v>
      </x:c>
      <x:c r="V283" s="116" t="n">
        <x:f>IF($L283&lt;$D$5,"",IF($L283=$D$5,$J$10+$N283-IF($M283,IF(INT(($L283-$D$5)/7)&lt;$A$23,$B$23,$D$10),0),V282+$N283-IF($M283,IF(INT(($L283-$D$5)/7)&lt;$A$23,$B$23,$D$10),0)))</x:f>
        <x:v>0</x:v>
      </x:c>
      <x:c r="W283" s="116" t="n">
        <x:f>IF($L283&lt;$D$5,"",IF($L283=$D$5,$J$10+$N283-IF($M283,IF(INT(($L283-$D$5)/7)&lt;$A$24,$B$24,$D$10),0),W282+$N283-IF($M283,IF(INT(($L283-$D$5)/7)&lt;$A$24,$B$24,$D$10),0)))</x:f>
        <x:v>0</x:v>
      </x:c>
      <x:c r="X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Y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Z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A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B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C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D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E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F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G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H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I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J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K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L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M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N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O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P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Q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R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S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T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U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V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W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X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Y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AZ283" s="116"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c r="BA283" s="117" t="n">
        <x:f>IF(OR(INDEX('1 Budget annuel'!$A$14:$A$43,COLUMN()-COLUMN($X$42)+1)&lt;&gt;"Oui",INDEX('1 Budget annuel'!$L$14:$L$43,COLUMN()-COLUMN($X$42)+1)="",AND(INDEX('1 Budget annuel'!$B$14:$B$43,COLUMN()-COLUMN($X$42)+1)="Sortie",INDEX('1 Budget annuel'!$M$14:$M$43,COLUMN()-COLUMN($X$42)+1)="Oui"),$L283&lt;INDEX('1 Budget annuel'!$L$14:$L$43,COLUMN()-COLUMN($X$42)+1),$L283&gt;$D$5+363),0,IF(OR(AND(INDEX('1 Budget annuel'!$E$14:$E$43,COLUMN()-COLUMN($X$42)+1)="Hebdomadaire",MOD($L283-INDEX('1 Budget annuel'!$L$14:$L$43,COLUMN()-COLUMN($X$42)+1),7)=0),AND(INDEX('1 Budget annuel'!$E$14:$E$43,COLUMN()-COLUMN($X$42)+1)="Toutes les 4 semaines",MOD($L283-INDEX('1 Budget annuel'!$L$14:$L$43,COLUMN()-COLUMN($X$42)+1),28)=0),AND(INDEX('1 Budget annuel'!$E$14:$E$43,COLUMN()-COLUMN($X$42)+1)="Mensuelle",DAY($L283)=MIN(DAY(INDEX('1 Budget annuel'!$L$14:$L$43,COLUMN()-COLUMN($X$42)+1)),DAY(EOMONTH($L283,0)))),AND(INDEX('1 Budget annuel'!$E$14:$E$43,COLUMN()-COLUMN($X$42)+1)="Trimestrielle",MOD((YEAR($L283)-YEAR(INDEX('1 Budget annuel'!$L$14:$L$43,COLUMN()-COLUMN($X$42)+1)))*12+MONTH($L283)-MONTH(INDEX('1 Budget annuel'!$L$14:$L$43,COLUMN()-COLUMN($X$42)+1)),3)=0,DAY($L283)=MIN(DAY(INDEX('1 Budget annuel'!$L$14:$L$43,COLUMN()-COLUMN($X$42)+1)),DAY(EOMONTH($L283,0)))),AND(INDEX('1 Budget annuel'!$E$14:$E$43,COLUMN()-COLUMN($X$42)+1)="Semestrielle",MOD((YEAR($L283)-YEAR(INDEX('1 Budget annuel'!$L$14:$L$43,COLUMN()-COLUMN($X$42)+1)))*12+MONTH($L283)-MONTH(INDEX('1 Budget annuel'!$L$14:$L$43,COLUMN()-COLUMN($X$42)+1)),6)=0,DAY($L283)=MIN(DAY(INDEX('1 Budget annuel'!$L$14:$L$43,COLUMN()-COLUMN($X$42)+1)),DAY(EOMONTH($L283,0)))),AND(INDEX('1 Budget annuel'!$E$14:$E$43,COLUMN()-COLUMN($X$42)+1)="Annuelle",MOD((YEAR($L283)-YEAR(INDEX('1 Budget annuel'!$L$14:$L$43,COLUMN()-COLUMN($X$42)+1)))*12+MONTH($L283)-MONTH(INDEX('1 Budget annuel'!$L$14:$L$43,COLUMN()-COLUMN($X$42)+1)),12)=0,DAY($L283)=MIN(DAY(INDEX('1 Budget annuel'!$L$14:$L$43,COLUMN()-COLUMN($X$42)+1)),DAY(EOMONTH($L283,0))))),IF(INDEX('1 Budget annuel'!$B$14:$B$43,COLUMN()-COLUMN($X$42)+1)="Entrée",INDEX('1 Budget annuel'!$I$14:$I$43,COLUMN()-COLUMN($X$42)+1),-INDEX('1 Budget annuel'!$I$14:$I$43,COLUMN()-COLUMN($X$42)+1)),0))</x:f>
        <x:v>0</x:v>
      </x:c>
    </x:row>
    <x:row r="284">
      <x:c r="L284" s="114" t="n">
        <x:f>L283+1</x:f>
        <x:v>46478</x:v>
      </x:c>
      <x:c r="M284" s="115" t="b">
        <x:f>AND(L284&gt;=$D$5,L284&lt;=$D$5+363,MOD(L284-$D$5,7)=0)</x:f>
        <x:v>0</x:v>
      </x:c>
      <x:c r="N284" s="116" t="n">
        <x:f>SUM(X284:BA284)</x:f>
        <x:v>0</x:v>
      </x:c>
      <x:c r="O284" s="116" t="n">
        <x:f>IF(M284,$D$10,0)</x:f>
        <x:v>0</x:v>
      </x:c>
      <x:c r="P284" s="116" t="n">
        <x:f>N284-O284</x:f>
        <x:v>0</x:v>
      </x:c>
      <x:c r="Q284" s="116" t="n">
        <x:f>IF(L284&lt;$D$5,0,IF(L284=$D$5,P284,Q283+P284))</x:f>
        <x:v>0</x:v>
      </x:c>
      <x:c r="R284" s="116" t="n">
        <x:f>IF(L284&lt;$D$5,"",$J$10+Q284)</x:f>
        <x:v>0</x:v>
      </x:c>
      <x:c r="S284" s="116" t="n">
        <x:f>IF($L284&lt;$D$5,"",IF($L284=$D$5,$J$10+$N284-IF($M284,IF(INT(($L284-$D$5)/7)&lt;$A$20,$B$20,$D$10),0),S283+$N284-IF($M284,IF(INT(($L284-$D$5)/7)&lt;$A$20,$B$20,$D$10),0)))</x:f>
        <x:v>0</x:v>
      </x:c>
      <x:c r="T284" s="116" t="n">
        <x:f>IF($L284&lt;$D$5,"",IF($L284=$D$5,$J$10+$N284-IF($M284,IF(INT(($L284-$D$5)/7)&lt;$A$21,$B$21,$D$10),0),T283+$N284-IF($M284,IF(INT(($L284-$D$5)/7)&lt;$A$21,$B$21,$D$10),0)))</x:f>
        <x:v>0</x:v>
      </x:c>
      <x:c r="U284" s="116" t="n">
        <x:f>IF($L284&lt;$D$5,"",IF($L284=$D$5,$J$10+$N284-IF($M284,IF(INT(($L284-$D$5)/7)&lt;$A$22,$B$22,$D$10),0),U283+$N284-IF($M284,IF(INT(($L284-$D$5)/7)&lt;$A$22,$B$22,$D$10),0)))</x:f>
        <x:v>0</x:v>
      </x:c>
      <x:c r="V284" s="116" t="n">
        <x:f>IF($L284&lt;$D$5,"",IF($L284=$D$5,$J$10+$N284-IF($M284,IF(INT(($L284-$D$5)/7)&lt;$A$23,$B$23,$D$10),0),V283+$N284-IF($M284,IF(INT(($L284-$D$5)/7)&lt;$A$23,$B$23,$D$10),0)))</x:f>
        <x:v>0</x:v>
      </x:c>
      <x:c r="W284" s="116" t="n">
        <x:f>IF($L284&lt;$D$5,"",IF($L284=$D$5,$J$10+$N284-IF($M284,IF(INT(($L284-$D$5)/7)&lt;$A$24,$B$24,$D$10),0),W283+$N284-IF($M284,IF(INT(($L284-$D$5)/7)&lt;$A$24,$B$24,$D$10),0)))</x:f>
        <x:v>0</x:v>
      </x:c>
      <x:c r="X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Y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Z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A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B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C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D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E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F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G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H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I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J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K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L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M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N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O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P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Q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R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S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T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U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V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W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X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Y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AZ284" s="116"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c r="BA284" s="117" t="n">
        <x:f>IF(OR(INDEX('1 Budget annuel'!$A$14:$A$43,COLUMN()-COLUMN($X$42)+1)&lt;&gt;"Oui",INDEX('1 Budget annuel'!$L$14:$L$43,COLUMN()-COLUMN($X$42)+1)="",AND(INDEX('1 Budget annuel'!$B$14:$B$43,COLUMN()-COLUMN($X$42)+1)="Sortie",INDEX('1 Budget annuel'!$M$14:$M$43,COLUMN()-COLUMN($X$42)+1)="Oui"),$L284&lt;INDEX('1 Budget annuel'!$L$14:$L$43,COLUMN()-COLUMN($X$42)+1),$L284&gt;$D$5+363),0,IF(OR(AND(INDEX('1 Budget annuel'!$E$14:$E$43,COLUMN()-COLUMN($X$42)+1)="Hebdomadaire",MOD($L284-INDEX('1 Budget annuel'!$L$14:$L$43,COLUMN()-COLUMN($X$42)+1),7)=0),AND(INDEX('1 Budget annuel'!$E$14:$E$43,COLUMN()-COLUMN($X$42)+1)="Toutes les 4 semaines",MOD($L284-INDEX('1 Budget annuel'!$L$14:$L$43,COLUMN()-COLUMN($X$42)+1),28)=0),AND(INDEX('1 Budget annuel'!$E$14:$E$43,COLUMN()-COLUMN($X$42)+1)="Mensuelle",DAY($L284)=MIN(DAY(INDEX('1 Budget annuel'!$L$14:$L$43,COLUMN()-COLUMN($X$42)+1)),DAY(EOMONTH($L284,0)))),AND(INDEX('1 Budget annuel'!$E$14:$E$43,COLUMN()-COLUMN($X$42)+1)="Trimestrielle",MOD((YEAR($L284)-YEAR(INDEX('1 Budget annuel'!$L$14:$L$43,COLUMN()-COLUMN($X$42)+1)))*12+MONTH($L284)-MONTH(INDEX('1 Budget annuel'!$L$14:$L$43,COLUMN()-COLUMN($X$42)+1)),3)=0,DAY($L284)=MIN(DAY(INDEX('1 Budget annuel'!$L$14:$L$43,COLUMN()-COLUMN($X$42)+1)),DAY(EOMONTH($L284,0)))),AND(INDEX('1 Budget annuel'!$E$14:$E$43,COLUMN()-COLUMN($X$42)+1)="Semestrielle",MOD((YEAR($L284)-YEAR(INDEX('1 Budget annuel'!$L$14:$L$43,COLUMN()-COLUMN($X$42)+1)))*12+MONTH($L284)-MONTH(INDEX('1 Budget annuel'!$L$14:$L$43,COLUMN()-COLUMN($X$42)+1)),6)=0,DAY($L284)=MIN(DAY(INDEX('1 Budget annuel'!$L$14:$L$43,COLUMN()-COLUMN($X$42)+1)),DAY(EOMONTH($L284,0)))),AND(INDEX('1 Budget annuel'!$E$14:$E$43,COLUMN()-COLUMN($X$42)+1)="Annuelle",MOD((YEAR($L284)-YEAR(INDEX('1 Budget annuel'!$L$14:$L$43,COLUMN()-COLUMN($X$42)+1)))*12+MONTH($L284)-MONTH(INDEX('1 Budget annuel'!$L$14:$L$43,COLUMN()-COLUMN($X$42)+1)),12)=0,DAY($L284)=MIN(DAY(INDEX('1 Budget annuel'!$L$14:$L$43,COLUMN()-COLUMN($X$42)+1)),DAY(EOMONTH($L284,0))))),IF(INDEX('1 Budget annuel'!$B$14:$B$43,COLUMN()-COLUMN($X$42)+1)="Entrée",INDEX('1 Budget annuel'!$I$14:$I$43,COLUMN()-COLUMN($X$42)+1),-INDEX('1 Budget annuel'!$I$14:$I$43,COLUMN()-COLUMN($X$42)+1)),0))</x:f>
        <x:v>0</x:v>
      </x:c>
    </x:row>
    <x:row r="285">
      <x:c r="L285" s="114" t="n">
        <x:f>L284+1</x:f>
        <x:v>46479</x:v>
      </x:c>
      <x:c r="M285" s="115" t="b">
        <x:f>AND(L285&gt;=$D$5,L285&lt;=$D$5+363,MOD(L285-$D$5,7)=0)</x:f>
        <x:v>0</x:v>
      </x:c>
      <x:c r="N285" s="116" t="n">
        <x:f>SUM(X285:BA285)</x:f>
        <x:v>0</x:v>
      </x:c>
      <x:c r="O285" s="116" t="n">
        <x:f>IF(M285,$D$10,0)</x:f>
        <x:v>0</x:v>
      </x:c>
      <x:c r="P285" s="116" t="n">
        <x:f>N285-O285</x:f>
        <x:v>0</x:v>
      </x:c>
      <x:c r="Q285" s="116" t="n">
        <x:f>IF(L285&lt;$D$5,0,IF(L285=$D$5,P285,Q284+P285))</x:f>
        <x:v>0</x:v>
      </x:c>
      <x:c r="R285" s="116" t="n">
        <x:f>IF(L285&lt;$D$5,"",$J$10+Q285)</x:f>
        <x:v>0</x:v>
      </x:c>
      <x:c r="S285" s="116" t="n">
        <x:f>IF($L285&lt;$D$5,"",IF($L285=$D$5,$J$10+$N285-IF($M285,IF(INT(($L285-$D$5)/7)&lt;$A$20,$B$20,$D$10),0),S284+$N285-IF($M285,IF(INT(($L285-$D$5)/7)&lt;$A$20,$B$20,$D$10),0)))</x:f>
        <x:v>0</x:v>
      </x:c>
      <x:c r="T285" s="116" t="n">
        <x:f>IF($L285&lt;$D$5,"",IF($L285=$D$5,$J$10+$N285-IF($M285,IF(INT(($L285-$D$5)/7)&lt;$A$21,$B$21,$D$10),0),T284+$N285-IF($M285,IF(INT(($L285-$D$5)/7)&lt;$A$21,$B$21,$D$10),0)))</x:f>
        <x:v>0</x:v>
      </x:c>
      <x:c r="U285" s="116" t="n">
        <x:f>IF($L285&lt;$D$5,"",IF($L285=$D$5,$J$10+$N285-IF($M285,IF(INT(($L285-$D$5)/7)&lt;$A$22,$B$22,$D$10),0),U284+$N285-IF($M285,IF(INT(($L285-$D$5)/7)&lt;$A$22,$B$22,$D$10),0)))</x:f>
        <x:v>0</x:v>
      </x:c>
      <x:c r="V285" s="116" t="n">
        <x:f>IF($L285&lt;$D$5,"",IF($L285=$D$5,$J$10+$N285-IF($M285,IF(INT(($L285-$D$5)/7)&lt;$A$23,$B$23,$D$10),0),V284+$N285-IF($M285,IF(INT(($L285-$D$5)/7)&lt;$A$23,$B$23,$D$10),0)))</x:f>
        <x:v>0</x:v>
      </x:c>
      <x:c r="W285" s="116" t="n">
        <x:f>IF($L285&lt;$D$5,"",IF($L285=$D$5,$J$10+$N285-IF($M285,IF(INT(($L285-$D$5)/7)&lt;$A$24,$B$24,$D$10),0),W284+$N285-IF($M285,IF(INT(($L285-$D$5)/7)&lt;$A$24,$B$24,$D$10),0)))</x:f>
        <x:v>0</x:v>
      </x:c>
      <x:c r="X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Y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Z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A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B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C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D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E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F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G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H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I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J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K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L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M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N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O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P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Q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R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S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T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U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V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W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X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Y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AZ285" s="116"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c r="BA285" s="117" t="n">
        <x:f>IF(OR(INDEX('1 Budget annuel'!$A$14:$A$43,COLUMN()-COLUMN($X$42)+1)&lt;&gt;"Oui",INDEX('1 Budget annuel'!$L$14:$L$43,COLUMN()-COLUMN($X$42)+1)="",AND(INDEX('1 Budget annuel'!$B$14:$B$43,COLUMN()-COLUMN($X$42)+1)="Sortie",INDEX('1 Budget annuel'!$M$14:$M$43,COLUMN()-COLUMN($X$42)+1)="Oui"),$L285&lt;INDEX('1 Budget annuel'!$L$14:$L$43,COLUMN()-COLUMN($X$42)+1),$L285&gt;$D$5+363),0,IF(OR(AND(INDEX('1 Budget annuel'!$E$14:$E$43,COLUMN()-COLUMN($X$42)+1)="Hebdomadaire",MOD($L285-INDEX('1 Budget annuel'!$L$14:$L$43,COLUMN()-COLUMN($X$42)+1),7)=0),AND(INDEX('1 Budget annuel'!$E$14:$E$43,COLUMN()-COLUMN($X$42)+1)="Toutes les 4 semaines",MOD($L285-INDEX('1 Budget annuel'!$L$14:$L$43,COLUMN()-COLUMN($X$42)+1),28)=0),AND(INDEX('1 Budget annuel'!$E$14:$E$43,COLUMN()-COLUMN($X$42)+1)="Mensuelle",DAY($L285)=MIN(DAY(INDEX('1 Budget annuel'!$L$14:$L$43,COLUMN()-COLUMN($X$42)+1)),DAY(EOMONTH($L285,0)))),AND(INDEX('1 Budget annuel'!$E$14:$E$43,COLUMN()-COLUMN($X$42)+1)="Trimestrielle",MOD((YEAR($L285)-YEAR(INDEX('1 Budget annuel'!$L$14:$L$43,COLUMN()-COLUMN($X$42)+1)))*12+MONTH($L285)-MONTH(INDEX('1 Budget annuel'!$L$14:$L$43,COLUMN()-COLUMN($X$42)+1)),3)=0,DAY($L285)=MIN(DAY(INDEX('1 Budget annuel'!$L$14:$L$43,COLUMN()-COLUMN($X$42)+1)),DAY(EOMONTH($L285,0)))),AND(INDEX('1 Budget annuel'!$E$14:$E$43,COLUMN()-COLUMN($X$42)+1)="Semestrielle",MOD((YEAR($L285)-YEAR(INDEX('1 Budget annuel'!$L$14:$L$43,COLUMN()-COLUMN($X$42)+1)))*12+MONTH($L285)-MONTH(INDEX('1 Budget annuel'!$L$14:$L$43,COLUMN()-COLUMN($X$42)+1)),6)=0,DAY($L285)=MIN(DAY(INDEX('1 Budget annuel'!$L$14:$L$43,COLUMN()-COLUMN($X$42)+1)),DAY(EOMONTH($L285,0)))),AND(INDEX('1 Budget annuel'!$E$14:$E$43,COLUMN()-COLUMN($X$42)+1)="Annuelle",MOD((YEAR($L285)-YEAR(INDEX('1 Budget annuel'!$L$14:$L$43,COLUMN()-COLUMN($X$42)+1)))*12+MONTH($L285)-MONTH(INDEX('1 Budget annuel'!$L$14:$L$43,COLUMN()-COLUMN($X$42)+1)),12)=0,DAY($L285)=MIN(DAY(INDEX('1 Budget annuel'!$L$14:$L$43,COLUMN()-COLUMN($X$42)+1)),DAY(EOMONTH($L285,0))))),IF(INDEX('1 Budget annuel'!$B$14:$B$43,COLUMN()-COLUMN($X$42)+1)="Entrée",INDEX('1 Budget annuel'!$I$14:$I$43,COLUMN()-COLUMN($X$42)+1),-INDEX('1 Budget annuel'!$I$14:$I$43,COLUMN()-COLUMN($X$42)+1)),0))</x:f>
        <x:v>0</x:v>
      </x:c>
    </x:row>
    <x:row r="286">
      <x:c r="L286" s="114" t="n">
        <x:f>L285+1</x:f>
        <x:v>46480</x:v>
      </x:c>
      <x:c r="M286" s="115" t="b">
        <x:f>AND(L286&gt;=$D$5,L286&lt;=$D$5+363,MOD(L286-$D$5,7)=0)</x:f>
        <x:v>1</x:v>
      </x:c>
      <x:c r="N286" s="116" t="n">
        <x:f>SUM(X286:BA286)</x:f>
        <x:v>0</x:v>
      </x:c>
      <x:c r="O286" s="116" t="n">
        <x:f>IF(M286,$D$10,0)</x:f>
        <x:v>0</x:v>
      </x:c>
      <x:c r="P286" s="116" t="n">
        <x:f>N286-O286</x:f>
        <x:v>0</x:v>
      </x:c>
      <x:c r="Q286" s="116" t="n">
        <x:f>IF(L286&lt;$D$5,0,IF(L286=$D$5,P286,Q285+P286))</x:f>
        <x:v>0</x:v>
      </x:c>
      <x:c r="R286" s="116" t="n">
        <x:f>IF(L286&lt;$D$5,"",$J$10+Q286)</x:f>
        <x:v>0</x:v>
      </x:c>
      <x:c r="S286" s="116" t="n">
        <x:f>IF($L286&lt;$D$5,"",IF($L286=$D$5,$J$10+$N286-IF($M286,IF(INT(($L286-$D$5)/7)&lt;$A$20,$B$20,$D$10),0),S285+$N286-IF($M286,IF(INT(($L286-$D$5)/7)&lt;$A$20,$B$20,$D$10),0)))</x:f>
        <x:v>0</x:v>
      </x:c>
      <x:c r="T286" s="116" t="n">
        <x:f>IF($L286&lt;$D$5,"",IF($L286=$D$5,$J$10+$N286-IF($M286,IF(INT(($L286-$D$5)/7)&lt;$A$21,$B$21,$D$10),0),T285+$N286-IF($M286,IF(INT(($L286-$D$5)/7)&lt;$A$21,$B$21,$D$10),0)))</x:f>
        <x:v>0</x:v>
      </x:c>
      <x:c r="U286" s="116" t="n">
        <x:f>IF($L286&lt;$D$5,"",IF($L286=$D$5,$J$10+$N286-IF($M286,IF(INT(($L286-$D$5)/7)&lt;$A$22,$B$22,$D$10),0),U285+$N286-IF($M286,IF(INT(($L286-$D$5)/7)&lt;$A$22,$B$22,$D$10),0)))</x:f>
        <x:v>0</x:v>
      </x:c>
      <x:c r="V286" s="116" t="n">
        <x:f>IF($L286&lt;$D$5,"",IF($L286=$D$5,$J$10+$N286-IF($M286,IF(INT(($L286-$D$5)/7)&lt;$A$23,$B$23,$D$10),0),V285+$N286-IF($M286,IF(INT(($L286-$D$5)/7)&lt;$A$23,$B$23,$D$10),0)))</x:f>
        <x:v>0</x:v>
      </x:c>
      <x:c r="W286" s="116" t="n">
        <x:f>IF($L286&lt;$D$5,"",IF($L286=$D$5,$J$10+$N286-IF($M286,IF(INT(($L286-$D$5)/7)&lt;$A$24,$B$24,$D$10),0),W285+$N286-IF($M286,IF(INT(($L286-$D$5)/7)&lt;$A$24,$B$24,$D$10),0)))</x:f>
        <x:v>0</x:v>
      </x:c>
      <x:c r="X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Y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Z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A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B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C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D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E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F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G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H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I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J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K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L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M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N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O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P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Q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R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S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T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U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V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W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X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Y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AZ286" s="116"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c r="BA286" s="117" t="n">
        <x:f>IF(OR(INDEX('1 Budget annuel'!$A$14:$A$43,COLUMN()-COLUMN($X$42)+1)&lt;&gt;"Oui",INDEX('1 Budget annuel'!$L$14:$L$43,COLUMN()-COLUMN($X$42)+1)="",AND(INDEX('1 Budget annuel'!$B$14:$B$43,COLUMN()-COLUMN($X$42)+1)="Sortie",INDEX('1 Budget annuel'!$M$14:$M$43,COLUMN()-COLUMN($X$42)+1)="Oui"),$L286&lt;INDEX('1 Budget annuel'!$L$14:$L$43,COLUMN()-COLUMN($X$42)+1),$L286&gt;$D$5+363),0,IF(OR(AND(INDEX('1 Budget annuel'!$E$14:$E$43,COLUMN()-COLUMN($X$42)+1)="Hebdomadaire",MOD($L286-INDEX('1 Budget annuel'!$L$14:$L$43,COLUMN()-COLUMN($X$42)+1),7)=0),AND(INDEX('1 Budget annuel'!$E$14:$E$43,COLUMN()-COLUMN($X$42)+1)="Toutes les 4 semaines",MOD($L286-INDEX('1 Budget annuel'!$L$14:$L$43,COLUMN()-COLUMN($X$42)+1),28)=0),AND(INDEX('1 Budget annuel'!$E$14:$E$43,COLUMN()-COLUMN($X$42)+1)="Mensuelle",DAY($L286)=MIN(DAY(INDEX('1 Budget annuel'!$L$14:$L$43,COLUMN()-COLUMN($X$42)+1)),DAY(EOMONTH($L286,0)))),AND(INDEX('1 Budget annuel'!$E$14:$E$43,COLUMN()-COLUMN($X$42)+1)="Trimestrielle",MOD((YEAR($L286)-YEAR(INDEX('1 Budget annuel'!$L$14:$L$43,COLUMN()-COLUMN($X$42)+1)))*12+MONTH($L286)-MONTH(INDEX('1 Budget annuel'!$L$14:$L$43,COLUMN()-COLUMN($X$42)+1)),3)=0,DAY($L286)=MIN(DAY(INDEX('1 Budget annuel'!$L$14:$L$43,COLUMN()-COLUMN($X$42)+1)),DAY(EOMONTH($L286,0)))),AND(INDEX('1 Budget annuel'!$E$14:$E$43,COLUMN()-COLUMN($X$42)+1)="Semestrielle",MOD((YEAR($L286)-YEAR(INDEX('1 Budget annuel'!$L$14:$L$43,COLUMN()-COLUMN($X$42)+1)))*12+MONTH($L286)-MONTH(INDEX('1 Budget annuel'!$L$14:$L$43,COLUMN()-COLUMN($X$42)+1)),6)=0,DAY($L286)=MIN(DAY(INDEX('1 Budget annuel'!$L$14:$L$43,COLUMN()-COLUMN($X$42)+1)),DAY(EOMONTH($L286,0)))),AND(INDEX('1 Budget annuel'!$E$14:$E$43,COLUMN()-COLUMN($X$42)+1)="Annuelle",MOD((YEAR($L286)-YEAR(INDEX('1 Budget annuel'!$L$14:$L$43,COLUMN()-COLUMN($X$42)+1)))*12+MONTH($L286)-MONTH(INDEX('1 Budget annuel'!$L$14:$L$43,COLUMN()-COLUMN($X$42)+1)),12)=0,DAY($L286)=MIN(DAY(INDEX('1 Budget annuel'!$L$14:$L$43,COLUMN()-COLUMN($X$42)+1)),DAY(EOMONTH($L286,0))))),IF(INDEX('1 Budget annuel'!$B$14:$B$43,COLUMN()-COLUMN($X$42)+1)="Entrée",INDEX('1 Budget annuel'!$I$14:$I$43,COLUMN()-COLUMN($X$42)+1),-INDEX('1 Budget annuel'!$I$14:$I$43,COLUMN()-COLUMN($X$42)+1)),0))</x:f>
        <x:v>0</x:v>
      </x:c>
    </x:row>
    <x:row r="287">
      <x:c r="L287" s="114" t="n">
        <x:f>L286+1</x:f>
        <x:v>46481</x:v>
      </x:c>
      <x:c r="M287" s="115" t="b">
        <x:f>AND(L287&gt;=$D$5,L287&lt;=$D$5+363,MOD(L287-$D$5,7)=0)</x:f>
        <x:v>0</x:v>
      </x:c>
      <x:c r="N287" s="116" t="n">
        <x:f>SUM(X287:BA287)</x:f>
        <x:v>0</x:v>
      </x:c>
      <x:c r="O287" s="116" t="n">
        <x:f>IF(M287,$D$10,0)</x:f>
        <x:v>0</x:v>
      </x:c>
      <x:c r="P287" s="116" t="n">
        <x:f>N287-O287</x:f>
        <x:v>0</x:v>
      </x:c>
      <x:c r="Q287" s="116" t="n">
        <x:f>IF(L287&lt;$D$5,0,IF(L287=$D$5,P287,Q286+P287))</x:f>
        <x:v>0</x:v>
      </x:c>
      <x:c r="R287" s="116" t="n">
        <x:f>IF(L287&lt;$D$5,"",$J$10+Q287)</x:f>
        <x:v>0</x:v>
      </x:c>
      <x:c r="S287" s="116" t="n">
        <x:f>IF($L287&lt;$D$5,"",IF($L287=$D$5,$J$10+$N287-IF($M287,IF(INT(($L287-$D$5)/7)&lt;$A$20,$B$20,$D$10),0),S286+$N287-IF($M287,IF(INT(($L287-$D$5)/7)&lt;$A$20,$B$20,$D$10),0)))</x:f>
        <x:v>0</x:v>
      </x:c>
      <x:c r="T287" s="116" t="n">
        <x:f>IF($L287&lt;$D$5,"",IF($L287=$D$5,$J$10+$N287-IF($M287,IF(INT(($L287-$D$5)/7)&lt;$A$21,$B$21,$D$10),0),T286+$N287-IF($M287,IF(INT(($L287-$D$5)/7)&lt;$A$21,$B$21,$D$10),0)))</x:f>
        <x:v>0</x:v>
      </x:c>
      <x:c r="U287" s="116" t="n">
        <x:f>IF($L287&lt;$D$5,"",IF($L287=$D$5,$J$10+$N287-IF($M287,IF(INT(($L287-$D$5)/7)&lt;$A$22,$B$22,$D$10),0),U286+$N287-IF($M287,IF(INT(($L287-$D$5)/7)&lt;$A$22,$B$22,$D$10),0)))</x:f>
        <x:v>0</x:v>
      </x:c>
      <x:c r="V287" s="116" t="n">
        <x:f>IF($L287&lt;$D$5,"",IF($L287=$D$5,$J$10+$N287-IF($M287,IF(INT(($L287-$D$5)/7)&lt;$A$23,$B$23,$D$10),0),V286+$N287-IF($M287,IF(INT(($L287-$D$5)/7)&lt;$A$23,$B$23,$D$10),0)))</x:f>
        <x:v>0</x:v>
      </x:c>
      <x:c r="W287" s="116" t="n">
        <x:f>IF($L287&lt;$D$5,"",IF($L287=$D$5,$J$10+$N287-IF($M287,IF(INT(($L287-$D$5)/7)&lt;$A$24,$B$24,$D$10),0),W286+$N287-IF($M287,IF(INT(($L287-$D$5)/7)&lt;$A$24,$B$24,$D$10),0)))</x:f>
        <x:v>0</x:v>
      </x:c>
      <x:c r="X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Y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Z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A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B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C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D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E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F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G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H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I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J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K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L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M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N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O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P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Q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R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S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T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U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V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W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X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Y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AZ287" s="116"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c r="BA287" s="117" t="n">
        <x:f>IF(OR(INDEX('1 Budget annuel'!$A$14:$A$43,COLUMN()-COLUMN($X$42)+1)&lt;&gt;"Oui",INDEX('1 Budget annuel'!$L$14:$L$43,COLUMN()-COLUMN($X$42)+1)="",AND(INDEX('1 Budget annuel'!$B$14:$B$43,COLUMN()-COLUMN($X$42)+1)="Sortie",INDEX('1 Budget annuel'!$M$14:$M$43,COLUMN()-COLUMN($X$42)+1)="Oui"),$L287&lt;INDEX('1 Budget annuel'!$L$14:$L$43,COLUMN()-COLUMN($X$42)+1),$L287&gt;$D$5+363),0,IF(OR(AND(INDEX('1 Budget annuel'!$E$14:$E$43,COLUMN()-COLUMN($X$42)+1)="Hebdomadaire",MOD($L287-INDEX('1 Budget annuel'!$L$14:$L$43,COLUMN()-COLUMN($X$42)+1),7)=0),AND(INDEX('1 Budget annuel'!$E$14:$E$43,COLUMN()-COLUMN($X$42)+1)="Toutes les 4 semaines",MOD($L287-INDEX('1 Budget annuel'!$L$14:$L$43,COLUMN()-COLUMN($X$42)+1),28)=0),AND(INDEX('1 Budget annuel'!$E$14:$E$43,COLUMN()-COLUMN($X$42)+1)="Mensuelle",DAY($L287)=MIN(DAY(INDEX('1 Budget annuel'!$L$14:$L$43,COLUMN()-COLUMN($X$42)+1)),DAY(EOMONTH($L287,0)))),AND(INDEX('1 Budget annuel'!$E$14:$E$43,COLUMN()-COLUMN($X$42)+1)="Trimestrielle",MOD((YEAR($L287)-YEAR(INDEX('1 Budget annuel'!$L$14:$L$43,COLUMN()-COLUMN($X$42)+1)))*12+MONTH($L287)-MONTH(INDEX('1 Budget annuel'!$L$14:$L$43,COLUMN()-COLUMN($X$42)+1)),3)=0,DAY($L287)=MIN(DAY(INDEX('1 Budget annuel'!$L$14:$L$43,COLUMN()-COLUMN($X$42)+1)),DAY(EOMONTH($L287,0)))),AND(INDEX('1 Budget annuel'!$E$14:$E$43,COLUMN()-COLUMN($X$42)+1)="Semestrielle",MOD((YEAR($L287)-YEAR(INDEX('1 Budget annuel'!$L$14:$L$43,COLUMN()-COLUMN($X$42)+1)))*12+MONTH($L287)-MONTH(INDEX('1 Budget annuel'!$L$14:$L$43,COLUMN()-COLUMN($X$42)+1)),6)=0,DAY($L287)=MIN(DAY(INDEX('1 Budget annuel'!$L$14:$L$43,COLUMN()-COLUMN($X$42)+1)),DAY(EOMONTH($L287,0)))),AND(INDEX('1 Budget annuel'!$E$14:$E$43,COLUMN()-COLUMN($X$42)+1)="Annuelle",MOD((YEAR($L287)-YEAR(INDEX('1 Budget annuel'!$L$14:$L$43,COLUMN()-COLUMN($X$42)+1)))*12+MONTH($L287)-MONTH(INDEX('1 Budget annuel'!$L$14:$L$43,COLUMN()-COLUMN($X$42)+1)),12)=0,DAY($L287)=MIN(DAY(INDEX('1 Budget annuel'!$L$14:$L$43,COLUMN()-COLUMN($X$42)+1)),DAY(EOMONTH($L287,0))))),IF(INDEX('1 Budget annuel'!$B$14:$B$43,COLUMN()-COLUMN($X$42)+1)="Entrée",INDEX('1 Budget annuel'!$I$14:$I$43,COLUMN()-COLUMN($X$42)+1),-INDEX('1 Budget annuel'!$I$14:$I$43,COLUMN()-COLUMN($X$42)+1)),0))</x:f>
        <x:v>0</x:v>
      </x:c>
    </x:row>
    <x:row r="288">
      <x:c r="L288" s="114" t="n">
        <x:f>L287+1</x:f>
        <x:v>46482</x:v>
      </x:c>
      <x:c r="M288" s="115" t="b">
        <x:f>AND(L288&gt;=$D$5,L288&lt;=$D$5+363,MOD(L288-$D$5,7)=0)</x:f>
        <x:v>0</x:v>
      </x:c>
      <x:c r="N288" s="116" t="n">
        <x:f>SUM(X288:BA288)</x:f>
        <x:v>0</x:v>
      </x:c>
      <x:c r="O288" s="116" t="n">
        <x:f>IF(M288,$D$10,0)</x:f>
        <x:v>0</x:v>
      </x:c>
      <x:c r="P288" s="116" t="n">
        <x:f>N288-O288</x:f>
        <x:v>0</x:v>
      </x:c>
      <x:c r="Q288" s="116" t="n">
        <x:f>IF(L288&lt;$D$5,0,IF(L288=$D$5,P288,Q287+P288))</x:f>
        <x:v>0</x:v>
      </x:c>
      <x:c r="R288" s="116" t="n">
        <x:f>IF(L288&lt;$D$5,"",$J$10+Q288)</x:f>
        <x:v>0</x:v>
      </x:c>
      <x:c r="S288" s="116" t="n">
        <x:f>IF($L288&lt;$D$5,"",IF($L288=$D$5,$J$10+$N288-IF($M288,IF(INT(($L288-$D$5)/7)&lt;$A$20,$B$20,$D$10),0),S287+$N288-IF($M288,IF(INT(($L288-$D$5)/7)&lt;$A$20,$B$20,$D$10),0)))</x:f>
        <x:v>0</x:v>
      </x:c>
      <x:c r="T288" s="116" t="n">
        <x:f>IF($L288&lt;$D$5,"",IF($L288=$D$5,$J$10+$N288-IF($M288,IF(INT(($L288-$D$5)/7)&lt;$A$21,$B$21,$D$10),0),T287+$N288-IF($M288,IF(INT(($L288-$D$5)/7)&lt;$A$21,$B$21,$D$10),0)))</x:f>
        <x:v>0</x:v>
      </x:c>
      <x:c r="U288" s="116" t="n">
        <x:f>IF($L288&lt;$D$5,"",IF($L288=$D$5,$J$10+$N288-IF($M288,IF(INT(($L288-$D$5)/7)&lt;$A$22,$B$22,$D$10),0),U287+$N288-IF($M288,IF(INT(($L288-$D$5)/7)&lt;$A$22,$B$22,$D$10),0)))</x:f>
        <x:v>0</x:v>
      </x:c>
      <x:c r="V288" s="116" t="n">
        <x:f>IF($L288&lt;$D$5,"",IF($L288=$D$5,$J$10+$N288-IF($M288,IF(INT(($L288-$D$5)/7)&lt;$A$23,$B$23,$D$10),0),V287+$N288-IF($M288,IF(INT(($L288-$D$5)/7)&lt;$A$23,$B$23,$D$10),0)))</x:f>
        <x:v>0</x:v>
      </x:c>
      <x:c r="W288" s="116" t="n">
        <x:f>IF($L288&lt;$D$5,"",IF($L288=$D$5,$J$10+$N288-IF($M288,IF(INT(($L288-$D$5)/7)&lt;$A$24,$B$24,$D$10),0),W287+$N288-IF($M288,IF(INT(($L288-$D$5)/7)&lt;$A$24,$B$24,$D$10),0)))</x:f>
        <x:v>0</x:v>
      </x:c>
      <x:c r="X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Y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Z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A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B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C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D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E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F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G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H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I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J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K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L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M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N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O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P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Q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R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S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T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U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V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W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X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Y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AZ288" s="116"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c r="BA288" s="117" t="n">
        <x:f>IF(OR(INDEX('1 Budget annuel'!$A$14:$A$43,COLUMN()-COLUMN($X$42)+1)&lt;&gt;"Oui",INDEX('1 Budget annuel'!$L$14:$L$43,COLUMN()-COLUMN($X$42)+1)="",AND(INDEX('1 Budget annuel'!$B$14:$B$43,COLUMN()-COLUMN($X$42)+1)="Sortie",INDEX('1 Budget annuel'!$M$14:$M$43,COLUMN()-COLUMN($X$42)+1)="Oui"),$L288&lt;INDEX('1 Budget annuel'!$L$14:$L$43,COLUMN()-COLUMN($X$42)+1),$L288&gt;$D$5+363),0,IF(OR(AND(INDEX('1 Budget annuel'!$E$14:$E$43,COLUMN()-COLUMN($X$42)+1)="Hebdomadaire",MOD($L288-INDEX('1 Budget annuel'!$L$14:$L$43,COLUMN()-COLUMN($X$42)+1),7)=0),AND(INDEX('1 Budget annuel'!$E$14:$E$43,COLUMN()-COLUMN($X$42)+1)="Toutes les 4 semaines",MOD($L288-INDEX('1 Budget annuel'!$L$14:$L$43,COLUMN()-COLUMN($X$42)+1),28)=0),AND(INDEX('1 Budget annuel'!$E$14:$E$43,COLUMN()-COLUMN($X$42)+1)="Mensuelle",DAY($L288)=MIN(DAY(INDEX('1 Budget annuel'!$L$14:$L$43,COLUMN()-COLUMN($X$42)+1)),DAY(EOMONTH($L288,0)))),AND(INDEX('1 Budget annuel'!$E$14:$E$43,COLUMN()-COLUMN($X$42)+1)="Trimestrielle",MOD((YEAR($L288)-YEAR(INDEX('1 Budget annuel'!$L$14:$L$43,COLUMN()-COLUMN($X$42)+1)))*12+MONTH($L288)-MONTH(INDEX('1 Budget annuel'!$L$14:$L$43,COLUMN()-COLUMN($X$42)+1)),3)=0,DAY($L288)=MIN(DAY(INDEX('1 Budget annuel'!$L$14:$L$43,COLUMN()-COLUMN($X$42)+1)),DAY(EOMONTH($L288,0)))),AND(INDEX('1 Budget annuel'!$E$14:$E$43,COLUMN()-COLUMN($X$42)+1)="Semestrielle",MOD((YEAR($L288)-YEAR(INDEX('1 Budget annuel'!$L$14:$L$43,COLUMN()-COLUMN($X$42)+1)))*12+MONTH($L288)-MONTH(INDEX('1 Budget annuel'!$L$14:$L$43,COLUMN()-COLUMN($X$42)+1)),6)=0,DAY($L288)=MIN(DAY(INDEX('1 Budget annuel'!$L$14:$L$43,COLUMN()-COLUMN($X$42)+1)),DAY(EOMONTH($L288,0)))),AND(INDEX('1 Budget annuel'!$E$14:$E$43,COLUMN()-COLUMN($X$42)+1)="Annuelle",MOD((YEAR($L288)-YEAR(INDEX('1 Budget annuel'!$L$14:$L$43,COLUMN()-COLUMN($X$42)+1)))*12+MONTH($L288)-MONTH(INDEX('1 Budget annuel'!$L$14:$L$43,COLUMN()-COLUMN($X$42)+1)),12)=0,DAY($L288)=MIN(DAY(INDEX('1 Budget annuel'!$L$14:$L$43,COLUMN()-COLUMN($X$42)+1)),DAY(EOMONTH($L288,0))))),IF(INDEX('1 Budget annuel'!$B$14:$B$43,COLUMN()-COLUMN($X$42)+1)="Entrée",INDEX('1 Budget annuel'!$I$14:$I$43,COLUMN()-COLUMN($X$42)+1),-INDEX('1 Budget annuel'!$I$14:$I$43,COLUMN()-COLUMN($X$42)+1)),0))</x:f>
        <x:v>0</x:v>
      </x:c>
    </x:row>
    <x:row r="289">
      <x:c r="L289" s="114" t="n">
        <x:f>L288+1</x:f>
        <x:v>46483</x:v>
      </x:c>
      <x:c r="M289" s="115" t="b">
        <x:f>AND(L289&gt;=$D$5,L289&lt;=$D$5+363,MOD(L289-$D$5,7)=0)</x:f>
        <x:v>0</x:v>
      </x:c>
      <x:c r="N289" s="116" t="n">
        <x:f>SUM(X289:BA289)</x:f>
        <x:v>0</x:v>
      </x:c>
      <x:c r="O289" s="116" t="n">
        <x:f>IF(M289,$D$10,0)</x:f>
        <x:v>0</x:v>
      </x:c>
      <x:c r="P289" s="116" t="n">
        <x:f>N289-O289</x:f>
        <x:v>0</x:v>
      </x:c>
      <x:c r="Q289" s="116" t="n">
        <x:f>IF(L289&lt;$D$5,0,IF(L289=$D$5,P289,Q288+P289))</x:f>
        <x:v>0</x:v>
      </x:c>
      <x:c r="R289" s="116" t="n">
        <x:f>IF(L289&lt;$D$5,"",$J$10+Q289)</x:f>
        <x:v>0</x:v>
      </x:c>
      <x:c r="S289" s="116" t="n">
        <x:f>IF($L289&lt;$D$5,"",IF($L289=$D$5,$J$10+$N289-IF($M289,IF(INT(($L289-$D$5)/7)&lt;$A$20,$B$20,$D$10),0),S288+$N289-IF($M289,IF(INT(($L289-$D$5)/7)&lt;$A$20,$B$20,$D$10),0)))</x:f>
        <x:v>0</x:v>
      </x:c>
      <x:c r="T289" s="116" t="n">
        <x:f>IF($L289&lt;$D$5,"",IF($L289=$D$5,$J$10+$N289-IF($M289,IF(INT(($L289-$D$5)/7)&lt;$A$21,$B$21,$D$10),0),T288+$N289-IF($M289,IF(INT(($L289-$D$5)/7)&lt;$A$21,$B$21,$D$10),0)))</x:f>
        <x:v>0</x:v>
      </x:c>
      <x:c r="U289" s="116" t="n">
        <x:f>IF($L289&lt;$D$5,"",IF($L289=$D$5,$J$10+$N289-IF($M289,IF(INT(($L289-$D$5)/7)&lt;$A$22,$B$22,$D$10),0),U288+$N289-IF($M289,IF(INT(($L289-$D$5)/7)&lt;$A$22,$B$22,$D$10),0)))</x:f>
        <x:v>0</x:v>
      </x:c>
      <x:c r="V289" s="116" t="n">
        <x:f>IF($L289&lt;$D$5,"",IF($L289=$D$5,$J$10+$N289-IF($M289,IF(INT(($L289-$D$5)/7)&lt;$A$23,$B$23,$D$10),0),V288+$N289-IF($M289,IF(INT(($L289-$D$5)/7)&lt;$A$23,$B$23,$D$10),0)))</x:f>
        <x:v>0</x:v>
      </x:c>
      <x:c r="W289" s="116" t="n">
        <x:f>IF($L289&lt;$D$5,"",IF($L289=$D$5,$J$10+$N289-IF($M289,IF(INT(($L289-$D$5)/7)&lt;$A$24,$B$24,$D$10),0),W288+$N289-IF($M289,IF(INT(($L289-$D$5)/7)&lt;$A$24,$B$24,$D$10),0)))</x:f>
        <x:v>0</x:v>
      </x:c>
      <x:c r="X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Y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Z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A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B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C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D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E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F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G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H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I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J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K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L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M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N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O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P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Q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R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S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T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U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V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W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X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Y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AZ289" s="116"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c r="BA289" s="117" t="n">
        <x:f>IF(OR(INDEX('1 Budget annuel'!$A$14:$A$43,COLUMN()-COLUMN($X$42)+1)&lt;&gt;"Oui",INDEX('1 Budget annuel'!$L$14:$L$43,COLUMN()-COLUMN($X$42)+1)="",AND(INDEX('1 Budget annuel'!$B$14:$B$43,COLUMN()-COLUMN($X$42)+1)="Sortie",INDEX('1 Budget annuel'!$M$14:$M$43,COLUMN()-COLUMN($X$42)+1)="Oui"),$L289&lt;INDEX('1 Budget annuel'!$L$14:$L$43,COLUMN()-COLUMN($X$42)+1),$L289&gt;$D$5+363),0,IF(OR(AND(INDEX('1 Budget annuel'!$E$14:$E$43,COLUMN()-COLUMN($X$42)+1)="Hebdomadaire",MOD($L289-INDEX('1 Budget annuel'!$L$14:$L$43,COLUMN()-COLUMN($X$42)+1),7)=0),AND(INDEX('1 Budget annuel'!$E$14:$E$43,COLUMN()-COLUMN($X$42)+1)="Toutes les 4 semaines",MOD($L289-INDEX('1 Budget annuel'!$L$14:$L$43,COLUMN()-COLUMN($X$42)+1),28)=0),AND(INDEX('1 Budget annuel'!$E$14:$E$43,COLUMN()-COLUMN($X$42)+1)="Mensuelle",DAY($L289)=MIN(DAY(INDEX('1 Budget annuel'!$L$14:$L$43,COLUMN()-COLUMN($X$42)+1)),DAY(EOMONTH($L289,0)))),AND(INDEX('1 Budget annuel'!$E$14:$E$43,COLUMN()-COLUMN($X$42)+1)="Trimestrielle",MOD((YEAR($L289)-YEAR(INDEX('1 Budget annuel'!$L$14:$L$43,COLUMN()-COLUMN($X$42)+1)))*12+MONTH($L289)-MONTH(INDEX('1 Budget annuel'!$L$14:$L$43,COLUMN()-COLUMN($X$42)+1)),3)=0,DAY($L289)=MIN(DAY(INDEX('1 Budget annuel'!$L$14:$L$43,COLUMN()-COLUMN($X$42)+1)),DAY(EOMONTH($L289,0)))),AND(INDEX('1 Budget annuel'!$E$14:$E$43,COLUMN()-COLUMN($X$42)+1)="Semestrielle",MOD((YEAR($L289)-YEAR(INDEX('1 Budget annuel'!$L$14:$L$43,COLUMN()-COLUMN($X$42)+1)))*12+MONTH($L289)-MONTH(INDEX('1 Budget annuel'!$L$14:$L$43,COLUMN()-COLUMN($X$42)+1)),6)=0,DAY($L289)=MIN(DAY(INDEX('1 Budget annuel'!$L$14:$L$43,COLUMN()-COLUMN($X$42)+1)),DAY(EOMONTH($L289,0)))),AND(INDEX('1 Budget annuel'!$E$14:$E$43,COLUMN()-COLUMN($X$42)+1)="Annuelle",MOD((YEAR($L289)-YEAR(INDEX('1 Budget annuel'!$L$14:$L$43,COLUMN()-COLUMN($X$42)+1)))*12+MONTH($L289)-MONTH(INDEX('1 Budget annuel'!$L$14:$L$43,COLUMN()-COLUMN($X$42)+1)),12)=0,DAY($L289)=MIN(DAY(INDEX('1 Budget annuel'!$L$14:$L$43,COLUMN()-COLUMN($X$42)+1)),DAY(EOMONTH($L289,0))))),IF(INDEX('1 Budget annuel'!$B$14:$B$43,COLUMN()-COLUMN($X$42)+1)="Entrée",INDEX('1 Budget annuel'!$I$14:$I$43,COLUMN()-COLUMN($X$42)+1),-INDEX('1 Budget annuel'!$I$14:$I$43,COLUMN()-COLUMN($X$42)+1)),0))</x:f>
        <x:v>0</x:v>
      </x:c>
    </x:row>
    <x:row r="290">
      <x:c r="L290" s="114" t="n">
        <x:f>L289+1</x:f>
        <x:v>46484</x:v>
      </x:c>
      <x:c r="M290" s="115" t="b">
        <x:f>AND(L290&gt;=$D$5,L290&lt;=$D$5+363,MOD(L290-$D$5,7)=0)</x:f>
        <x:v>0</x:v>
      </x:c>
      <x:c r="N290" s="116" t="n">
        <x:f>SUM(X290:BA290)</x:f>
        <x:v>0</x:v>
      </x:c>
      <x:c r="O290" s="116" t="n">
        <x:f>IF(M290,$D$10,0)</x:f>
        <x:v>0</x:v>
      </x:c>
      <x:c r="P290" s="116" t="n">
        <x:f>N290-O290</x:f>
        <x:v>0</x:v>
      </x:c>
      <x:c r="Q290" s="116" t="n">
        <x:f>IF(L290&lt;$D$5,0,IF(L290=$D$5,P290,Q289+P290))</x:f>
        <x:v>0</x:v>
      </x:c>
      <x:c r="R290" s="116" t="n">
        <x:f>IF(L290&lt;$D$5,"",$J$10+Q290)</x:f>
        <x:v>0</x:v>
      </x:c>
      <x:c r="S290" s="116" t="n">
        <x:f>IF($L290&lt;$D$5,"",IF($L290=$D$5,$J$10+$N290-IF($M290,IF(INT(($L290-$D$5)/7)&lt;$A$20,$B$20,$D$10),0),S289+$N290-IF($M290,IF(INT(($L290-$D$5)/7)&lt;$A$20,$B$20,$D$10),0)))</x:f>
        <x:v>0</x:v>
      </x:c>
      <x:c r="T290" s="116" t="n">
        <x:f>IF($L290&lt;$D$5,"",IF($L290=$D$5,$J$10+$N290-IF($M290,IF(INT(($L290-$D$5)/7)&lt;$A$21,$B$21,$D$10),0),T289+$N290-IF($M290,IF(INT(($L290-$D$5)/7)&lt;$A$21,$B$21,$D$10),0)))</x:f>
        <x:v>0</x:v>
      </x:c>
      <x:c r="U290" s="116" t="n">
        <x:f>IF($L290&lt;$D$5,"",IF($L290=$D$5,$J$10+$N290-IF($M290,IF(INT(($L290-$D$5)/7)&lt;$A$22,$B$22,$D$10),0),U289+$N290-IF($M290,IF(INT(($L290-$D$5)/7)&lt;$A$22,$B$22,$D$10),0)))</x:f>
        <x:v>0</x:v>
      </x:c>
      <x:c r="V290" s="116" t="n">
        <x:f>IF($L290&lt;$D$5,"",IF($L290=$D$5,$J$10+$N290-IF($M290,IF(INT(($L290-$D$5)/7)&lt;$A$23,$B$23,$D$10),0),V289+$N290-IF($M290,IF(INT(($L290-$D$5)/7)&lt;$A$23,$B$23,$D$10),0)))</x:f>
        <x:v>0</x:v>
      </x:c>
      <x:c r="W290" s="116" t="n">
        <x:f>IF($L290&lt;$D$5,"",IF($L290=$D$5,$J$10+$N290-IF($M290,IF(INT(($L290-$D$5)/7)&lt;$A$24,$B$24,$D$10),0),W289+$N290-IF($M290,IF(INT(($L290-$D$5)/7)&lt;$A$24,$B$24,$D$10),0)))</x:f>
        <x:v>0</x:v>
      </x:c>
      <x:c r="X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Y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Z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A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B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C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D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E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F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G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H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I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J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K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L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M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N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O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P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Q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R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S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T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U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V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W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X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Y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AZ290" s="116"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c r="BA290" s="117" t="n">
        <x:f>IF(OR(INDEX('1 Budget annuel'!$A$14:$A$43,COLUMN()-COLUMN($X$42)+1)&lt;&gt;"Oui",INDEX('1 Budget annuel'!$L$14:$L$43,COLUMN()-COLUMN($X$42)+1)="",AND(INDEX('1 Budget annuel'!$B$14:$B$43,COLUMN()-COLUMN($X$42)+1)="Sortie",INDEX('1 Budget annuel'!$M$14:$M$43,COLUMN()-COLUMN($X$42)+1)="Oui"),$L290&lt;INDEX('1 Budget annuel'!$L$14:$L$43,COLUMN()-COLUMN($X$42)+1),$L290&gt;$D$5+363),0,IF(OR(AND(INDEX('1 Budget annuel'!$E$14:$E$43,COLUMN()-COLUMN($X$42)+1)="Hebdomadaire",MOD($L290-INDEX('1 Budget annuel'!$L$14:$L$43,COLUMN()-COLUMN($X$42)+1),7)=0),AND(INDEX('1 Budget annuel'!$E$14:$E$43,COLUMN()-COLUMN($X$42)+1)="Toutes les 4 semaines",MOD($L290-INDEX('1 Budget annuel'!$L$14:$L$43,COLUMN()-COLUMN($X$42)+1),28)=0),AND(INDEX('1 Budget annuel'!$E$14:$E$43,COLUMN()-COLUMN($X$42)+1)="Mensuelle",DAY($L290)=MIN(DAY(INDEX('1 Budget annuel'!$L$14:$L$43,COLUMN()-COLUMN($X$42)+1)),DAY(EOMONTH($L290,0)))),AND(INDEX('1 Budget annuel'!$E$14:$E$43,COLUMN()-COLUMN($X$42)+1)="Trimestrielle",MOD((YEAR($L290)-YEAR(INDEX('1 Budget annuel'!$L$14:$L$43,COLUMN()-COLUMN($X$42)+1)))*12+MONTH($L290)-MONTH(INDEX('1 Budget annuel'!$L$14:$L$43,COLUMN()-COLUMN($X$42)+1)),3)=0,DAY($L290)=MIN(DAY(INDEX('1 Budget annuel'!$L$14:$L$43,COLUMN()-COLUMN($X$42)+1)),DAY(EOMONTH($L290,0)))),AND(INDEX('1 Budget annuel'!$E$14:$E$43,COLUMN()-COLUMN($X$42)+1)="Semestrielle",MOD((YEAR($L290)-YEAR(INDEX('1 Budget annuel'!$L$14:$L$43,COLUMN()-COLUMN($X$42)+1)))*12+MONTH($L290)-MONTH(INDEX('1 Budget annuel'!$L$14:$L$43,COLUMN()-COLUMN($X$42)+1)),6)=0,DAY($L290)=MIN(DAY(INDEX('1 Budget annuel'!$L$14:$L$43,COLUMN()-COLUMN($X$42)+1)),DAY(EOMONTH($L290,0)))),AND(INDEX('1 Budget annuel'!$E$14:$E$43,COLUMN()-COLUMN($X$42)+1)="Annuelle",MOD((YEAR($L290)-YEAR(INDEX('1 Budget annuel'!$L$14:$L$43,COLUMN()-COLUMN($X$42)+1)))*12+MONTH($L290)-MONTH(INDEX('1 Budget annuel'!$L$14:$L$43,COLUMN()-COLUMN($X$42)+1)),12)=0,DAY($L290)=MIN(DAY(INDEX('1 Budget annuel'!$L$14:$L$43,COLUMN()-COLUMN($X$42)+1)),DAY(EOMONTH($L290,0))))),IF(INDEX('1 Budget annuel'!$B$14:$B$43,COLUMN()-COLUMN($X$42)+1)="Entrée",INDEX('1 Budget annuel'!$I$14:$I$43,COLUMN()-COLUMN($X$42)+1),-INDEX('1 Budget annuel'!$I$14:$I$43,COLUMN()-COLUMN($X$42)+1)),0))</x:f>
        <x:v>0</x:v>
      </x:c>
    </x:row>
    <x:row r="291">
      <x:c r="L291" s="114" t="n">
        <x:f>L290+1</x:f>
        <x:v>46485</x:v>
      </x:c>
      <x:c r="M291" s="115" t="b">
        <x:f>AND(L291&gt;=$D$5,L291&lt;=$D$5+363,MOD(L291-$D$5,7)=0)</x:f>
        <x:v>0</x:v>
      </x:c>
      <x:c r="N291" s="116" t="n">
        <x:f>SUM(X291:BA291)</x:f>
        <x:v>0</x:v>
      </x:c>
      <x:c r="O291" s="116" t="n">
        <x:f>IF(M291,$D$10,0)</x:f>
        <x:v>0</x:v>
      </x:c>
      <x:c r="P291" s="116" t="n">
        <x:f>N291-O291</x:f>
        <x:v>0</x:v>
      </x:c>
      <x:c r="Q291" s="116" t="n">
        <x:f>IF(L291&lt;$D$5,0,IF(L291=$D$5,P291,Q290+P291))</x:f>
        <x:v>0</x:v>
      </x:c>
      <x:c r="R291" s="116" t="n">
        <x:f>IF(L291&lt;$D$5,"",$J$10+Q291)</x:f>
        <x:v>0</x:v>
      </x:c>
      <x:c r="S291" s="116" t="n">
        <x:f>IF($L291&lt;$D$5,"",IF($L291=$D$5,$J$10+$N291-IF($M291,IF(INT(($L291-$D$5)/7)&lt;$A$20,$B$20,$D$10),0),S290+$N291-IF($M291,IF(INT(($L291-$D$5)/7)&lt;$A$20,$B$20,$D$10),0)))</x:f>
        <x:v>0</x:v>
      </x:c>
      <x:c r="T291" s="116" t="n">
        <x:f>IF($L291&lt;$D$5,"",IF($L291=$D$5,$J$10+$N291-IF($M291,IF(INT(($L291-$D$5)/7)&lt;$A$21,$B$21,$D$10),0),T290+$N291-IF($M291,IF(INT(($L291-$D$5)/7)&lt;$A$21,$B$21,$D$10),0)))</x:f>
        <x:v>0</x:v>
      </x:c>
      <x:c r="U291" s="116" t="n">
        <x:f>IF($L291&lt;$D$5,"",IF($L291=$D$5,$J$10+$N291-IF($M291,IF(INT(($L291-$D$5)/7)&lt;$A$22,$B$22,$D$10),0),U290+$N291-IF($M291,IF(INT(($L291-$D$5)/7)&lt;$A$22,$B$22,$D$10),0)))</x:f>
        <x:v>0</x:v>
      </x:c>
      <x:c r="V291" s="116" t="n">
        <x:f>IF($L291&lt;$D$5,"",IF($L291=$D$5,$J$10+$N291-IF($M291,IF(INT(($L291-$D$5)/7)&lt;$A$23,$B$23,$D$10),0),V290+$N291-IF($M291,IF(INT(($L291-$D$5)/7)&lt;$A$23,$B$23,$D$10),0)))</x:f>
        <x:v>0</x:v>
      </x:c>
      <x:c r="W291" s="116" t="n">
        <x:f>IF($L291&lt;$D$5,"",IF($L291=$D$5,$J$10+$N291-IF($M291,IF(INT(($L291-$D$5)/7)&lt;$A$24,$B$24,$D$10),0),W290+$N291-IF($M291,IF(INT(($L291-$D$5)/7)&lt;$A$24,$B$24,$D$10),0)))</x:f>
        <x:v>0</x:v>
      </x:c>
      <x:c r="X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Y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Z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A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B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C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D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E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F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G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H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I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J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K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L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M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N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O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P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Q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R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S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T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U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V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W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X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Y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AZ291" s="116"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c r="BA291" s="117" t="n">
        <x:f>IF(OR(INDEX('1 Budget annuel'!$A$14:$A$43,COLUMN()-COLUMN($X$42)+1)&lt;&gt;"Oui",INDEX('1 Budget annuel'!$L$14:$L$43,COLUMN()-COLUMN($X$42)+1)="",AND(INDEX('1 Budget annuel'!$B$14:$B$43,COLUMN()-COLUMN($X$42)+1)="Sortie",INDEX('1 Budget annuel'!$M$14:$M$43,COLUMN()-COLUMN($X$42)+1)="Oui"),$L291&lt;INDEX('1 Budget annuel'!$L$14:$L$43,COLUMN()-COLUMN($X$42)+1),$L291&gt;$D$5+363),0,IF(OR(AND(INDEX('1 Budget annuel'!$E$14:$E$43,COLUMN()-COLUMN($X$42)+1)="Hebdomadaire",MOD($L291-INDEX('1 Budget annuel'!$L$14:$L$43,COLUMN()-COLUMN($X$42)+1),7)=0),AND(INDEX('1 Budget annuel'!$E$14:$E$43,COLUMN()-COLUMN($X$42)+1)="Toutes les 4 semaines",MOD($L291-INDEX('1 Budget annuel'!$L$14:$L$43,COLUMN()-COLUMN($X$42)+1),28)=0),AND(INDEX('1 Budget annuel'!$E$14:$E$43,COLUMN()-COLUMN($X$42)+1)="Mensuelle",DAY($L291)=MIN(DAY(INDEX('1 Budget annuel'!$L$14:$L$43,COLUMN()-COLUMN($X$42)+1)),DAY(EOMONTH($L291,0)))),AND(INDEX('1 Budget annuel'!$E$14:$E$43,COLUMN()-COLUMN($X$42)+1)="Trimestrielle",MOD((YEAR($L291)-YEAR(INDEX('1 Budget annuel'!$L$14:$L$43,COLUMN()-COLUMN($X$42)+1)))*12+MONTH($L291)-MONTH(INDEX('1 Budget annuel'!$L$14:$L$43,COLUMN()-COLUMN($X$42)+1)),3)=0,DAY($L291)=MIN(DAY(INDEX('1 Budget annuel'!$L$14:$L$43,COLUMN()-COLUMN($X$42)+1)),DAY(EOMONTH($L291,0)))),AND(INDEX('1 Budget annuel'!$E$14:$E$43,COLUMN()-COLUMN($X$42)+1)="Semestrielle",MOD((YEAR($L291)-YEAR(INDEX('1 Budget annuel'!$L$14:$L$43,COLUMN()-COLUMN($X$42)+1)))*12+MONTH($L291)-MONTH(INDEX('1 Budget annuel'!$L$14:$L$43,COLUMN()-COLUMN($X$42)+1)),6)=0,DAY($L291)=MIN(DAY(INDEX('1 Budget annuel'!$L$14:$L$43,COLUMN()-COLUMN($X$42)+1)),DAY(EOMONTH($L291,0)))),AND(INDEX('1 Budget annuel'!$E$14:$E$43,COLUMN()-COLUMN($X$42)+1)="Annuelle",MOD((YEAR($L291)-YEAR(INDEX('1 Budget annuel'!$L$14:$L$43,COLUMN()-COLUMN($X$42)+1)))*12+MONTH($L291)-MONTH(INDEX('1 Budget annuel'!$L$14:$L$43,COLUMN()-COLUMN($X$42)+1)),12)=0,DAY($L291)=MIN(DAY(INDEX('1 Budget annuel'!$L$14:$L$43,COLUMN()-COLUMN($X$42)+1)),DAY(EOMONTH($L291,0))))),IF(INDEX('1 Budget annuel'!$B$14:$B$43,COLUMN()-COLUMN($X$42)+1)="Entrée",INDEX('1 Budget annuel'!$I$14:$I$43,COLUMN()-COLUMN($X$42)+1),-INDEX('1 Budget annuel'!$I$14:$I$43,COLUMN()-COLUMN($X$42)+1)),0))</x:f>
        <x:v>0</x:v>
      </x:c>
    </x:row>
    <x:row r="292">
      <x:c r="L292" s="114" t="n">
        <x:f>L291+1</x:f>
        <x:v>46486</x:v>
      </x:c>
      <x:c r="M292" s="115" t="b">
        <x:f>AND(L292&gt;=$D$5,L292&lt;=$D$5+363,MOD(L292-$D$5,7)=0)</x:f>
        <x:v>0</x:v>
      </x:c>
      <x:c r="N292" s="116" t="n">
        <x:f>SUM(X292:BA292)</x:f>
        <x:v>0</x:v>
      </x:c>
      <x:c r="O292" s="116" t="n">
        <x:f>IF(M292,$D$10,0)</x:f>
        <x:v>0</x:v>
      </x:c>
      <x:c r="P292" s="116" t="n">
        <x:f>N292-O292</x:f>
        <x:v>0</x:v>
      </x:c>
      <x:c r="Q292" s="116" t="n">
        <x:f>IF(L292&lt;$D$5,0,IF(L292=$D$5,P292,Q291+P292))</x:f>
        <x:v>0</x:v>
      </x:c>
      <x:c r="R292" s="116" t="n">
        <x:f>IF(L292&lt;$D$5,"",$J$10+Q292)</x:f>
        <x:v>0</x:v>
      </x:c>
      <x:c r="S292" s="116" t="n">
        <x:f>IF($L292&lt;$D$5,"",IF($L292=$D$5,$J$10+$N292-IF($M292,IF(INT(($L292-$D$5)/7)&lt;$A$20,$B$20,$D$10),0),S291+$N292-IF($M292,IF(INT(($L292-$D$5)/7)&lt;$A$20,$B$20,$D$10),0)))</x:f>
        <x:v>0</x:v>
      </x:c>
      <x:c r="T292" s="116" t="n">
        <x:f>IF($L292&lt;$D$5,"",IF($L292=$D$5,$J$10+$N292-IF($M292,IF(INT(($L292-$D$5)/7)&lt;$A$21,$B$21,$D$10),0),T291+$N292-IF($M292,IF(INT(($L292-$D$5)/7)&lt;$A$21,$B$21,$D$10),0)))</x:f>
        <x:v>0</x:v>
      </x:c>
      <x:c r="U292" s="116" t="n">
        <x:f>IF($L292&lt;$D$5,"",IF($L292=$D$5,$J$10+$N292-IF($M292,IF(INT(($L292-$D$5)/7)&lt;$A$22,$B$22,$D$10),0),U291+$N292-IF($M292,IF(INT(($L292-$D$5)/7)&lt;$A$22,$B$22,$D$10),0)))</x:f>
        <x:v>0</x:v>
      </x:c>
      <x:c r="V292" s="116" t="n">
        <x:f>IF($L292&lt;$D$5,"",IF($L292=$D$5,$J$10+$N292-IF($M292,IF(INT(($L292-$D$5)/7)&lt;$A$23,$B$23,$D$10),0),V291+$N292-IF($M292,IF(INT(($L292-$D$5)/7)&lt;$A$23,$B$23,$D$10),0)))</x:f>
        <x:v>0</x:v>
      </x:c>
      <x:c r="W292" s="116" t="n">
        <x:f>IF($L292&lt;$D$5,"",IF($L292=$D$5,$J$10+$N292-IF($M292,IF(INT(($L292-$D$5)/7)&lt;$A$24,$B$24,$D$10),0),W291+$N292-IF($M292,IF(INT(($L292-$D$5)/7)&lt;$A$24,$B$24,$D$10),0)))</x:f>
        <x:v>0</x:v>
      </x:c>
      <x:c r="X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Y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Z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A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B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C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D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E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F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G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H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I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J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K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L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M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N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O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P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Q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R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S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T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U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V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W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X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Y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AZ292" s="116"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c r="BA292" s="117" t="n">
        <x:f>IF(OR(INDEX('1 Budget annuel'!$A$14:$A$43,COLUMN()-COLUMN($X$42)+1)&lt;&gt;"Oui",INDEX('1 Budget annuel'!$L$14:$L$43,COLUMN()-COLUMN($X$42)+1)="",AND(INDEX('1 Budget annuel'!$B$14:$B$43,COLUMN()-COLUMN($X$42)+1)="Sortie",INDEX('1 Budget annuel'!$M$14:$M$43,COLUMN()-COLUMN($X$42)+1)="Oui"),$L292&lt;INDEX('1 Budget annuel'!$L$14:$L$43,COLUMN()-COLUMN($X$42)+1),$L292&gt;$D$5+363),0,IF(OR(AND(INDEX('1 Budget annuel'!$E$14:$E$43,COLUMN()-COLUMN($X$42)+1)="Hebdomadaire",MOD($L292-INDEX('1 Budget annuel'!$L$14:$L$43,COLUMN()-COLUMN($X$42)+1),7)=0),AND(INDEX('1 Budget annuel'!$E$14:$E$43,COLUMN()-COLUMN($X$42)+1)="Toutes les 4 semaines",MOD($L292-INDEX('1 Budget annuel'!$L$14:$L$43,COLUMN()-COLUMN($X$42)+1),28)=0),AND(INDEX('1 Budget annuel'!$E$14:$E$43,COLUMN()-COLUMN($X$42)+1)="Mensuelle",DAY($L292)=MIN(DAY(INDEX('1 Budget annuel'!$L$14:$L$43,COLUMN()-COLUMN($X$42)+1)),DAY(EOMONTH($L292,0)))),AND(INDEX('1 Budget annuel'!$E$14:$E$43,COLUMN()-COLUMN($X$42)+1)="Trimestrielle",MOD((YEAR($L292)-YEAR(INDEX('1 Budget annuel'!$L$14:$L$43,COLUMN()-COLUMN($X$42)+1)))*12+MONTH($L292)-MONTH(INDEX('1 Budget annuel'!$L$14:$L$43,COLUMN()-COLUMN($X$42)+1)),3)=0,DAY($L292)=MIN(DAY(INDEX('1 Budget annuel'!$L$14:$L$43,COLUMN()-COLUMN($X$42)+1)),DAY(EOMONTH($L292,0)))),AND(INDEX('1 Budget annuel'!$E$14:$E$43,COLUMN()-COLUMN($X$42)+1)="Semestrielle",MOD((YEAR($L292)-YEAR(INDEX('1 Budget annuel'!$L$14:$L$43,COLUMN()-COLUMN($X$42)+1)))*12+MONTH($L292)-MONTH(INDEX('1 Budget annuel'!$L$14:$L$43,COLUMN()-COLUMN($X$42)+1)),6)=0,DAY($L292)=MIN(DAY(INDEX('1 Budget annuel'!$L$14:$L$43,COLUMN()-COLUMN($X$42)+1)),DAY(EOMONTH($L292,0)))),AND(INDEX('1 Budget annuel'!$E$14:$E$43,COLUMN()-COLUMN($X$42)+1)="Annuelle",MOD((YEAR($L292)-YEAR(INDEX('1 Budget annuel'!$L$14:$L$43,COLUMN()-COLUMN($X$42)+1)))*12+MONTH($L292)-MONTH(INDEX('1 Budget annuel'!$L$14:$L$43,COLUMN()-COLUMN($X$42)+1)),12)=0,DAY($L292)=MIN(DAY(INDEX('1 Budget annuel'!$L$14:$L$43,COLUMN()-COLUMN($X$42)+1)),DAY(EOMONTH($L292,0))))),IF(INDEX('1 Budget annuel'!$B$14:$B$43,COLUMN()-COLUMN($X$42)+1)="Entrée",INDEX('1 Budget annuel'!$I$14:$I$43,COLUMN()-COLUMN($X$42)+1),-INDEX('1 Budget annuel'!$I$14:$I$43,COLUMN()-COLUMN($X$42)+1)),0))</x:f>
        <x:v>0</x:v>
      </x:c>
    </x:row>
    <x:row r="293">
      <x:c r="L293" s="114" t="n">
        <x:f>L292+1</x:f>
        <x:v>46487</x:v>
      </x:c>
      <x:c r="M293" s="115" t="b">
        <x:f>AND(L293&gt;=$D$5,L293&lt;=$D$5+363,MOD(L293-$D$5,7)=0)</x:f>
        <x:v>1</x:v>
      </x:c>
      <x:c r="N293" s="116" t="n">
        <x:f>SUM(X293:BA293)</x:f>
        <x:v>0</x:v>
      </x:c>
      <x:c r="O293" s="116" t="n">
        <x:f>IF(M293,$D$10,0)</x:f>
        <x:v>0</x:v>
      </x:c>
      <x:c r="P293" s="116" t="n">
        <x:f>N293-O293</x:f>
        <x:v>0</x:v>
      </x:c>
      <x:c r="Q293" s="116" t="n">
        <x:f>IF(L293&lt;$D$5,0,IF(L293=$D$5,P293,Q292+P293))</x:f>
        <x:v>0</x:v>
      </x:c>
      <x:c r="R293" s="116" t="n">
        <x:f>IF(L293&lt;$D$5,"",$J$10+Q293)</x:f>
        <x:v>0</x:v>
      </x:c>
      <x:c r="S293" s="116" t="n">
        <x:f>IF($L293&lt;$D$5,"",IF($L293=$D$5,$J$10+$N293-IF($M293,IF(INT(($L293-$D$5)/7)&lt;$A$20,$B$20,$D$10),0),S292+$N293-IF($M293,IF(INT(($L293-$D$5)/7)&lt;$A$20,$B$20,$D$10),0)))</x:f>
        <x:v>0</x:v>
      </x:c>
      <x:c r="T293" s="116" t="n">
        <x:f>IF($L293&lt;$D$5,"",IF($L293=$D$5,$J$10+$N293-IF($M293,IF(INT(($L293-$D$5)/7)&lt;$A$21,$B$21,$D$10),0),T292+$N293-IF($M293,IF(INT(($L293-$D$5)/7)&lt;$A$21,$B$21,$D$10),0)))</x:f>
        <x:v>0</x:v>
      </x:c>
      <x:c r="U293" s="116" t="n">
        <x:f>IF($L293&lt;$D$5,"",IF($L293=$D$5,$J$10+$N293-IF($M293,IF(INT(($L293-$D$5)/7)&lt;$A$22,$B$22,$D$10),0),U292+$N293-IF($M293,IF(INT(($L293-$D$5)/7)&lt;$A$22,$B$22,$D$10),0)))</x:f>
        <x:v>0</x:v>
      </x:c>
      <x:c r="V293" s="116" t="n">
        <x:f>IF($L293&lt;$D$5,"",IF($L293=$D$5,$J$10+$N293-IF($M293,IF(INT(($L293-$D$5)/7)&lt;$A$23,$B$23,$D$10),0),V292+$N293-IF($M293,IF(INT(($L293-$D$5)/7)&lt;$A$23,$B$23,$D$10),0)))</x:f>
        <x:v>0</x:v>
      </x:c>
      <x:c r="W293" s="116" t="n">
        <x:f>IF($L293&lt;$D$5,"",IF($L293=$D$5,$J$10+$N293-IF($M293,IF(INT(($L293-$D$5)/7)&lt;$A$24,$B$24,$D$10),0),W292+$N293-IF($M293,IF(INT(($L293-$D$5)/7)&lt;$A$24,$B$24,$D$10),0)))</x:f>
        <x:v>0</x:v>
      </x:c>
      <x:c r="X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Y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Z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A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B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C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D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E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F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G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H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I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J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K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L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M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N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O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P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Q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R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S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T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U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V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W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X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Y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AZ293" s="116"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c r="BA293" s="117" t="n">
        <x:f>IF(OR(INDEX('1 Budget annuel'!$A$14:$A$43,COLUMN()-COLUMN($X$42)+1)&lt;&gt;"Oui",INDEX('1 Budget annuel'!$L$14:$L$43,COLUMN()-COLUMN($X$42)+1)="",AND(INDEX('1 Budget annuel'!$B$14:$B$43,COLUMN()-COLUMN($X$42)+1)="Sortie",INDEX('1 Budget annuel'!$M$14:$M$43,COLUMN()-COLUMN($X$42)+1)="Oui"),$L293&lt;INDEX('1 Budget annuel'!$L$14:$L$43,COLUMN()-COLUMN($X$42)+1),$L293&gt;$D$5+363),0,IF(OR(AND(INDEX('1 Budget annuel'!$E$14:$E$43,COLUMN()-COLUMN($X$42)+1)="Hebdomadaire",MOD($L293-INDEX('1 Budget annuel'!$L$14:$L$43,COLUMN()-COLUMN($X$42)+1),7)=0),AND(INDEX('1 Budget annuel'!$E$14:$E$43,COLUMN()-COLUMN($X$42)+1)="Toutes les 4 semaines",MOD($L293-INDEX('1 Budget annuel'!$L$14:$L$43,COLUMN()-COLUMN($X$42)+1),28)=0),AND(INDEX('1 Budget annuel'!$E$14:$E$43,COLUMN()-COLUMN($X$42)+1)="Mensuelle",DAY($L293)=MIN(DAY(INDEX('1 Budget annuel'!$L$14:$L$43,COLUMN()-COLUMN($X$42)+1)),DAY(EOMONTH($L293,0)))),AND(INDEX('1 Budget annuel'!$E$14:$E$43,COLUMN()-COLUMN($X$42)+1)="Trimestrielle",MOD((YEAR($L293)-YEAR(INDEX('1 Budget annuel'!$L$14:$L$43,COLUMN()-COLUMN($X$42)+1)))*12+MONTH($L293)-MONTH(INDEX('1 Budget annuel'!$L$14:$L$43,COLUMN()-COLUMN($X$42)+1)),3)=0,DAY($L293)=MIN(DAY(INDEX('1 Budget annuel'!$L$14:$L$43,COLUMN()-COLUMN($X$42)+1)),DAY(EOMONTH($L293,0)))),AND(INDEX('1 Budget annuel'!$E$14:$E$43,COLUMN()-COLUMN($X$42)+1)="Semestrielle",MOD((YEAR($L293)-YEAR(INDEX('1 Budget annuel'!$L$14:$L$43,COLUMN()-COLUMN($X$42)+1)))*12+MONTH($L293)-MONTH(INDEX('1 Budget annuel'!$L$14:$L$43,COLUMN()-COLUMN($X$42)+1)),6)=0,DAY($L293)=MIN(DAY(INDEX('1 Budget annuel'!$L$14:$L$43,COLUMN()-COLUMN($X$42)+1)),DAY(EOMONTH($L293,0)))),AND(INDEX('1 Budget annuel'!$E$14:$E$43,COLUMN()-COLUMN($X$42)+1)="Annuelle",MOD((YEAR($L293)-YEAR(INDEX('1 Budget annuel'!$L$14:$L$43,COLUMN()-COLUMN($X$42)+1)))*12+MONTH($L293)-MONTH(INDEX('1 Budget annuel'!$L$14:$L$43,COLUMN()-COLUMN($X$42)+1)),12)=0,DAY($L293)=MIN(DAY(INDEX('1 Budget annuel'!$L$14:$L$43,COLUMN()-COLUMN($X$42)+1)),DAY(EOMONTH($L293,0))))),IF(INDEX('1 Budget annuel'!$B$14:$B$43,COLUMN()-COLUMN($X$42)+1)="Entrée",INDEX('1 Budget annuel'!$I$14:$I$43,COLUMN()-COLUMN($X$42)+1),-INDEX('1 Budget annuel'!$I$14:$I$43,COLUMN()-COLUMN($X$42)+1)),0))</x:f>
        <x:v>0</x:v>
      </x:c>
    </x:row>
    <x:row r="294">
      <x:c r="L294" s="114" t="n">
        <x:f>L293+1</x:f>
        <x:v>46488</x:v>
      </x:c>
      <x:c r="M294" s="115" t="b">
        <x:f>AND(L294&gt;=$D$5,L294&lt;=$D$5+363,MOD(L294-$D$5,7)=0)</x:f>
        <x:v>0</x:v>
      </x:c>
      <x:c r="N294" s="116" t="n">
        <x:f>SUM(X294:BA294)</x:f>
        <x:v>0</x:v>
      </x:c>
      <x:c r="O294" s="116" t="n">
        <x:f>IF(M294,$D$10,0)</x:f>
        <x:v>0</x:v>
      </x:c>
      <x:c r="P294" s="116" t="n">
        <x:f>N294-O294</x:f>
        <x:v>0</x:v>
      </x:c>
      <x:c r="Q294" s="116" t="n">
        <x:f>IF(L294&lt;$D$5,0,IF(L294=$D$5,P294,Q293+P294))</x:f>
        <x:v>0</x:v>
      </x:c>
      <x:c r="R294" s="116" t="n">
        <x:f>IF(L294&lt;$D$5,"",$J$10+Q294)</x:f>
        <x:v>0</x:v>
      </x:c>
      <x:c r="S294" s="116" t="n">
        <x:f>IF($L294&lt;$D$5,"",IF($L294=$D$5,$J$10+$N294-IF($M294,IF(INT(($L294-$D$5)/7)&lt;$A$20,$B$20,$D$10),0),S293+$N294-IF($M294,IF(INT(($L294-$D$5)/7)&lt;$A$20,$B$20,$D$10),0)))</x:f>
        <x:v>0</x:v>
      </x:c>
      <x:c r="T294" s="116" t="n">
        <x:f>IF($L294&lt;$D$5,"",IF($L294=$D$5,$J$10+$N294-IF($M294,IF(INT(($L294-$D$5)/7)&lt;$A$21,$B$21,$D$10),0),T293+$N294-IF($M294,IF(INT(($L294-$D$5)/7)&lt;$A$21,$B$21,$D$10),0)))</x:f>
        <x:v>0</x:v>
      </x:c>
      <x:c r="U294" s="116" t="n">
        <x:f>IF($L294&lt;$D$5,"",IF($L294=$D$5,$J$10+$N294-IF($M294,IF(INT(($L294-$D$5)/7)&lt;$A$22,$B$22,$D$10),0),U293+$N294-IF($M294,IF(INT(($L294-$D$5)/7)&lt;$A$22,$B$22,$D$10),0)))</x:f>
        <x:v>0</x:v>
      </x:c>
      <x:c r="V294" s="116" t="n">
        <x:f>IF($L294&lt;$D$5,"",IF($L294=$D$5,$J$10+$N294-IF($M294,IF(INT(($L294-$D$5)/7)&lt;$A$23,$B$23,$D$10),0),V293+$N294-IF($M294,IF(INT(($L294-$D$5)/7)&lt;$A$23,$B$23,$D$10),0)))</x:f>
        <x:v>0</x:v>
      </x:c>
      <x:c r="W294" s="116" t="n">
        <x:f>IF($L294&lt;$D$5,"",IF($L294=$D$5,$J$10+$N294-IF($M294,IF(INT(($L294-$D$5)/7)&lt;$A$24,$B$24,$D$10),0),W293+$N294-IF($M294,IF(INT(($L294-$D$5)/7)&lt;$A$24,$B$24,$D$10),0)))</x:f>
        <x:v>0</x:v>
      </x:c>
      <x:c r="X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Y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Z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A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B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C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D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E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F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G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H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I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J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K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L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M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N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O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P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Q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R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S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T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U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V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W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X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Y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AZ294" s="116"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c r="BA294" s="117" t="n">
        <x:f>IF(OR(INDEX('1 Budget annuel'!$A$14:$A$43,COLUMN()-COLUMN($X$42)+1)&lt;&gt;"Oui",INDEX('1 Budget annuel'!$L$14:$L$43,COLUMN()-COLUMN($X$42)+1)="",AND(INDEX('1 Budget annuel'!$B$14:$B$43,COLUMN()-COLUMN($X$42)+1)="Sortie",INDEX('1 Budget annuel'!$M$14:$M$43,COLUMN()-COLUMN($X$42)+1)="Oui"),$L294&lt;INDEX('1 Budget annuel'!$L$14:$L$43,COLUMN()-COLUMN($X$42)+1),$L294&gt;$D$5+363),0,IF(OR(AND(INDEX('1 Budget annuel'!$E$14:$E$43,COLUMN()-COLUMN($X$42)+1)="Hebdomadaire",MOD($L294-INDEX('1 Budget annuel'!$L$14:$L$43,COLUMN()-COLUMN($X$42)+1),7)=0),AND(INDEX('1 Budget annuel'!$E$14:$E$43,COLUMN()-COLUMN($X$42)+1)="Toutes les 4 semaines",MOD($L294-INDEX('1 Budget annuel'!$L$14:$L$43,COLUMN()-COLUMN($X$42)+1),28)=0),AND(INDEX('1 Budget annuel'!$E$14:$E$43,COLUMN()-COLUMN($X$42)+1)="Mensuelle",DAY($L294)=MIN(DAY(INDEX('1 Budget annuel'!$L$14:$L$43,COLUMN()-COLUMN($X$42)+1)),DAY(EOMONTH($L294,0)))),AND(INDEX('1 Budget annuel'!$E$14:$E$43,COLUMN()-COLUMN($X$42)+1)="Trimestrielle",MOD((YEAR($L294)-YEAR(INDEX('1 Budget annuel'!$L$14:$L$43,COLUMN()-COLUMN($X$42)+1)))*12+MONTH($L294)-MONTH(INDEX('1 Budget annuel'!$L$14:$L$43,COLUMN()-COLUMN($X$42)+1)),3)=0,DAY($L294)=MIN(DAY(INDEX('1 Budget annuel'!$L$14:$L$43,COLUMN()-COLUMN($X$42)+1)),DAY(EOMONTH($L294,0)))),AND(INDEX('1 Budget annuel'!$E$14:$E$43,COLUMN()-COLUMN($X$42)+1)="Semestrielle",MOD((YEAR($L294)-YEAR(INDEX('1 Budget annuel'!$L$14:$L$43,COLUMN()-COLUMN($X$42)+1)))*12+MONTH($L294)-MONTH(INDEX('1 Budget annuel'!$L$14:$L$43,COLUMN()-COLUMN($X$42)+1)),6)=0,DAY($L294)=MIN(DAY(INDEX('1 Budget annuel'!$L$14:$L$43,COLUMN()-COLUMN($X$42)+1)),DAY(EOMONTH($L294,0)))),AND(INDEX('1 Budget annuel'!$E$14:$E$43,COLUMN()-COLUMN($X$42)+1)="Annuelle",MOD((YEAR($L294)-YEAR(INDEX('1 Budget annuel'!$L$14:$L$43,COLUMN()-COLUMN($X$42)+1)))*12+MONTH($L294)-MONTH(INDEX('1 Budget annuel'!$L$14:$L$43,COLUMN()-COLUMN($X$42)+1)),12)=0,DAY($L294)=MIN(DAY(INDEX('1 Budget annuel'!$L$14:$L$43,COLUMN()-COLUMN($X$42)+1)),DAY(EOMONTH($L294,0))))),IF(INDEX('1 Budget annuel'!$B$14:$B$43,COLUMN()-COLUMN($X$42)+1)="Entrée",INDEX('1 Budget annuel'!$I$14:$I$43,COLUMN()-COLUMN($X$42)+1),-INDEX('1 Budget annuel'!$I$14:$I$43,COLUMN()-COLUMN($X$42)+1)),0))</x:f>
        <x:v>0</x:v>
      </x:c>
    </x:row>
    <x:row r="295">
      <x:c r="L295" s="114" t="n">
        <x:f>L294+1</x:f>
        <x:v>46489</x:v>
      </x:c>
      <x:c r="M295" s="115" t="b">
        <x:f>AND(L295&gt;=$D$5,L295&lt;=$D$5+363,MOD(L295-$D$5,7)=0)</x:f>
        <x:v>0</x:v>
      </x:c>
      <x:c r="N295" s="116" t="n">
        <x:f>SUM(X295:BA295)</x:f>
        <x:v>0</x:v>
      </x:c>
      <x:c r="O295" s="116" t="n">
        <x:f>IF(M295,$D$10,0)</x:f>
        <x:v>0</x:v>
      </x:c>
      <x:c r="P295" s="116" t="n">
        <x:f>N295-O295</x:f>
        <x:v>0</x:v>
      </x:c>
      <x:c r="Q295" s="116" t="n">
        <x:f>IF(L295&lt;$D$5,0,IF(L295=$D$5,P295,Q294+P295))</x:f>
        <x:v>0</x:v>
      </x:c>
      <x:c r="R295" s="116" t="n">
        <x:f>IF(L295&lt;$D$5,"",$J$10+Q295)</x:f>
        <x:v>0</x:v>
      </x:c>
      <x:c r="S295" s="116" t="n">
        <x:f>IF($L295&lt;$D$5,"",IF($L295=$D$5,$J$10+$N295-IF($M295,IF(INT(($L295-$D$5)/7)&lt;$A$20,$B$20,$D$10),0),S294+$N295-IF($M295,IF(INT(($L295-$D$5)/7)&lt;$A$20,$B$20,$D$10),0)))</x:f>
        <x:v>0</x:v>
      </x:c>
      <x:c r="T295" s="116" t="n">
        <x:f>IF($L295&lt;$D$5,"",IF($L295=$D$5,$J$10+$N295-IF($M295,IF(INT(($L295-$D$5)/7)&lt;$A$21,$B$21,$D$10),0),T294+$N295-IF($M295,IF(INT(($L295-$D$5)/7)&lt;$A$21,$B$21,$D$10),0)))</x:f>
        <x:v>0</x:v>
      </x:c>
      <x:c r="U295" s="116" t="n">
        <x:f>IF($L295&lt;$D$5,"",IF($L295=$D$5,$J$10+$N295-IF($M295,IF(INT(($L295-$D$5)/7)&lt;$A$22,$B$22,$D$10),0),U294+$N295-IF($M295,IF(INT(($L295-$D$5)/7)&lt;$A$22,$B$22,$D$10),0)))</x:f>
        <x:v>0</x:v>
      </x:c>
      <x:c r="V295" s="116" t="n">
        <x:f>IF($L295&lt;$D$5,"",IF($L295=$D$5,$J$10+$N295-IF($M295,IF(INT(($L295-$D$5)/7)&lt;$A$23,$B$23,$D$10),0),V294+$N295-IF($M295,IF(INT(($L295-$D$5)/7)&lt;$A$23,$B$23,$D$10),0)))</x:f>
        <x:v>0</x:v>
      </x:c>
      <x:c r="W295" s="116" t="n">
        <x:f>IF($L295&lt;$D$5,"",IF($L295=$D$5,$J$10+$N295-IF($M295,IF(INT(($L295-$D$5)/7)&lt;$A$24,$B$24,$D$10),0),W294+$N295-IF($M295,IF(INT(($L295-$D$5)/7)&lt;$A$24,$B$24,$D$10),0)))</x:f>
        <x:v>0</x:v>
      </x:c>
      <x:c r="X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Y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Z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A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B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C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D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E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F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G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H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I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J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K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L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M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N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O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P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Q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R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S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T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U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V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W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X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Y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AZ295" s="116"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c r="BA295" s="117" t="n">
        <x:f>IF(OR(INDEX('1 Budget annuel'!$A$14:$A$43,COLUMN()-COLUMN($X$42)+1)&lt;&gt;"Oui",INDEX('1 Budget annuel'!$L$14:$L$43,COLUMN()-COLUMN($X$42)+1)="",AND(INDEX('1 Budget annuel'!$B$14:$B$43,COLUMN()-COLUMN($X$42)+1)="Sortie",INDEX('1 Budget annuel'!$M$14:$M$43,COLUMN()-COLUMN($X$42)+1)="Oui"),$L295&lt;INDEX('1 Budget annuel'!$L$14:$L$43,COLUMN()-COLUMN($X$42)+1),$L295&gt;$D$5+363),0,IF(OR(AND(INDEX('1 Budget annuel'!$E$14:$E$43,COLUMN()-COLUMN($X$42)+1)="Hebdomadaire",MOD($L295-INDEX('1 Budget annuel'!$L$14:$L$43,COLUMN()-COLUMN($X$42)+1),7)=0),AND(INDEX('1 Budget annuel'!$E$14:$E$43,COLUMN()-COLUMN($X$42)+1)="Toutes les 4 semaines",MOD($L295-INDEX('1 Budget annuel'!$L$14:$L$43,COLUMN()-COLUMN($X$42)+1),28)=0),AND(INDEX('1 Budget annuel'!$E$14:$E$43,COLUMN()-COLUMN($X$42)+1)="Mensuelle",DAY($L295)=MIN(DAY(INDEX('1 Budget annuel'!$L$14:$L$43,COLUMN()-COLUMN($X$42)+1)),DAY(EOMONTH($L295,0)))),AND(INDEX('1 Budget annuel'!$E$14:$E$43,COLUMN()-COLUMN($X$42)+1)="Trimestrielle",MOD((YEAR($L295)-YEAR(INDEX('1 Budget annuel'!$L$14:$L$43,COLUMN()-COLUMN($X$42)+1)))*12+MONTH($L295)-MONTH(INDEX('1 Budget annuel'!$L$14:$L$43,COLUMN()-COLUMN($X$42)+1)),3)=0,DAY($L295)=MIN(DAY(INDEX('1 Budget annuel'!$L$14:$L$43,COLUMN()-COLUMN($X$42)+1)),DAY(EOMONTH($L295,0)))),AND(INDEX('1 Budget annuel'!$E$14:$E$43,COLUMN()-COLUMN($X$42)+1)="Semestrielle",MOD((YEAR($L295)-YEAR(INDEX('1 Budget annuel'!$L$14:$L$43,COLUMN()-COLUMN($X$42)+1)))*12+MONTH($L295)-MONTH(INDEX('1 Budget annuel'!$L$14:$L$43,COLUMN()-COLUMN($X$42)+1)),6)=0,DAY($L295)=MIN(DAY(INDEX('1 Budget annuel'!$L$14:$L$43,COLUMN()-COLUMN($X$42)+1)),DAY(EOMONTH($L295,0)))),AND(INDEX('1 Budget annuel'!$E$14:$E$43,COLUMN()-COLUMN($X$42)+1)="Annuelle",MOD((YEAR($L295)-YEAR(INDEX('1 Budget annuel'!$L$14:$L$43,COLUMN()-COLUMN($X$42)+1)))*12+MONTH($L295)-MONTH(INDEX('1 Budget annuel'!$L$14:$L$43,COLUMN()-COLUMN($X$42)+1)),12)=0,DAY($L295)=MIN(DAY(INDEX('1 Budget annuel'!$L$14:$L$43,COLUMN()-COLUMN($X$42)+1)),DAY(EOMONTH($L295,0))))),IF(INDEX('1 Budget annuel'!$B$14:$B$43,COLUMN()-COLUMN($X$42)+1)="Entrée",INDEX('1 Budget annuel'!$I$14:$I$43,COLUMN()-COLUMN($X$42)+1),-INDEX('1 Budget annuel'!$I$14:$I$43,COLUMN()-COLUMN($X$42)+1)),0))</x:f>
        <x:v>0</x:v>
      </x:c>
    </x:row>
    <x:row r="296">
      <x:c r="L296" s="114" t="n">
        <x:f>L295+1</x:f>
        <x:v>46490</x:v>
      </x:c>
      <x:c r="M296" s="115" t="b">
        <x:f>AND(L296&gt;=$D$5,L296&lt;=$D$5+363,MOD(L296-$D$5,7)=0)</x:f>
        <x:v>0</x:v>
      </x:c>
      <x:c r="N296" s="116" t="n">
        <x:f>SUM(X296:BA296)</x:f>
        <x:v>0</x:v>
      </x:c>
      <x:c r="O296" s="116" t="n">
        <x:f>IF(M296,$D$10,0)</x:f>
        <x:v>0</x:v>
      </x:c>
      <x:c r="P296" s="116" t="n">
        <x:f>N296-O296</x:f>
        <x:v>0</x:v>
      </x:c>
      <x:c r="Q296" s="116" t="n">
        <x:f>IF(L296&lt;$D$5,0,IF(L296=$D$5,P296,Q295+P296))</x:f>
        <x:v>0</x:v>
      </x:c>
      <x:c r="R296" s="116" t="n">
        <x:f>IF(L296&lt;$D$5,"",$J$10+Q296)</x:f>
        <x:v>0</x:v>
      </x:c>
      <x:c r="S296" s="116" t="n">
        <x:f>IF($L296&lt;$D$5,"",IF($L296=$D$5,$J$10+$N296-IF($M296,IF(INT(($L296-$D$5)/7)&lt;$A$20,$B$20,$D$10),0),S295+$N296-IF($M296,IF(INT(($L296-$D$5)/7)&lt;$A$20,$B$20,$D$10),0)))</x:f>
        <x:v>0</x:v>
      </x:c>
      <x:c r="T296" s="116" t="n">
        <x:f>IF($L296&lt;$D$5,"",IF($L296=$D$5,$J$10+$N296-IF($M296,IF(INT(($L296-$D$5)/7)&lt;$A$21,$B$21,$D$10),0),T295+$N296-IF($M296,IF(INT(($L296-$D$5)/7)&lt;$A$21,$B$21,$D$10),0)))</x:f>
        <x:v>0</x:v>
      </x:c>
      <x:c r="U296" s="116" t="n">
        <x:f>IF($L296&lt;$D$5,"",IF($L296=$D$5,$J$10+$N296-IF($M296,IF(INT(($L296-$D$5)/7)&lt;$A$22,$B$22,$D$10),0),U295+$N296-IF($M296,IF(INT(($L296-$D$5)/7)&lt;$A$22,$B$22,$D$10),0)))</x:f>
        <x:v>0</x:v>
      </x:c>
      <x:c r="V296" s="116" t="n">
        <x:f>IF($L296&lt;$D$5,"",IF($L296=$D$5,$J$10+$N296-IF($M296,IF(INT(($L296-$D$5)/7)&lt;$A$23,$B$23,$D$10),0),V295+$N296-IF($M296,IF(INT(($L296-$D$5)/7)&lt;$A$23,$B$23,$D$10),0)))</x:f>
        <x:v>0</x:v>
      </x:c>
      <x:c r="W296" s="116" t="n">
        <x:f>IF($L296&lt;$D$5,"",IF($L296=$D$5,$J$10+$N296-IF($M296,IF(INT(($L296-$D$5)/7)&lt;$A$24,$B$24,$D$10),0),W295+$N296-IF($M296,IF(INT(($L296-$D$5)/7)&lt;$A$24,$B$24,$D$10),0)))</x:f>
        <x:v>0</x:v>
      </x:c>
      <x:c r="X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Y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Z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A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B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C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D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E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F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G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H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I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J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K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L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M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N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O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P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Q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R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S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T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U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V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W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X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Y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AZ296" s="116"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c r="BA296" s="117" t="n">
        <x:f>IF(OR(INDEX('1 Budget annuel'!$A$14:$A$43,COLUMN()-COLUMN($X$42)+1)&lt;&gt;"Oui",INDEX('1 Budget annuel'!$L$14:$L$43,COLUMN()-COLUMN($X$42)+1)="",AND(INDEX('1 Budget annuel'!$B$14:$B$43,COLUMN()-COLUMN($X$42)+1)="Sortie",INDEX('1 Budget annuel'!$M$14:$M$43,COLUMN()-COLUMN($X$42)+1)="Oui"),$L296&lt;INDEX('1 Budget annuel'!$L$14:$L$43,COLUMN()-COLUMN($X$42)+1),$L296&gt;$D$5+363),0,IF(OR(AND(INDEX('1 Budget annuel'!$E$14:$E$43,COLUMN()-COLUMN($X$42)+1)="Hebdomadaire",MOD($L296-INDEX('1 Budget annuel'!$L$14:$L$43,COLUMN()-COLUMN($X$42)+1),7)=0),AND(INDEX('1 Budget annuel'!$E$14:$E$43,COLUMN()-COLUMN($X$42)+1)="Toutes les 4 semaines",MOD($L296-INDEX('1 Budget annuel'!$L$14:$L$43,COLUMN()-COLUMN($X$42)+1),28)=0),AND(INDEX('1 Budget annuel'!$E$14:$E$43,COLUMN()-COLUMN($X$42)+1)="Mensuelle",DAY($L296)=MIN(DAY(INDEX('1 Budget annuel'!$L$14:$L$43,COLUMN()-COLUMN($X$42)+1)),DAY(EOMONTH($L296,0)))),AND(INDEX('1 Budget annuel'!$E$14:$E$43,COLUMN()-COLUMN($X$42)+1)="Trimestrielle",MOD((YEAR($L296)-YEAR(INDEX('1 Budget annuel'!$L$14:$L$43,COLUMN()-COLUMN($X$42)+1)))*12+MONTH($L296)-MONTH(INDEX('1 Budget annuel'!$L$14:$L$43,COLUMN()-COLUMN($X$42)+1)),3)=0,DAY($L296)=MIN(DAY(INDEX('1 Budget annuel'!$L$14:$L$43,COLUMN()-COLUMN($X$42)+1)),DAY(EOMONTH($L296,0)))),AND(INDEX('1 Budget annuel'!$E$14:$E$43,COLUMN()-COLUMN($X$42)+1)="Semestrielle",MOD((YEAR($L296)-YEAR(INDEX('1 Budget annuel'!$L$14:$L$43,COLUMN()-COLUMN($X$42)+1)))*12+MONTH($L296)-MONTH(INDEX('1 Budget annuel'!$L$14:$L$43,COLUMN()-COLUMN($X$42)+1)),6)=0,DAY($L296)=MIN(DAY(INDEX('1 Budget annuel'!$L$14:$L$43,COLUMN()-COLUMN($X$42)+1)),DAY(EOMONTH($L296,0)))),AND(INDEX('1 Budget annuel'!$E$14:$E$43,COLUMN()-COLUMN($X$42)+1)="Annuelle",MOD((YEAR($L296)-YEAR(INDEX('1 Budget annuel'!$L$14:$L$43,COLUMN()-COLUMN($X$42)+1)))*12+MONTH($L296)-MONTH(INDEX('1 Budget annuel'!$L$14:$L$43,COLUMN()-COLUMN($X$42)+1)),12)=0,DAY($L296)=MIN(DAY(INDEX('1 Budget annuel'!$L$14:$L$43,COLUMN()-COLUMN($X$42)+1)),DAY(EOMONTH($L296,0))))),IF(INDEX('1 Budget annuel'!$B$14:$B$43,COLUMN()-COLUMN($X$42)+1)="Entrée",INDEX('1 Budget annuel'!$I$14:$I$43,COLUMN()-COLUMN($X$42)+1),-INDEX('1 Budget annuel'!$I$14:$I$43,COLUMN()-COLUMN($X$42)+1)),0))</x:f>
        <x:v>0</x:v>
      </x:c>
    </x:row>
    <x:row r="297">
      <x:c r="L297" s="114" t="n">
        <x:f>L296+1</x:f>
        <x:v>46491</x:v>
      </x:c>
      <x:c r="M297" s="115" t="b">
        <x:f>AND(L297&gt;=$D$5,L297&lt;=$D$5+363,MOD(L297-$D$5,7)=0)</x:f>
        <x:v>0</x:v>
      </x:c>
      <x:c r="N297" s="116" t="n">
        <x:f>SUM(X297:BA297)</x:f>
        <x:v>0</x:v>
      </x:c>
      <x:c r="O297" s="116" t="n">
        <x:f>IF(M297,$D$10,0)</x:f>
        <x:v>0</x:v>
      </x:c>
      <x:c r="P297" s="116" t="n">
        <x:f>N297-O297</x:f>
        <x:v>0</x:v>
      </x:c>
      <x:c r="Q297" s="116" t="n">
        <x:f>IF(L297&lt;$D$5,0,IF(L297=$D$5,P297,Q296+P297))</x:f>
        <x:v>0</x:v>
      </x:c>
      <x:c r="R297" s="116" t="n">
        <x:f>IF(L297&lt;$D$5,"",$J$10+Q297)</x:f>
        <x:v>0</x:v>
      </x:c>
      <x:c r="S297" s="116" t="n">
        <x:f>IF($L297&lt;$D$5,"",IF($L297=$D$5,$J$10+$N297-IF($M297,IF(INT(($L297-$D$5)/7)&lt;$A$20,$B$20,$D$10),0),S296+$N297-IF($M297,IF(INT(($L297-$D$5)/7)&lt;$A$20,$B$20,$D$10),0)))</x:f>
        <x:v>0</x:v>
      </x:c>
      <x:c r="T297" s="116" t="n">
        <x:f>IF($L297&lt;$D$5,"",IF($L297=$D$5,$J$10+$N297-IF($M297,IF(INT(($L297-$D$5)/7)&lt;$A$21,$B$21,$D$10),0),T296+$N297-IF($M297,IF(INT(($L297-$D$5)/7)&lt;$A$21,$B$21,$D$10),0)))</x:f>
        <x:v>0</x:v>
      </x:c>
      <x:c r="U297" s="116" t="n">
        <x:f>IF($L297&lt;$D$5,"",IF($L297=$D$5,$J$10+$N297-IF($M297,IF(INT(($L297-$D$5)/7)&lt;$A$22,$B$22,$D$10),0),U296+$N297-IF($M297,IF(INT(($L297-$D$5)/7)&lt;$A$22,$B$22,$D$10),0)))</x:f>
        <x:v>0</x:v>
      </x:c>
      <x:c r="V297" s="116" t="n">
        <x:f>IF($L297&lt;$D$5,"",IF($L297=$D$5,$J$10+$N297-IF($M297,IF(INT(($L297-$D$5)/7)&lt;$A$23,$B$23,$D$10),0),V296+$N297-IF($M297,IF(INT(($L297-$D$5)/7)&lt;$A$23,$B$23,$D$10),0)))</x:f>
        <x:v>0</x:v>
      </x:c>
      <x:c r="W297" s="116" t="n">
        <x:f>IF($L297&lt;$D$5,"",IF($L297=$D$5,$J$10+$N297-IF($M297,IF(INT(($L297-$D$5)/7)&lt;$A$24,$B$24,$D$10),0),W296+$N297-IF($M297,IF(INT(($L297-$D$5)/7)&lt;$A$24,$B$24,$D$10),0)))</x:f>
        <x:v>0</x:v>
      </x:c>
      <x:c r="X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Y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Z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A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B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C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D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E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F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G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H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I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J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K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L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M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N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O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P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Q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R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S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T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U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V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W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X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Y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AZ297" s="116"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c r="BA297" s="117" t="n">
        <x:f>IF(OR(INDEX('1 Budget annuel'!$A$14:$A$43,COLUMN()-COLUMN($X$42)+1)&lt;&gt;"Oui",INDEX('1 Budget annuel'!$L$14:$L$43,COLUMN()-COLUMN($X$42)+1)="",AND(INDEX('1 Budget annuel'!$B$14:$B$43,COLUMN()-COLUMN($X$42)+1)="Sortie",INDEX('1 Budget annuel'!$M$14:$M$43,COLUMN()-COLUMN($X$42)+1)="Oui"),$L297&lt;INDEX('1 Budget annuel'!$L$14:$L$43,COLUMN()-COLUMN($X$42)+1),$L297&gt;$D$5+363),0,IF(OR(AND(INDEX('1 Budget annuel'!$E$14:$E$43,COLUMN()-COLUMN($X$42)+1)="Hebdomadaire",MOD($L297-INDEX('1 Budget annuel'!$L$14:$L$43,COLUMN()-COLUMN($X$42)+1),7)=0),AND(INDEX('1 Budget annuel'!$E$14:$E$43,COLUMN()-COLUMN($X$42)+1)="Toutes les 4 semaines",MOD($L297-INDEX('1 Budget annuel'!$L$14:$L$43,COLUMN()-COLUMN($X$42)+1),28)=0),AND(INDEX('1 Budget annuel'!$E$14:$E$43,COLUMN()-COLUMN($X$42)+1)="Mensuelle",DAY($L297)=MIN(DAY(INDEX('1 Budget annuel'!$L$14:$L$43,COLUMN()-COLUMN($X$42)+1)),DAY(EOMONTH($L297,0)))),AND(INDEX('1 Budget annuel'!$E$14:$E$43,COLUMN()-COLUMN($X$42)+1)="Trimestrielle",MOD((YEAR($L297)-YEAR(INDEX('1 Budget annuel'!$L$14:$L$43,COLUMN()-COLUMN($X$42)+1)))*12+MONTH($L297)-MONTH(INDEX('1 Budget annuel'!$L$14:$L$43,COLUMN()-COLUMN($X$42)+1)),3)=0,DAY($L297)=MIN(DAY(INDEX('1 Budget annuel'!$L$14:$L$43,COLUMN()-COLUMN($X$42)+1)),DAY(EOMONTH($L297,0)))),AND(INDEX('1 Budget annuel'!$E$14:$E$43,COLUMN()-COLUMN($X$42)+1)="Semestrielle",MOD((YEAR($L297)-YEAR(INDEX('1 Budget annuel'!$L$14:$L$43,COLUMN()-COLUMN($X$42)+1)))*12+MONTH($L297)-MONTH(INDEX('1 Budget annuel'!$L$14:$L$43,COLUMN()-COLUMN($X$42)+1)),6)=0,DAY($L297)=MIN(DAY(INDEX('1 Budget annuel'!$L$14:$L$43,COLUMN()-COLUMN($X$42)+1)),DAY(EOMONTH($L297,0)))),AND(INDEX('1 Budget annuel'!$E$14:$E$43,COLUMN()-COLUMN($X$42)+1)="Annuelle",MOD((YEAR($L297)-YEAR(INDEX('1 Budget annuel'!$L$14:$L$43,COLUMN()-COLUMN($X$42)+1)))*12+MONTH($L297)-MONTH(INDEX('1 Budget annuel'!$L$14:$L$43,COLUMN()-COLUMN($X$42)+1)),12)=0,DAY($L297)=MIN(DAY(INDEX('1 Budget annuel'!$L$14:$L$43,COLUMN()-COLUMN($X$42)+1)),DAY(EOMONTH($L297,0))))),IF(INDEX('1 Budget annuel'!$B$14:$B$43,COLUMN()-COLUMN($X$42)+1)="Entrée",INDEX('1 Budget annuel'!$I$14:$I$43,COLUMN()-COLUMN($X$42)+1),-INDEX('1 Budget annuel'!$I$14:$I$43,COLUMN()-COLUMN($X$42)+1)),0))</x:f>
        <x:v>0</x:v>
      </x:c>
    </x:row>
    <x:row r="298">
      <x:c r="L298" s="114" t="n">
        <x:f>L297+1</x:f>
        <x:v>46492</x:v>
      </x:c>
      <x:c r="M298" s="115" t="b">
        <x:f>AND(L298&gt;=$D$5,L298&lt;=$D$5+363,MOD(L298-$D$5,7)=0)</x:f>
        <x:v>0</x:v>
      </x:c>
      <x:c r="N298" s="116" t="n">
        <x:f>SUM(X298:BA298)</x:f>
        <x:v>0</x:v>
      </x:c>
      <x:c r="O298" s="116" t="n">
        <x:f>IF(M298,$D$10,0)</x:f>
        <x:v>0</x:v>
      </x:c>
      <x:c r="P298" s="116" t="n">
        <x:f>N298-O298</x:f>
        <x:v>0</x:v>
      </x:c>
      <x:c r="Q298" s="116" t="n">
        <x:f>IF(L298&lt;$D$5,0,IF(L298=$D$5,P298,Q297+P298))</x:f>
        <x:v>0</x:v>
      </x:c>
      <x:c r="R298" s="116" t="n">
        <x:f>IF(L298&lt;$D$5,"",$J$10+Q298)</x:f>
        <x:v>0</x:v>
      </x:c>
      <x:c r="S298" s="116" t="n">
        <x:f>IF($L298&lt;$D$5,"",IF($L298=$D$5,$J$10+$N298-IF($M298,IF(INT(($L298-$D$5)/7)&lt;$A$20,$B$20,$D$10),0),S297+$N298-IF($M298,IF(INT(($L298-$D$5)/7)&lt;$A$20,$B$20,$D$10),0)))</x:f>
        <x:v>0</x:v>
      </x:c>
      <x:c r="T298" s="116" t="n">
        <x:f>IF($L298&lt;$D$5,"",IF($L298=$D$5,$J$10+$N298-IF($M298,IF(INT(($L298-$D$5)/7)&lt;$A$21,$B$21,$D$10),0),T297+$N298-IF($M298,IF(INT(($L298-$D$5)/7)&lt;$A$21,$B$21,$D$10),0)))</x:f>
        <x:v>0</x:v>
      </x:c>
      <x:c r="U298" s="116" t="n">
        <x:f>IF($L298&lt;$D$5,"",IF($L298=$D$5,$J$10+$N298-IF($M298,IF(INT(($L298-$D$5)/7)&lt;$A$22,$B$22,$D$10),0),U297+$N298-IF($M298,IF(INT(($L298-$D$5)/7)&lt;$A$22,$B$22,$D$10),0)))</x:f>
        <x:v>0</x:v>
      </x:c>
      <x:c r="V298" s="116" t="n">
        <x:f>IF($L298&lt;$D$5,"",IF($L298=$D$5,$J$10+$N298-IF($M298,IF(INT(($L298-$D$5)/7)&lt;$A$23,$B$23,$D$10),0),V297+$N298-IF($M298,IF(INT(($L298-$D$5)/7)&lt;$A$23,$B$23,$D$10),0)))</x:f>
        <x:v>0</x:v>
      </x:c>
      <x:c r="W298" s="116" t="n">
        <x:f>IF($L298&lt;$D$5,"",IF($L298=$D$5,$J$10+$N298-IF($M298,IF(INT(($L298-$D$5)/7)&lt;$A$24,$B$24,$D$10),0),W297+$N298-IF($M298,IF(INT(($L298-$D$5)/7)&lt;$A$24,$B$24,$D$10),0)))</x:f>
        <x:v>0</x:v>
      </x:c>
      <x:c r="X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Y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Z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A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B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C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D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E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F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G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H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I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J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K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L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M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N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O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P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Q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R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S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T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U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V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W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X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Y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AZ298" s="116"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c r="BA298" s="117" t="n">
        <x:f>IF(OR(INDEX('1 Budget annuel'!$A$14:$A$43,COLUMN()-COLUMN($X$42)+1)&lt;&gt;"Oui",INDEX('1 Budget annuel'!$L$14:$L$43,COLUMN()-COLUMN($X$42)+1)="",AND(INDEX('1 Budget annuel'!$B$14:$B$43,COLUMN()-COLUMN($X$42)+1)="Sortie",INDEX('1 Budget annuel'!$M$14:$M$43,COLUMN()-COLUMN($X$42)+1)="Oui"),$L298&lt;INDEX('1 Budget annuel'!$L$14:$L$43,COLUMN()-COLUMN($X$42)+1),$L298&gt;$D$5+363),0,IF(OR(AND(INDEX('1 Budget annuel'!$E$14:$E$43,COLUMN()-COLUMN($X$42)+1)="Hebdomadaire",MOD($L298-INDEX('1 Budget annuel'!$L$14:$L$43,COLUMN()-COLUMN($X$42)+1),7)=0),AND(INDEX('1 Budget annuel'!$E$14:$E$43,COLUMN()-COLUMN($X$42)+1)="Toutes les 4 semaines",MOD($L298-INDEX('1 Budget annuel'!$L$14:$L$43,COLUMN()-COLUMN($X$42)+1),28)=0),AND(INDEX('1 Budget annuel'!$E$14:$E$43,COLUMN()-COLUMN($X$42)+1)="Mensuelle",DAY($L298)=MIN(DAY(INDEX('1 Budget annuel'!$L$14:$L$43,COLUMN()-COLUMN($X$42)+1)),DAY(EOMONTH($L298,0)))),AND(INDEX('1 Budget annuel'!$E$14:$E$43,COLUMN()-COLUMN($X$42)+1)="Trimestrielle",MOD((YEAR($L298)-YEAR(INDEX('1 Budget annuel'!$L$14:$L$43,COLUMN()-COLUMN($X$42)+1)))*12+MONTH($L298)-MONTH(INDEX('1 Budget annuel'!$L$14:$L$43,COLUMN()-COLUMN($X$42)+1)),3)=0,DAY($L298)=MIN(DAY(INDEX('1 Budget annuel'!$L$14:$L$43,COLUMN()-COLUMN($X$42)+1)),DAY(EOMONTH($L298,0)))),AND(INDEX('1 Budget annuel'!$E$14:$E$43,COLUMN()-COLUMN($X$42)+1)="Semestrielle",MOD((YEAR($L298)-YEAR(INDEX('1 Budget annuel'!$L$14:$L$43,COLUMN()-COLUMN($X$42)+1)))*12+MONTH($L298)-MONTH(INDEX('1 Budget annuel'!$L$14:$L$43,COLUMN()-COLUMN($X$42)+1)),6)=0,DAY($L298)=MIN(DAY(INDEX('1 Budget annuel'!$L$14:$L$43,COLUMN()-COLUMN($X$42)+1)),DAY(EOMONTH($L298,0)))),AND(INDEX('1 Budget annuel'!$E$14:$E$43,COLUMN()-COLUMN($X$42)+1)="Annuelle",MOD((YEAR($L298)-YEAR(INDEX('1 Budget annuel'!$L$14:$L$43,COLUMN()-COLUMN($X$42)+1)))*12+MONTH($L298)-MONTH(INDEX('1 Budget annuel'!$L$14:$L$43,COLUMN()-COLUMN($X$42)+1)),12)=0,DAY($L298)=MIN(DAY(INDEX('1 Budget annuel'!$L$14:$L$43,COLUMN()-COLUMN($X$42)+1)),DAY(EOMONTH($L298,0))))),IF(INDEX('1 Budget annuel'!$B$14:$B$43,COLUMN()-COLUMN($X$42)+1)="Entrée",INDEX('1 Budget annuel'!$I$14:$I$43,COLUMN()-COLUMN($X$42)+1),-INDEX('1 Budget annuel'!$I$14:$I$43,COLUMN()-COLUMN($X$42)+1)),0))</x:f>
        <x:v>0</x:v>
      </x:c>
    </x:row>
    <x:row r="299">
      <x:c r="L299" s="114" t="n">
        <x:f>L298+1</x:f>
        <x:v>46493</x:v>
      </x:c>
      <x:c r="M299" s="115" t="b">
        <x:f>AND(L299&gt;=$D$5,L299&lt;=$D$5+363,MOD(L299-$D$5,7)=0)</x:f>
        <x:v>0</x:v>
      </x:c>
      <x:c r="N299" s="116" t="n">
        <x:f>SUM(X299:BA299)</x:f>
        <x:v>0</x:v>
      </x:c>
      <x:c r="O299" s="116" t="n">
        <x:f>IF(M299,$D$10,0)</x:f>
        <x:v>0</x:v>
      </x:c>
      <x:c r="P299" s="116" t="n">
        <x:f>N299-O299</x:f>
        <x:v>0</x:v>
      </x:c>
      <x:c r="Q299" s="116" t="n">
        <x:f>IF(L299&lt;$D$5,0,IF(L299=$D$5,P299,Q298+P299))</x:f>
        <x:v>0</x:v>
      </x:c>
      <x:c r="R299" s="116" t="n">
        <x:f>IF(L299&lt;$D$5,"",$J$10+Q299)</x:f>
        <x:v>0</x:v>
      </x:c>
      <x:c r="S299" s="116" t="n">
        <x:f>IF($L299&lt;$D$5,"",IF($L299=$D$5,$J$10+$N299-IF($M299,IF(INT(($L299-$D$5)/7)&lt;$A$20,$B$20,$D$10),0),S298+$N299-IF($M299,IF(INT(($L299-$D$5)/7)&lt;$A$20,$B$20,$D$10),0)))</x:f>
        <x:v>0</x:v>
      </x:c>
      <x:c r="T299" s="116" t="n">
        <x:f>IF($L299&lt;$D$5,"",IF($L299=$D$5,$J$10+$N299-IF($M299,IF(INT(($L299-$D$5)/7)&lt;$A$21,$B$21,$D$10),0),T298+$N299-IF($M299,IF(INT(($L299-$D$5)/7)&lt;$A$21,$B$21,$D$10),0)))</x:f>
        <x:v>0</x:v>
      </x:c>
      <x:c r="U299" s="116" t="n">
        <x:f>IF($L299&lt;$D$5,"",IF($L299=$D$5,$J$10+$N299-IF($M299,IF(INT(($L299-$D$5)/7)&lt;$A$22,$B$22,$D$10),0),U298+$N299-IF($M299,IF(INT(($L299-$D$5)/7)&lt;$A$22,$B$22,$D$10),0)))</x:f>
        <x:v>0</x:v>
      </x:c>
      <x:c r="V299" s="116" t="n">
        <x:f>IF($L299&lt;$D$5,"",IF($L299=$D$5,$J$10+$N299-IF($M299,IF(INT(($L299-$D$5)/7)&lt;$A$23,$B$23,$D$10),0),V298+$N299-IF($M299,IF(INT(($L299-$D$5)/7)&lt;$A$23,$B$23,$D$10),0)))</x:f>
        <x:v>0</x:v>
      </x:c>
      <x:c r="W299" s="116" t="n">
        <x:f>IF($L299&lt;$D$5,"",IF($L299=$D$5,$J$10+$N299-IF($M299,IF(INT(($L299-$D$5)/7)&lt;$A$24,$B$24,$D$10),0),W298+$N299-IF($M299,IF(INT(($L299-$D$5)/7)&lt;$A$24,$B$24,$D$10),0)))</x:f>
        <x:v>0</x:v>
      </x:c>
      <x:c r="X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Y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Z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A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B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C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D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E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F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G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H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I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J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K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L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M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N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O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P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Q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R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S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T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U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V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W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X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Y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AZ299" s="116"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c r="BA299" s="117" t="n">
        <x:f>IF(OR(INDEX('1 Budget annuel'!$A$14:$A$43,COLUMN()-COLUMN($X$42)+1)&lt;&gt;"Oui",INDEX('1 Budget annuel'!$L$14:$L$43,COLUMN()-COLUMN($X$42)+1)="",AND(INDEX('1 Budget annuel'!$B$14:$B$43,COLUMN()-COLUMN($X$42)+1)="Sortie",INDEX('1 Budget annuel'!$M$14:$M$43,COLUMN()-COLUMN($X$42)+1)="Oui"),$L299&lt;INDEX('1 Budget annuel'!$L$14:$L$43,COLUMN()-COLUMN($X$42)+1),$L299&gt;$D$5+363),0,IF(OR(AND(INDEX('1 Budget annuel'!$E$14:$E$43,COLUMN()-COLUMN($X$42)+1)="Hebdomadaire",MOD($L299-INDEX('1 Budget annuel'!$L$14:$L$43,COLUMN()-COLUMN($X$42)+1),7)=0),AND(INDEX('1 Budget annuel'!$E$14:$E$43,COLUMN()-COLUMN($X$42)+1)="Toutes les 4 semaines",MOD($L299-INDEX('1 Budget annuel'!$L$14:$L$43,COLUMN()-COLUMN($X$42)+1),28)=0),AND(INDEX('1 Budget annuel'!$E$14:$E$43,COLUMN()-COLUMN($X$42)+1)="Mensuelle",DAY($L299)=MIN(DAY(INDEX('1 Budget annuel'!$L$14:$L$43,COLUMN()-COLUMN($X$42)+1)),DAY(EOMONTH($L299,0)))),AND(INDEX('1 Budget annuel'!$E$14:$E$43,COLUMN()-COLUMN($X$42)+1)="Trimestrielle",MOD((YEAR($L299)-YEAR(INDEX('1 Budget annuel'!$L$14:$L$43,COLUMN()-COLUMN($X$42)+1)))*12+MONTH($L299)-MONTH(INDEX('1 Budget annuel'!$L$14:$L$43,COLUMN()-COLUMN($X$42)+1)),3)=0,DAY($L299)=MIN(DAY(INDEX('1 Budget annuel'!$L$14:$L$43,COLUMN()-COLUMN($X$42)+1)),DAY(EOMONTH($L299,0)))),AND(INDEX('1 Budget annuel'!$E$14:$E$43,COLUMN()-COLUMN($X$42)+1)="Semestrielle",MOD((YEAR($L299)-YEAR(INDEX('1 Budget annuel'!$L$14:$L$43,COLUMN()-COLUMN($X$42)+1)))*12+MONTH($L299)-MONTH(INDEX('1 Budget annuel'!$L$14:$L$43,COLUMN()-COLUMN($X$42)+1)),6)=0,DAY($L299)=MIN(DAY(INDEX('1 Budget annuel'!$L$14:$L$43,COLUMN()-COLUMN($X$42)+1)),DAY(EOMONTH($L299,0)))),AND(INDEX('1 Budget annuel'!$E$14:$E$43,COLUMN()-COLUMN($X$42)+1)="Annuelle",MOD((YEAR($L299)-YEAR(INDEX('1 Budget annuel'!$L$14:$L$43,COLUMN()-COLUMN($X$42)+1)))*12+MONTH($L299)-MONTH(INDEX('1 Budget annuel'!$L$14:$L$43,COLUMN()-COLUMN($X$42)+1)),12)=0,DAY($L299)=MIN(DAY(INDEX('1 Budget annuel'!$L$14:$L$43,COLUMN()-COLUMN($X$42)+1)),DAY(EOMONTH($L299,0))))),IF(INDEX('1 Budget annuel'!$B$14:$B$43,COLUMN()-COLUMN($X$42)+1)="Entrée",INDEX('1 Budget annuel'!$I$14:$I$43,COLUMN()-COLUMN($X$42)+1),-INDEX('1 Budget annuel'!$I$14:$I$43,COLUMN()-COLUMN($X$42)+1)),0))</x:f>
        <x:v>0</x:v>
      </x:c>
    </x:row>
    <x:row r="300">
      <x:c r="L300" s="114" t="n">
        <x:f>L299+1</x:f>
        <x:v>46494</x:v>
      </x:c>
      <x:c r="M300" s="115" t="b">
        <x:f>AND(L300&gt;=$D$5,L300&lt;=$D$5+363,MOD(L300-$D$5,7)=0)</x:f>
        <x:v>1</x:v>
      </x:c>
      <x:c r="N300" s="116" t="n">
        <x:f>SUM(X300:BA300)</x:f>
        <x:v>0</x:v>
      </x:c>
      <x:c r="O300" s="116" t="n">
        <x:f>IF(M300,$D$10,0)</x:f>
        <x:v>0</x:v>
      </x:c>
      <x:c r="P300" s="116" t="n">
        <x:f>N300-O300</x:f>
        <x:v>0</x:v>
      </x:c>
      <x:c r="Q300" s="116" t="n">
        <x:f>IF(L300&lt;$D$5,0,IF(L300=$D$5,P300,Q299+P300))</x:f>
        <x:v>0</x:v>
      </x:c>
      <x:c r="R300" s="116" t="n">
        <x:f>IF(L300&lt;$D$5,"",$J$10+Q300)</x:f>
        <x:v>0</x:v>
      </x:c>
      <x:c r="S300" s="116" t="n">
        <x:f>IF($L300&lt;$D$5,"",IF($L300=$D$5,$J$10+$N300-IF($M300,IF(INT(($L300-$D$5)/7)&lt;$A$20,$B$20,$D$10),0),S299+$N300-IF($M300,IF(INT(($L300-$D$5)/7)&lt;$A$20,$B$20,$D$10),0)))</x:f>
        <x:v>0</x:v>
      </x:c>
      <x:c r="T300" s="116" t="n">
        <x:f>IF($L300&lt;$D$5,"",IF($L300=$D$5,$J$10+$N300-IF($M300,IF(INT(($L300-$D$5)/7)&lt;$A$21,$B$21,$D$10),0),T299+$N300-IF($M300,IF(INT(($L300-$D$5)/7)&lt;$A$21,$B$21,$D$10),0)))</x:f>
        <x:v>0</x:v>
      </x:c>
      <x:c r="U300" s="116" t="n">
        <x:f>IF($L300&lt;$D$5,"",IF($L300=$D$5,$J$10+$N300-IF($M300,IF(INT(($L300-$D$5)/7)&lt;$A$22,$B$22,$D$10),0),U299+$N300-IF($M300,IF(INT(($L300-$D$5)/7)&lt;$A$22,$B$22,$D$10),0)))</x:f>
        <x:v>0</x:v>
      </x:c>
      <x:c r="V300" s="116" t="n">
        <x:f>IF($L300&lt;$D$5,"",IF($L300=$D$5,$J$10+$N300-IF($M300,IF(INT(($L300-$D$5)/7)&lt;$A$23,$B$23,$D$10),0),V299+$N300-IF($M300,IF(INT(($L300-$D$5)/7)&lt;$A$23,$B$23,$D$10),0)))</x:f>
        <x:v>0</x:v>
      </x:c>
      <x:c r="W300" s="116" t="n">
        <x:f>IF($L300&lt;$D$5,"",IF($L300=$D$5,$J$10+$N300-IF($M300,IF(INT(($L300-$D$5)/7)&lt;$A$24,$B$24,$D$10),0),W299+$N300-IF($M300,IF(INT(($L300-$D$5)/7)&lt;$A$24,$B$24,$D$10),0)))</x:f>
        <x:v>0</x:v>
      </x:c>
      <x:c r="X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Y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Z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A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B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C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D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E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F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G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H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I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J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K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L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M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N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O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P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Q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R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S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T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U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V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W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X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Y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AZ300" s="116"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c r="BA300" s="117" t="n">
        <x:f>IF(OR(INDEX('1 Budget annuel'!$A$14:$A$43,COLUMN()-COLUMN($X$42)+1)&lt;&gt;"Oui",INDEX('1 Budget annuel'!$L$14:$L$43,COLUMN()-COLUMN($X$42)+1)="",AND(INDEX('1 Budget annuel'!$B$14:$B$43,COLUMN()-COLUMN($X$42)+1)="Sortie",INDEX('1 Budget annuel'!$M$14:$M$43,COLUMN()-COLUMN($X$42)+1)="Oui"),$L300&lt;INDEX('1 Budget annuel'!$L$14:$L$43,COLUMN()-COLUMN($X$42)+1),$L300&gt;$D$5+363),0,IF(OR(AND(INDEX('1 Budget annuel'!$E$14:$E$43,COLUMN()-COLUMN($X$42)+1)="Hebdomadaire",MOD($L300-INDEX('1 Budget annuel'!$L$14:$L$43,COLUMN()-COLUMN($X$42)+1),7)=0),AND(INDEX('1 Budget annuel'!$E$14:$E$43,COLUMN()-COLUMN($X$42)+1)="Toutes les 4 semaines",MOD($L300-INDEX('1 Budget annuel'!$L$14:$L$43,COLUMN()-COLUMN($X$42)+1),28)=0),AND(INDEX('1 Budget annuel'!$E$14:$E$43,COLUMN()-COLUMN($X$42)+1)="Mensuelle",DAY($L300)=MIN(DAY(INDEX('1 Budget annuel'!$L$14:$L$43,COLUMN()-COLUMN($X$42)+1)),DAY(EOMONTH($L300,0)))),AND(INDEX('1 Budget annuel'!$E$14:$E$43,COLUMN()-COLUMN($X$42)+1)="Trimestrielle",MOD((YEAR($L300)-YEAR(INDEX('1 Budget annuel'!$L$14:$L$43,COLUMN()-COLUMN($X$42)+1)))*12+MONTH($L300)-MONTH(INDEX('1 Budget annuel'!$L$14:$L$43,COLUMN()-COLUMN($X$42)+1)),3)=0,DAY($L300)=MIN(DAY(INDEX('1 Budget annuel'!$L$14:$L$43,COLUMN()-COLUMN($X$42)+1)),DAY(EOMONTH($L300,0)))),AND(INDEX('1 Budget annuel'!$E$14:$E$43,COLUMN()-COLUMN($X$42)+1)="Semestrielle",MOD((YEAR($L300)-YEAR(INDEX('1 Budget annuel'!$L$14:$L$43,COLUMN()-COLUMN($X$42)+1)))*12+MONTH($L300)-MONTH(INDEX('1 Budget annuel'!$L$14:$L$43,COLUMN()-COLUMN($X$42)+1)),6)=0,DAY($L300)=MIN(DAY(INDEX('1 Budget annuel'!$L$14:$L$43,COLUMN()-COLUMN($X$42)+1)),DAY(EOMONTH($L300,0)))),AND(INDEX('1 Budget annuel'!$E$14:$E$43,COLUMN()-COLUMN($X$42)+1)="Annuelle",MOD((YEAR($L300)-YEAR(INDEX('1 Budget annuel'!$L$14:$L$43,COLUMN()-COLUMN($X$42)+1)))*12+MONTH($L300)-MONTH(INDEX('1 Budget annuel'!$L$14:$L$43,COLUMN()-COLUMN($X$42)+1)),12)=0,DAY($L300)=MIN(DAY(INDEX('1 Budget annuel'!$L$14:$L$43,COLUMN()-COLUMN($X$42)+1)),DAY(EOMONTH($L300,0))))),IF(INDEX('1 Budget annuel'!$B$14:$B$43,COLUMN()-COLUMN($X$42)+1)="Entrée",INDEX('1 Budget annuel'!$I$14:$I$43,COLUMN()-COLUMN($X$42)+1),-INDEX('1 Budget annuel'!$I$14:$I$43,COLUMN()-COLUMN($X$42)+1)),0))</x:f>
        <x:v>0</x:v>
      </x:c>
    </x:row>
    <x:row r="301">
      <x:c r="L301" s="114" t="n">
        <x:f>L300+1</x:f>
        <x:v>46495</x:v>
      </x:c>
      <x:c r="M301" s="115" t="b">
        <x:f>AND(L301&gt;=$D$5,L301&lt;=$D$5+363,MOD(L301-$D$5,7)=0)</x:f>
        <x:v>0</x:v>
      </x:c>
      <x:c r="N301" s="116" t="n">
        <x:f>SUM(X301:BA301)</x:f>
        <x:v>0</x:v>
      </x:c>
      <x:c r="O301" s="116" t="n">
        <x:f>IF(M301,$D$10,0)</x:f>
        <x:v>0</x:v>
      </x:c>
      <x:c r="P301" s="116" t="n">
        <x:f>N301-O301</x:f>
        <x:v>0</x:v>
      </x:c>
      <x:c r="Q301" s="116" t="n">
        <x:f>IF(L301&lt;$D$5,0,IF(L301=$D$5,P301,Q300+P301))</x:f>
        <x:v>0</x:v>
      </x:c>
      <x:c r="R301" s="116" t="n">
        <x:f>IF(L301&lt;$D$5,"",$J$10+Q301)</x:f>
        <x:v>0</x:v>
      </x:c>
      <x:c r="S301" s="116" t="n">
        <x:f>IF($L301&lt;$D$5,"",IF($L301=$D$5,$J$10+$N301-IF($M301,IF(INT(($L301-$D$5)/7)&lt;$A$20,$B$20,$D$10),0),S300+$N301-IF($M301,IF(INT(($L301-$D$5)/7)&lt;$A$20,$B$20,$D$10),0)))</x:f>
        <x:v>0</x:v>
      </x:c>
      <x:c r="T301" s="116" t="n">
        <x:f>IF($L301&lt;$D$5,"",IF($L301=$D$5,$J$10+$N301-IF($M301,IF(INT(($L301-$D$5)/7)&lt;$A$21,$B$21,$D$10),0),T300+$N301-IF($M301,IF(INT(($L301-$D$5)/7)&lt;$A$21,$B$21,$D$10),0)))</x:f>
        <x:v>0</x:v>
      </x:c>
      <x:c r="U301" s="116" t="n">
        <x:f>IF($L301&lt;$D$5,"",IF($L301=$D$5,$J$10+$N301-IF($M301,IF(INT(($L301-$D$5)/7)&lt;$A$22,$B$22,$D$10),0),U300+$N301-IF($M301,IF(INT(($L301-$D$5)/7)&lt;$A$22,$B$22,$D$10),0)))</x:f>
        <x:v>0</x:v>
      </x:c>
      <x:c r="V301" s="116" t="n">
        <x:f>IF($L301&lt;$D$5,"",IF($L301=$D$5,$J$10+$N301-IF($M301,IF(INT(($L301-$D$5)/7)&lt;$A$23,$B$23,$D$10),0),V300+$N301-IF($M301,IF(INT(($L301-$D$5)/7)&lt;$A$23,$B$23,$D$10),0)))</x:f>
        <x:v>0</x:v>
      </x:c>
      <x:c r="W301" s="116" t="n">
        <x:f>IF($L301&lt;$D$5,"",IF($L301=$D$5,$J$10+$N301-IF($M301,IF(INT(($L301-$D$5)/7)&lt;$A$24,$B$24,$D$10),0),W300+$N301-IF($M301,IF(INT(($L301-$D$5)/7)&lt;$A$24,$B$24,$D$10),0)))</x:f>
        <x:v>0</x:v>
      </x:c>
      <x:c r="X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Y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Z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A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B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C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D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E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F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G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H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I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J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K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L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M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N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O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P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Q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R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S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T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U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V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W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X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Y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AZ301" s="116"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c r="BA301" s="117" t="n">
        <x:f>IF(OR(INDEX('1 Budget annuel'!$A$14:$A$43,COLUMN()-COLUMN($X$42)+1)&lt;&gt;"Oui",INDEX('1 Budget annuel'!$L$14:$L$43,COLUMN()-COLUMN($X$42)+1)="",AND(INDEX('1 Budget annuel'!$B$14:$B$43,COLUMN()-COLUMN($X$42)+1)="Sortie",INDEX('1 Budget annuel'!$M$14:$M$43,COLUMN()-COLUMN($X$42)+1)="Oui"),$L301&lt;INDEX('1 Budget annuel'!$L$14:$L$43,COLUMN()-COLUMN($X$42)+1),$L301&gt;$D$5+363),0,IF(OR(AND(INDEX('1 Budget annuel'!$E$14:$E$43,COLUMN()-COLUMN($X$42)+1)="Hebdomadaire",MOD($L301-INDEX('1 Budget annuel'!$L$14:$L$43,COLUMN()-COLUMN($X$42)+1),7)=0),AND(INDEX('1 Budget annuel'!$E$14:$E$43,COLUMN()-COLUMN($X$42)+1)="Toutes les 4 semaines",MOD($L301-INDEX('1 Budget annuel'!$L$14:$L$43,COLUMN()-COLUMN($X$42)+1),28)=0),AND(INDEX('1 Budget annuel'!$E$14:$E$43,COLUMN()-COLUMN($X$42)+1)="Mensuelle",DAY($L301)=MIN(DAY(INDEX('1 Budget annuel'!$L$14:$L$43,COLUMN()-COLUMN($X$42)+1)),DAY(EOMONTH($L301,0)))),AND(INDEX('1 Budget annuel'!$E$14:$E$43,COLUMN()-COLUMN($X$42)+1)="Trimestrielle",MOD((YEAR($L301)-YEAR(INDEX('1 Budget annuel'!$L$14:$L$43,COLUMN()-COLUMN($X$42)+1)))*12+MONTH($L301)-MONTH(INDEX('1 Budget annuel'!$L$14:$L$43,COLUMN()-COLUMN($X$42)+1)),3)=0,DAY($L301)=MIN(DAY(INDEX('1 Budget annuel'!$L$14:$L$43,COLUMN()-COLUMN($X$42)+1)),DAY(EOMONTH($L301,0)))),AND(INDEX('1 Budget annuel'!$E$14:$E$43,COLUMN()-COLUMN($X$42)+1)="Semestrielle",MOD((YEAR($L301)-YEAR(INDEX('1 Budget annuel'!$L$14:$L$43,COLUMN()-COLUMN($X$42)+1)))*12+MONTH($L301)-MONTH(INDEX('1 Budget annuel'!$L$14:$L$43,COLUMN()-COLUMN($X$42)+1)),6)=0,DAY($L301)=MIN(DAY(INDEX('1 Budget annuel'!$L$14:$L$43,COLUMN()-COLUMN($X$42)+1)),DAY(EOMONTH($L301,0)))),AND(INDEX('1 Budget annuel'!$E$14:$E$43,COLUMN()-COLUMN($X$42)+1)="Annuelle",MOD((YEAR($L301)-YEAR(INDEX('1 Budget annuel'!$L$14:$L$43,COLUMN()-COLUMN($X$42)+1)))*12+MONTH($L301)-MONTH(INDEX('1 Budget annuel'!$L$14:$L$43,COLUMN()-COLUMN($X$42)+1)),12)=0,DAY($L301)=MIN(DAY(INDEX('1 Budget annuel'!$L$14:$L$43,COLUMN()-COLUMN($X$42)+1)),DAY(EOMONTH($L301,0))))),IF(INDEX('1 Budget annuel'!$B$14:$B$43,COLUMN()-COLUMN($X$42)+1)="Entrée",INDEX('1 Budget annuel'!$I$14:$I$43,COLUMN()-COLUMN($X$42)+1),-INDEX('1 Budget annuel'!$I$14:$I$43,COLUMN()-COLUMN($X$42)+1)),0))</x:f>
        <x:v>0</x:v>
      </x:c>
    </x:row>
    <x:row r="302">
      <x:c r="L302" s="114" t="n">
        <x:f>L301+1</x:f>
        <x:v>46496</x:v>
      </x:c>
      <x:c r="M302" s="115" t="b">
        <x:f>AND(L302&gt;=$D$5,L302&lt;=$D$5+363,MOD(L302-$D$5,7)=0)</x:f>
        <x:v>0</x:v>
      </x:c>
      <x:c r="N302" s="116" t="n">
        <x:f>SUM(X302:BA302)</x:f>
        <x:v>0</x:v>
      </x:c>
      <x:c r="O302" s="116" t="n">
        <x:f>IF(M302,$D$10,0)</x:f>
        <x:v>0</x:v>
      </x:c>
      <x:c r="P302" s="116" t="n">
        <x:f>N302-O302</x:f>
        <x:v>0</x:v>
      </x:c>
      <x:c r="Q302" s="116" t="n">
        <x:f>IF(L302&lt;$D$5,0,IF(L302=$D$5,P302,Q301+P302))</x:f>
        <x:v>0</x:v>
      </x:c>
      <x:c r="R302" s="116" t="n">
        <x:f>IF(L302&lt;$D$5,"",$J$10+Q302)</x:f>
        <x:v>0</x:v>
      </x:c>
      <x:c r="S302" s="116" t="n">
        <x:f>IF($L302&lt;$D$5,"",IF($L302=$D$5,$J$10+$N302-IF($M302,IF(INT(($L302-$D$5)/7)&lt;$A$20,$B$20,$D$10),0),S301+$N302-IF($M302,IF(INT(($L302-$D$5)/7)&lt;$A$20,$B$20,$D$10),0)))</x:f>
        <x:v>0</x:v>
      </x:c>
      <x:c r="T302" s="116" t="n">
        <x:f>IF($L302&lt;$D$5,"",IF($L302=$D$5,$J$10+$N302-IF($M302,IF(INT(($L302-$D$5)/7)&lt;$A$21,$B$21,$D$10),0),T301+$N302-IF($M302,IF(INT(($L302-$D$5)/7)&lt;$A$21,$B$21,$D$10),0)))</x:f>
        <x:v>0</x:v>
      </x:c>
      <x:c r="U302" s="116" t="n">
        <x:f>IF($L302&lt;$D$5,"",IF($L302=$D$5,$J$10+$N302-IF($M302,IF(INT(($L302-$D$5)/7)&lt;$A$22,$B$22,$D$10),0),U301+$N302-IF($M302,IF(INT(($L302-$D$5)/7)&lt;$A$22,$B$22,$D$10),0)))</x:f>
        <x:v>0</x:v>
      </x:c>
      <x:c r="V302" s="116" t="n">
        <x:f>IF($L302&lt;$D$5,"",IF($L302=$D$5,$J$10+$N302-IF($M302,IF(INT(($L302-$D$5)/7)&lt;$A$23,$B$23,$D$10),0),V301+$N302-IF($M302,IF(INT(($L302-$D$5)/7)&lt;$A$23,$B$23,$D$10),0)))</x:f>
        <x:v>0</x:v>
      </x:c>
      <x:c r="W302" s="116" t="n">
        <x:f>IF($L302&lt;$D$5,"",IF($L302=$D$5,$J$10+$N302-IF($M302,IF(INT(($L302-$D$5)/7)&lt;$A$24,$B$24,$D$10),0),W301+$N302-IF($M302,IF(INT(($L302-$D$5)/7)&lt;$A$24,$B$24,$D$10),0)))</x:f>
        <x:v>0</x:v>
      </x:c>
      <x:c r="X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Y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Z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A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B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C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D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E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F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G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H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I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J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K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L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M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N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O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P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Q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R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S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T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U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V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W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X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Y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AZ302" s="116"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c r="BA302" s="117" t="n">
        <x:f>IF(OR(INDEX('1 Budget annuel'!$A$14:$A$43,COLUMN()-COLUMN($X$42)+1)&lt;&gt;"Oui",INDEX('1 Budget annuel'!$L$14:$L$43,COLUMN()-COLUMN($X$42)+1)="",AND(INDEX('1 Budget annuel'!$B$14:$B$43,COLUMN()-COLUMN($X$42)+1)="Sortie",INDEX('1 Budget annuel'!$M$14:$M$43,COLUMN()-COLUMN($X$42)+1)="Oui"),$L302&lt;INDEX('1 Budget annuel'!$L$14:$L$43,COLUMN()-COLUMN($X$42)+1),$L302&gt;$D$5+363),0,IF(OR(AND(INDEX('1 Budget annuel'!$E$14:$E$43,COLUMN()-COLUMN($X$42)+1)="Hebdomadaire",MOD($L302-INDEX('1 Budget annuel'!$L$14:$L$43,COLUMN()-COLUMN($X$42)+1),7)=0),AND(INDEX('1 Budget annuel'!$E$14:$E$43,COLUMN()-COLUMN($X$42)+1)="Toutes les 4 semaines",MOD($L302-INDEX('1 Budget annuel'!$L$14:$L$43,COLUMN()-COLUMN($X$42)+1),28)=0),AND(INDEX('1 Budget annuel'!$E$14:$E$43,COLUMN()-COLUMN($X$42)+1)="Mensuelle",DAY($L302)=MIN(DAY(INDEX('1 Budget annuel'!$L$14:$L$43,COLUMN()-COLUMN($X$42)+1)),DAY(EOMONTH($L302,0)))),AND(INDEX('1 Budget annuel'!$E$14:$E$43,COLUMN()-COLUMN($X$42)+1)="Trimestrielle",MOD((YEAR($L302)-YEAR(INDEX('1 Budget annuel'!$L$14:$L$43,COLUMN()-COLUMN($X$42)+1)))*12+MONTH($L302)-MONTH(INDEX('1 Budget annuel'!$L$14:$L$43,COLUMN()-COLUMN($X$42)+1)),3)=0,DAY($L302)=MIN(DAY(INDEX('1 Budget annuel'!$L$14:$L$43,COLUMN()-COLUMN($X$42)+1)),DAY(EOMONTH($L302,0)))),AND(INDEX('1 Budget annuel'!$E$14:$E$43,COLUMN()-COLUMN($X$42)+1)="Semestrielle",MOD((YEAR($L302)-YEAR(INDEX('1 Budget annuel'!$L$14:$L$43,COLUMN()-COLUMN($X$42)+1)))*12+MONTH($L302)-MONTH(INDEX('1 Budget annuel'!$L$14:$L$43,COLUMN()-COLUMN($X$42)+1)),6)=0,DAY($L302)=MIN(DAY(INDEX('1 Budget annuel'!$L$14:$L$43,COLUMN()-COLUMN($X$42)+1)),DAY(EOMONTH($L302,0)))),AND(INDEX('1 Budget annuel'!$E$14:$E$43,COLUMN()-COLUMN($X$42)+1)="Annuelle",MOD((YEAR($L302)-YEAR(INDEX('1 Budget annuel'!$L$14:$L$43,COLUMN()-COLUMN($X$42)+1)))*12+MONTH($L302)-MONTH(INDEX('1 Budget annuel'!$L$14:$L$43,COLUMN()-COLUMN($X$42)+1)),12)=0,DAY($L302)=MIN(DAY(INDEX('1 Budget annuel'!$L$14:$L$43,COLUMN()-COLUMN($X$42)+1)),DAY(EOMONTH($L302,0))))),IF(INDEX('1 Budget annuel'!$B$14:$B$43,COLUMN()-COLUMN($X$42)+1)="Entrée",INDEX('1 Budget annuel'!$I$14:$I$43,COLUMN()-COLUMN($X$42)+1),-INDEX('1 Budget annuel'!$I$14:$I$43,COLUMN()-COLUMN($X$42)+1)),0))</x:f>
        <x:v>0</x:v>
      </x:c>
    </x:row>
    <x:row r="303">
      <x:c r="L303" s="114" t="n">
        <x:f>L302+1</x:f>
        <x:v>46497</x:v>
      </x:c>
      <x:c r="M303" s="115" t="b">
        <x:f>AND(L303&gt;=$D$5,L303&lt;=$D$5+363,MOD(L303-$D$5,7)=0)</x:f>
        <x:v>0</x:v>
      </x:c>
      <x:c r="N303" s="116" t="n">
        <x:f>SUM(X303:BA303)</x:f>
        <x:v>0</x:v>
      </x:c>
      <x:c r="O303" s="116" t="n">
        <x:f>IF(M303,$D$10,0)</x:f>
        <x:v>0</x:v>
      </x:c>
      <x:c r="P303" s="116" t="n">
        <x:f>N303-O303</x:f>
        <x:v>0</x:v>
      </x:c>
      <x:c r="Q303" s="116" t="n">
        <x:f>IF(L303&lt;$D$5,0,IF(L303=$D$5,P303,Q302+P303))</x:f>
        <x:v>0</x:v>
      </x:c>
      <x:c r="R303" s="116" t="n">
        <x:f>IF(L303&lt;$D$5,"",$J$10+Q303)</x:f>
        <x:v>0</x:v>
      </x:c>
      <x:c r="S303" s="116" t="n">
        <x:f>IF($L303&lt;$D$5,"",IF($L303=$D$5,$J$10+$N303-IF($M303,IF(INT(($L303-$D$5)/7)&lt;$A$20,$B$20,$D$10),0),S302+$N303-IF($M303,IF(INT(($L303-$D$5)/7)&lt;$A$20,$B$20,$D$10),0)))</x:f>
        <x:v>0</x:v>
      </x:c>
      <x:c r="T303" s="116" t="n">
        <x:f>IF($L303&lt;$D$5,"",IF($L303=$D$5,$J$10+$N303-IF($M303,IF(INT(($L303-$D$5)/7)&lt;$A$21,$B$21,$D$10),0),T302+$N303-IF($M303,IF(INT(($L303-$D$5)/7)&lt;$A$21,$B$21,$D$10),0)))</x:f>
        <x:v>0</x:v>
      </x:c>
      <x:c r="U303" s="116" t="n">
        <x:f>IF($L303&lt;$D$5,"",IF($L303=$D$5,$J$10+$N303-IF($M303,IF(INT(($L303-$D$5)/7)&lt;$A$22,$B$22,$D$10),0),U302+$N303-IF($M303,IF(INT(($L303-$D$5)/7)&lt;$A$22,$B$22,$D$10),0)))</x:f>
        <x:v>0</x:v>
      </x:c>
      <x:c r="V303" s="116" t="n">
        <x:f>IF($L303&lt;$D$5,"",IF($L303=$D$5,$J$10+$N303-IF($M303,IF(INT(($L303-$D$5)/7)&lt;$A$23,$B$23,$D$10),0),V302+$N303-IF($M303,IF(INT(($L303-$D$5)/7)&lt;$A$23,$B$23,$D$10),0)))</x:f>
        <x:v>0</x:v>
      </x:c>
      <x:c r="W303" s="116" t="n">
        <x:f>IF($L303&lt;$D$5,"",IF($L303=$D$5,$J$10+$N303-IF($M303,IF(INT(($L303-$D$5)/7)&lt;$A$24,$B$24,$D$10),0),W302+$N303-IF($M303,IF(INT(($L303-$D$5)/7)&lt;$A$24,$B$24,$D$10),0)))</x:f>
        <x:v>0</x:v>
      </x:c>
      <x:c r="X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Y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Z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A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B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C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D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E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F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G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H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I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J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K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L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M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N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O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P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Q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R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S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T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U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V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W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X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Y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AZ303" s="116"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c r="BA303" s="117" t="n">
        <x:f>IF(OR(INDEX('1 Budget annuel'!$A$14:$A$43,COLUMN()-COLUMN($X$42)+1)&lt;&gt;"Oui",INDEX('1 Budget annuel'!$L$14:$L$43,COLUMN()-COLUMN($X$42)+1)="",AND(INDEX('1 Budget annuel'!$B$14:$B$43,COLUMN()-COLUMN($X$42)+1)="Sortie",INDEX('1 Budget annuel'!$M$14:$M$43,COLUMN()-COLUMN($X$42)+1)="Oui"),$L303&lt;INDEX('1 Budget annuel'!$L$14:$L$43,COLUMN()-COLUMN($X$42)+1),$L303&gt;$D$5+363),0,IF(OR(AND(INDEX('1 Budget annuel'!$E$14:$E$43,COLUMN()-COLUMN($X$42)+1)="Hebdomadaire",MOD($L303-INDEX('1 Budget annuel'!$L$14:$L$43,COLUMN()-COLUMN($X$42)+1),7)=0),AND(INDEX('1 Budget annuel'!$E$14:$E$43,COLUMN()-COLUMN($X$42)+1)="Toutes les 4 semaines",MOD($L303-INDEX('1 Budget annuel'!$L$14:$L$43,COLUMN()-COLUMN($X$42)+1),28)=0),AND(INDEX('1 Budget annuel'!$E$14:$E$43,COLUMN()-COLUMN($X$42)+1)="Mensuelle",DAY($L303)=MIN(DAY(INDEX('1 Budget annuel'!$L$14:$L$43,COLUMN()-COLUMN($X$42)+1)),DAY(EOMONTH($L303,0)))),AND(INDEX('1 Budget annuel'!$E$14:$E$43,COLUMN()-COLUMN($X$42)+1)="Trimestrielle",MOD((YEAR($L303)-YEAR(INDEX('1 Budget annuel'!$L$14:$L$43,COLUMN()-COLUMN($X$42)+1)))*12+MONTH($L303)-MONTH(INDEX('1 Budget annuel'!$L$14:$L$43,COLUMN()-COLUMN($X$42)+1)),3)=0,DAY($L303)=MIN(DAY(INDEX('1 Budget annuel'!$L$14:$L$43,COLUMN()-COLUMN($X$42)+1)),DAY(EOMONTH($L303,0)))),AND(INDEX('1 Budget annuel'!$E$14:$E$43,COLUMN()-COLUMN($X$42)+1)="Semestrielle",MOD((YEAR($L303)-YEAR(INDEX('1 Budget annuel'!$L$14:$L$43,COLUMN()-COLUMN($X$42)+1)))*12+MONTH($L303)-MONTH(INDEX('1 Budget annuel'!$L$14:$L$43,COLUMN()-COLUMN($X$42)+1)),6)=0,DAY($L303)=MIN(DAY(INDEX('1 Budget annuel'!$L$14:$L$43,COLUMN()-COLUMN($X$42)+1)),DAY(EOMONTH($L303,0)))),AND(INDEX('1 Budget annuel'!$E$14:$E$43,COLUMN()-COLUMN($X$42)+1)="Annuelle",MOD((YEAR($L303)-YEAR(INDEX('1 Budget annuel'!$L$14:$L$43,COLUMN()-COLUMN($X$42)+1)))*12+MONTH($L303)-MONTH(INDEX('1 Budget annuel'!$L$14:$L$43,COLUMN()-COLUMN($X$42)+1)),12)=0,DAY($L303)=MIN(DAY(INDEX('1 Budget annuel'!$L$14:$L$43,COLUMN()-COLUMN($X$42)+1)),DAY(EOMONTH($L303,0))))),IF(INDEX('1 Budget annuel'!$B$14:$B$43,COLUMN()-COLUMN($X$42)+1)="Entrée",INDEX('1 Budget annuel'!$I$14:$I$43,COLUMN()-COLUMN($X$42)+1),-INDEX('1 Budget annuel'!$I$14:$I$43,COLUMN()-COLUMN($X$42)+1)),0))</x:f>
        <x:v>0</x:v>
      </x:c>
    </x:row>
    <x:row r="304">
      <x:c r="L304" s="114" t="n">
        <x:f>L303+1</x:f>
        <x:v>46498</x:v>
      </x:c>
      <x:c r="M304" s="115" t="b">
        <x:f>AND(L304&gt;=$D$5,L304&lt;=$D$5+363,MOD(L304-$D$5,7)=0)</x:f>
        <x:v>0</x:v>
      </x:c>
      <x:c r="N304" s="116" t="n">
        <x:f>SUM(X304:BA304)</x:f>
        <x:v>0</x:v>
      </x:c>
      <x:c r="O304" s="116" t="n">
        <x:f>IF(M304,$D$10,0)</x:f>
        <x:v>0</x:v>
      </x:c>
      <x:c r="P304" s="116" t="n">
        <x:f>N304-O304</x:f>
        <x:v>0</x:v>
      </x:c>
      <x:c r="Q304" s="116" t="n">
        <x:f>IF(L304&lt;$D$5,0,IF(L304=$D$5,P304,Q303+P304))</x:f>
        <x:v>0</x:v>
      </x:c>
      <x:c r="R304" s="116" t="n">
        <x:f>IF(L304&lt;$D$5,"",$J$10+Q304)</x:f>
        <x:v>0</x:v>
      </x:c>
      <x:c r="S304" s="116" t="n">
        <x:f>IF($L304&lt;$D$5,"",IF($L304=$D$5,$J$10+$N304-IF($M304,IF(INT(($L304-$D$5)/7)&lt;$A$20,$B$20,$D$10),0),S303+$N304-IF($M304,IF(INT(($L304-$D$5)/7)&lt;$A$20,$B$20,$D$10),0)))</x:f>
        <x:v>0</x:v>
      </x:c>
      <x:c r="T304" s="116" t="n">
        <x:f>IF($L304&lt;$D$5,"",IF($L304=$D$5,$J$10+$N304-IF($M304,IF(INT(($L304-$D$5)/7)&lt;$A$21,$B$21,$D$10),0),T303+$N304-IF($M304,IF(INT(($L304-$D$5)/7)&lt;$A$21,$B$21,$D$10),0)))</x:f>
        <x:v>0</x:v>
      </x:c>
      <x:c r="U304" s="116" t="n">
        <x:f>IF($L304&lt;$D$5,"",IF($L304=$D$5,$J$10+$N304-IF($M304,IF(INT(($L304-$D$5)/7)&lt;$A$22,$B$22,$D$10),0),U303+$N304-IF($M304,IF(INT(($L304-$D$5)/7)&lt;$A$22,$B$22,$D$10),0)))</x:f>
        <x:v>0</x:v>
      </x:c>
      <x:c r="V304" s="116" t="n">
        <x:f>IF($L304&lt;$D$5,"",IF($L304=$D$5,$J$10+$N304-IF($M304,IF(INT(($L304-$D$5)/7)&lt;$A$23,$B$23,$D$10),0),V303+$N304-IF($M304,IF(INT(($L304-$D$5)/7)&lt;$A$23,$B$23,$D$10),0)))</x:f>
        <x:v>0</x:v>
      </x:c>
      <x:c r="W304" s="116" t="n">
        <x:f>IF($L304&lt;$D$5,"",IF($L304=$D$5,$J$10+$N304-IF($M304,IF(INT(($L304-$D$5)/7)&lt;$A$24,$B$24,$D$10),0),W303+$N304-IF($M304,IF(INT(($L304-$D$5)/7)&lt;$A$24,$B$24,$D$10),0)))</x:f>
        <x:v>0</x:v>
      </x:c>
      <x:c r="X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Y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Z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A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B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C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D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E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F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G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H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I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J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K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L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M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N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O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P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Q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R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S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T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U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V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W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X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Y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AZ304" s="116"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c r="BA304" s="117" t="n">
        <x:f>IF(OR(INDEX('1 Budget annuel'!$A$14:$A$43,COLUMN()-COLUMN($X$42)+1)&lt;&gt;"Oui",INDEX('1 Budget annuel'!$L$14:$L$43,COLUMN()-COLUMN($X$42)+1)="",AND(INDEX('1 Budget annuel'!$B$14:$B$43,COLUMN()-COLUMN($X$42)+1)="Sortie",INDEX('1 Budget annuel'!$M$14:$M$43,COLUMN()-COLUMN($X$42)+1)="Oui"),$L304&lt;INDEX('1 Budget annuel'!$L$14:$L$43,COLUMN()-COLUMN($X$42)+1),$L304&gt;$D$5+363),0,IF(OR(AND(INDEX('1 Budget annuel'!$E$14:$E$43,COLUMN()-COLUMN($X$42)+1)="Hebdomadaire",MOD($L304-INDEX('1 Budget annuel'!$L$14:$L$43,COLUMN()-COLUMN($X$42)+1),7)=0),AND(INDEX('1 Budget annuel'!$E$14:$E$43,COLUMN()-COLUMN($X$42)+1)="Toutes les 4 semaines",MOD($L304-INDEX('1 Budget annuel'!$L$14:$L$43,COLUMN()-COLUMN($X$42)+1),28)=0),AND(INDEX('1 Budget annuel'!$E$14:$E$43,COLUMN()-COLUMN($X$42)+1)="Mensuelle",DAY($L304)=MIN(DAY(INDEX('1 Budget annuel'!$L$14:$L$43,COLUMN()-COLUMN($X$42)+1)),DAY(EOMONTH($L304,0)))),AND(INDEX('1 Budget annuel'!$E$14:$E$43,COLUMN()-COLUMN($X$42)+1)="Trimestrielle",MOD((YEAR($L304)-YEAR(INDEX('1 Budget annuel'!$L$14:$L$43,COLUMN()-COLUMN($X$42)+1)))*12+MONTH($L304)-MONTH(INDEX('1 Budget annuel'!$L$14:$L$43,COLUMN()-COLUMN($X$42)+1)),3)=0,DAY($L304)=MIN(DAY(INDEX('1 Budget annuel'!$L$14:$L$43,COLUMN()-COLUMN($X$42)+1)),DAY(EOMONTH($L304,0)))),AND(INDEX('1 Budget annuel'!$E$14:$E$43,COLUMN()-COLUMN($X$42)+1)="Semestrielle",MOD((YEAR($L304)-YEAR(INDEX('1 Budget annuel'!$L$14:$L$43,COLUMN()-COLUMN($X$42)+1)))*12+MONTH($L304)-MONTH(INDEX('1 Budget annuel'!$L$14:$L$43,COLUMN()-COLUMN($X$42)+1)),6)=0,DAY($L304)=MIN(DAY(INDEX('1 Budget annuel'!$L$14:$L$43,COLUMN()-COLUMN($X$42)+1)),DAY(EOMONTH($L304,0)))),AND(INDEX('1 Budget annuel'!$E$14:$E$43,COLUMN()-COLUMN($X$42)+1)="Annuelle",MOD((YEAR($L304)-YEAR(INDEX('1 Budget annuel'!$L$14:$L$43,COLUMN()-COLUMN($X$42)+1)))*12+MONTH($L304)-MONTH(INDEX('1 Budget annuel'!$L$14:$L$43,COLUMN()-COLUMN($X$42)+1)),12)=0,DAY($L304)=MIN(DAY(INDEX('1 Budget annuel'!$L$14:$L$43,COLUMN()-COLUMN($X$42)+1)),DAY(EOMONTH($L304,0))))),IF(INDEX('1 Budget annuel'!$B$14:$B$43,COLUMN()-COLUMN($X$42)+1)="Entrée",INDEX('1 Budget annuel'!$I$14:$I$43,COLUMN()-COLUMN($X$42)+1),-INDEX('1 Budget annuel'!$I$14:$I$43,COLUMN()-COLUMN($X$42)+1)),0))</x:f>
        <x:v>0</x:v>
      </x:c>
    </x:row>
    <x:row r="305">
      <x:c r="L305" s="114" t="n">
        <x:f>L304+1</x:f>
        <x:v>46499</x:v>
      </x:c>
      <x:c r="M305" s="115" t="b">
        <x:f>AND(L305&gt;=$D$5,L305&lt;=$D$5+363,MOD(L305-$D$5,7)=0)</x:f>
        <x:v>0</x:v>
      </x:c>
      <x:c r="N305" s="116" t="n">
        <x:f>SUM(X305:BA305)</x:f>
        <x:v>0</x:v>
      </x:c>
      <x:c r="O305" s="116" t="n">
        <x:f>IF(M305,$D$10,0)</x:f>
        <x:v>0</x:v>
      </x:c>
      <x:c r="P305" s="116" t="n">
        <x:f>N305-O305</x:f>
        <x:v>0</x:v>
      </x:c>
      <x:c r="Q305" s="116" t="n">
        <x:f>IF(L305&lt;$D$5,0,IF(L305=$D$5,P305,Q304+P305))</x:f>
        <x:v>0</x:v>
      </x:c>
      <x:c r="R305" s="116" t="n">
        <x:f>IF(L305&lt;$D$5,"",$J$10+Q305)</x:f>
        <x:v>0</x:v>
      </x:c>
      <x:c r="S305" s="116" t="n">
        <x:f>IF($L305&lt;$D$5,"",IF($L305=$D$5,$J$10+$N305-IF($M305,IF(INT(($L305-$D$5)/7)&lt;$A$20,$B$20,$D$10),0),S304+$N305-IF($M305,IF(INT(($L305-$D$5)/7)&lt;$A$20,$B$20,$D$10),0)))</x:f>
        <x:v>0</x:v>
      </x:c>
      <x:c r="T305" s="116" t="n">
        <x:f>IF($L305&lt;$D$5,"",IF($L305=$D$5,$J$10+$N305-IF($M305,IF(INT(($L305-$D$5)/7)&lt;$A$21,$B$21,$D$10),0),T304+$N305-IF($M305,IF(INT(($L305-$D$5)/7)&lt;$A$21,$B$21,$D$10),0)))</x:f>
        <x:v>0</x:v>
      </x:c>
      <x:c r="U305" s="116" t="n">
        <x:f>IF($L305&lt;$D$5,"",IF($L305=$D$5,$J$10+$N305-IF($M305,IF(INT(($L305-$D$5)/7)&lt;$A$22,$B$22,$D$10),0),U304+$N305-IF($M305,IF(INT(($L305-$D$5)/7)&lt;$A$22,$B$22,$D$10),0)))</x:f>
        <x:v>0</x:v>
      </x:c>
      <x:c r="V305" s="116" t="n">
        <x:f>IF($L305&lt;$D$5,"",IF($L305=$D$5,$J$10+$N305-IF($M305,IF(INT(($L305-$D$5)/7)&lt;$A$23,$B$23,$D$10),0),V304+$N305-IF($M305,IF(INT(($L305-$D$5)/7)&lt;$A$23,$B$23,$D$10),0)))</x:f>
        <x:v>0</x:v>
      </x:c>
      <x:c r="W305" s="116" t="n">
        <x:f>IF($L305&lt;$D$5,"",IF($L305=$D$5,$J$10+$N305-IF($M305,IF(INT(($L305-$D$5)/7)&lt;$A$24,$B$24,$D$10),0),W304+$N305-IF($M305,IF(INT(($L305-$D$5)/7)&lt;$A$24,$B$24,$D$10),0)))</x:f>
        <x:v>0</x:v>
      </x:c>
      <x:c r="X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Y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Z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A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B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C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D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E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F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G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H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I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J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K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L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M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N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O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P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Q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R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S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T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U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V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W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X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Y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AZ305" s="116"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c r="BA305" s="117" t="n">
        <x:f>IF(OR(INDEX('1 Budget annuel'!$A$14:$A$43,COLUMN()-COLUMN($X$42)+1)&lt;&gt;"Oui",INDEX('1 Budget annuel'!$L$14:$L$43,COLUMN()-COLUMN($X$42)+1)="",AND(INDEX('1 Budget annuel'!$B$14:$B$43,COLUMN()-COLUMN($X$42)+1)="Sortie",INDEX('1 Budget annuel'!$M$14:$M$43,COLUMN()-COLUMN($X$42)+1)="Oui"),$L305&lt;INDEX('1 Budget annuel'!$L$14:$L$43,COLUMN()-COLUMN($X$42)+1),$L305&gt;$D$5+363),0,IF(OR(AND(INDEX('1 Budget annuel'!$E$14:$E$43,COLUMN()-COLUMN($X$42)+1)="Hebdomadaire",MOD($L305-INDEX('1 Budget annuel'!$L$14:$L$43,COLUMN()-COLUMN($X$42)+1),7)=0),AND(INDEX('1 Budget annuel'!$E$14:$E$43,COLUMN()-COLUMN($X$42)+1)="Toutes les 4 semaines",MOD($L305-INDEX('1 Budget annuel'!$L$14:$L$43,COLUMN()-COLUMN($X$42)+1),28)=0),AND(INDEX('1 Budget annuel'!$E$14:$E$43,COLUMN()-COLUMN($X$42)+1)="Mensuelle",DAY($L305)=MIN(DAY(INDEX('1 Budget annuel'!$L$14:$L$43,COLUMN()-COLUMN($X$42)+1)),DAY(EOMONTH($L305,0)))),AND(INDEX('1 Budget annuel'!$E$14:$E$43,COLUMN()-COLUMN($X$42)+1)="Trimestrielle",MOD((YEAR($L305)-YEAR(INDEX('1 Budget annuel'!$L$14:$L$43,COLUMN()-COLUMN($X$42)+1)))*12+MONTH($L305)-MONTH(INDEX('1 Budget annuel'!$L$14:$L$43,COLUMN()-COLUMN($X$42)+1)),3)=0,DAY($L305)=MIN(DAY(INDEX('1 Budget annuel'!$L$14:$L$43,COLUMN()-COLUMN($X$42)+1)),DAY(EOMONTH($L305,0)))),AND(INDEX('1 Budget annuel'!$E$14:$E$43,COLUMN()-COLUMN($X$42)+1)="Semestrielle",MOD((YEAR($L305)-YEAR(INDEX('1 Budget annuel'!$L$14:$L$43,COLUMN()-COLUMN($X$42)+1)))*12+MONTH($L305)-MONTH(INDEX('1 Budget annuel'!$L$14:$L$43,COLUMN()-COLUMN($X$42)+1)),6)=0,DAY($L305)=MIN(DAY(INDEX('1 Budget annuel'!$L$14:$L$43,COLUMN()-COLUMN($X$42)+1)),DAY(EOMONTH($L305,0)))),AND(INDEX('1 Budget annuel'!$E$14:$E$43,COLUMN()-COLUMN($X$42)+1)="Annuelle",MOD((YEAR($L305)-YEAR(INDEX('1 Budget annuel'!$L$14:$L$43,COLUMN()-COLUMN($X$42)+1)))*12+MONTH($L305)-MONTH(INDEX('1 Budget annuel'!$L$14:$L$43,COLUMN()-COLUMN($X$42)+1)),12)=0,DAY($L305)=MIN(DAY(INDEX('1 Budget annuel'!$L$14:$L$43,COLUMN()-COLUMN($X$42)+1)),DAY(EOMONTH($L305,0))))),IF(INDEX('1 Budget annuel'!$B$14:$B$43,COLUMN()-COLUMN($X$42)+1)="Entrée",INDEX('1 Budget annuel'!$I$14:$I$43,COLUMN()-COLUMN($X$42)+1),-INDEX('1 Budget annuel'!$I$14:$I$43,COLUMN()-COLUMN($X$42)+1)),0))</x:f>
        <x:v>0</x:v>
      </x:c>
    </x:row>
    <x:row r="306">
      <x:c r="L306" s="114" t="n">
        <x:f>L305+1</x:f>
        <x:v>46500</x:v>
      </x:c>
      <x:c r="M306" s="115" t="b">
        <x:f>AND(L306&gt;=$D$5,L306&lt;=$D$5+363,MOD(L306-$D$5,7)=0)</x:f>
        <x:v>0</x:v>
      </x:c>
      <x:c r="N306" s="116" t="n">
        <x:f>SUM(X306:BA306)</x:f>
        <x:v>0</x:v>
      </x:c>
      <x:c r="O306" s="116" t="n">
        <x:f>IF(M306,$D$10,0)</x:f>
        <x:v>0</x:v>
      </x:c>
      <x:c r="P306" s="116" t="n">
        <x:f>N306-O306</x:f>
        <x:v>0</x:v>
      </x:c>
      <x:c r="Q306" s="116" t="n">
        <x:f>IF(L306&lt;$D$5,0,IF(L306=$D$5,P306,Q305+P306))</x:f>
        <x:v>0</x:v>
      </x:c>
      <x:c r="R306" s="116" t="n">
        <x:f>IF(L306&lt;$D$5,"",$J$10+Q306)</x:f>
        <x:v>0</x:v>
      </x:c>
      <x:c r="S306" s="116" t="n">
        <x:f>IF($L306&lt;$D$5,"",IF($L306=$D$5,$J$10+$N306-IF($M306,IF(INT(($L306-$D$5)/7)&lt;$A$20,$B$20,$D$10),0),S305+$N306-IF($M306,IF(INT(($L306-$D$5)/7)&lt;$A$20,$B$20,$D$10),0)))</x:f>
        <x:v>0</x:v>
      </x:c>
      <x:c r="T306" s="116" t="n">
        <x:f>IF($L306&lt;$D$5,"",IF($L306=$D$5,$J$10+$N306-IF($M306,IF(INT(($L306-$D$5)/7)&lt;$A$21,$B$21,$D$10),0),T305+$N306-IF($M306,IF(INT(($L306-$D$5)/7)&lt;$A$21,$B$21,$D$10),0)))</x:f>
        <x:v>0</x:v>
      </x:c>
      <x:c r="U306" s="116" t="n">
        <x:f>IF($L306&lt;$D$5,"",IF($L306=$D$5,$J$10+$N306-IF($M306,IF(INT(($L306-$D$5)/7)&lt;$A$22,$B$22,$D$10),0),U305+$N306-IF($M306,IF(INT(($L306-$D$5)/7)&lt;$A$22,$B$22,$D$10),0)))</x:f>
        <x:v>0</x:v>
      </x:c>
      <x:c r="V306" s="116" t="n">
        <x:f>IF($L306&lt;$D$5,"",IF($L306=$D$5,$J$10+$N306-IF($M306,IF(INT(($L306-$D$5)/7)&lt;$A$23,$B$23,$D$10),0),V305+$N306-IF($M306,IF(INT(($L306-$D$5)/7)&lt;$A$23,$B$23,$D$10),0)))</x:f>
        <x:v>0</x:v>
      </x:c>
      <x:c r="W306" s="116" t="n">
        <x:f>IF($L306&lt;$D$5,"",IF($L306=$D$5,$J$10+$N306-IF($M306,IF(INT(($L306-$D$5)/7)&lt;$A$24,$B$24,$D$10),0),W305+$N306-IF($M306,IF(INT(($L306-$D$5)/7)&lt;$A$24,$B$24,$D$10),0)))</x:f>
        <x:v>0</x:v>
      </x:c>
      <x:c r="X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Y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Z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A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B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C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D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E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F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G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H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I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J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K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L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M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N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O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P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Q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R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S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T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U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V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W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X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Y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AZ306" s="116"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c r="BA306" s="117" t="n">
        <x:f>IF(OR(INDEX('1 Budget annuel'!$A$14:$A$43,COLUMN()-COLUMN($X$42)+1)&lt;&gt;"Oui",INDEX('1 Budget annuel'!$L$14:$L$43,COLUMN()-COLUMN($X$42)+1)="",AND(INDEX('1 Budget annuel'!$B$14:$B$43,COLUMN()-COLUMN($X$42)+1)="Sortie",INDEX('1 Budget annuel'!$M$14:$M$43,COLUMN()-COLUMN($X$42)+1)="Oui"),$L306&lt;INDEX('1 Budget annuel'!$L$14:$L$43,COLUMN()-COLUMN($X$42)+1),$L306&gt;$D$5+363),0,IF(OR(AND(INDEX('1 Budget annuel'!$E$14:$E$43,COLUMN()-COLUMN($X$42)+1)="Hebdomadaire",MOD($L306-INDEX('1 Budget annuel'!$L$14:$L$43,COLUMN()-COLUMN($X$42)+1),7)=0),AND(INDEX('1 Budget annuel'!$E$14:$E$43,COLUMN()-COLUMN($X$42)+1)="Toutes les 4 semaines",MOD($L306-INDEX('1 Budget annuel'!$L$14:$L$43,COLUMN()-COLUMN($X$42)+1),28)=0),AND(INDEX('1 Budget annuel'!$E$14:$E$43,COLUMN()-COLUMN($X$42)+1)="Mensuelle",DAY($L306)=MIN(DAY(INDEX('1 Budget annuel'!$L$14:$L$43,COLUMN()-COLUMN($X$42)+1)),DAY(EOMONTH($L306,0)))),AND(INDEX('1 Budget annuel'!$E$14:$E$43,COLUMN()-COLUMN($X$42)+1)="Trimestrielle",MOD((YEAR($L306)-YEAR(INDEX('1 Budget annuel'!$L$14:$L$43,COLUMN()-COLUMN($X$42)+1)))*12+MONTH($L306)-MONTH(INDEX('1 Budget annuel'!$L$14:$L$43,COLUMN()-COLUMN($X$42)+1)),3)=0,DAY($L306)=MIN(DAY(INDEX('1 Budget annuel'!$L$14:$L$43,COLUMN()-COLUMN($X$42)+1)),DAY(EOMONTH($L306,0)))),AND(INDEX('1 Budget annuel'!$E$14:$E$43,COLUMN()-COLUMN($X$42)+1)="Semestrielle",MOD((YEAR($L306)-YEAR(INDEX('1 Budget annuel'!$L$14:$L$43,COLUMN()-COLUMN($X$42)+1)))*12+MONTH($L306)-MONTH(INDEX('1 Budget annuel'!$L$14:$L$43,COLUMN()-COLUMN($X$42)+1)),6)=0,DAY($L306)=MIN(DAY(INDEX('1 Budget annuel'!$L$14:$L$43,COLUMN()-COLUMN($X$42)+1)),DAY(EOMONTH($L306,0)))),AND(INDEX('1 Budget annuel'!$E$14:$E$43,COLUMN()-COLUMN($X$42)+1)="Annuelle",MOD((YEAR($L306)-YEAR(INDEX('1 Budget annuel'!$L$14:$L$43,COLUMN()-COLUMN($X$42)+1)))*12+MONTH($L306)-MONTH(INDEX('1 Budget annuel'!$L$14:$L$43,COLUMN()-COLUMN($X$42)+1)),12)=0,DAY($L306)=MIN(DAY(INDEX('1 Budget annuel'!$L$14:$L$43,COLUMN()-COLUMN($X$42)+1)),DAY(EOMONTH($L306,0))))),IF(INDEX('1 Budget annuel'!$B$14:$B$43,COLUMN()-COLUMN($X$42)+1)="Entrée",INDEX('1 Budget annuel'!$I$14:$I$43,COLUMN()-COLUMN($X$42)+1),-INDEX('1 Budget annuel'!$I$14:$I$43,COLUMN()-COLUMN($X$42)+1)),0))</x:f>
        <x:v>0</x:v>
      </x:c>
    </x:row>
    <x:row r="307">
      <x:c r="L307" s="114" t="n">
        <x:f>L306+1</x:f>
        <x:v>46501</x:v>
      </x:c>
      <x:c r="M307" s="115" t="b">
        <x:f>AND(L307&gt;=$D$5,L307&lt;=$D$5+363,MOD(L307-$D$5,7)=0)</x:f>
        <x:v>1</x:v>
      </x:c>
      <x:c r="N307" s="116" t="n">
        <x:f>SUM(X307:BA307)</x:f>
        <x:v>0</x:v>
      </x:c>
      <x:c r="O307" s="116" t="n">
        <x:f>IF(M307,$D$10,0)</x:f>
        <x:v>0</x:v>
      </x:c>
      <x:c r="P307" s="116" t="n">
        <x:f>N307-O307</x:f>
        <x:v>0</x:v>
      </x:c>
      <x:c r="Q307" s="116" t="n">
        <x:f>IF(L307&lt;$D$5,0,IF(L307=$D$5,P307,Q306+P307))</x:f>
        <x:v>0</x:v>
      </x:c>
      <x:c r="R307" s="116" t="n">
        <x:f>IF(L307&lt;$D$5,"",$J$10+Q307)</x:f>
        <x:v>0</x:v>
      </x:c>
      <x:c r="S307" s="116" t="n">
        <x:f>IF($L307&lt;$D$5,"",IF($L307=$D$5,$J$10+$N307-IF($M307,IF(INT(($L307-$D$5)/7)&lt;$A$20,$B$20,$D$10),0),S306+$N307-IF($M307,IF(INT(($L307-$D$5)/7)&lt;$A$20,$B$20,$D$10),0)))</x:f>
        <x:v>0</x:v>
      </x:c>
      <x:c r="T307" s="116" t="n">
        <x:f>IF($L307&lt;$D$5,"",IF($L307=$D$5,$J$10+$N307-IF($M307,IF(INT(($L307-$D$5)/7)&lt;$A$21,$B$21,$D$10),0),T306+$N307-IF($M307,IF(INT(($L307-$D$5)/7)&lt;$A$21,$B$21,$D$10),0)))</x:f>
        <x:v>0</x:v>
      </x:c>
      <x:c r="U307" s="116" t="n">
        <x:f>IF($L307&lt;$D$5,"",IF($L307=$D$5,$J$10+$N307-IF($M307,IF(INT(($L307-$D$5)/7)&lt;$A$22,$B$22,$D$10),0),U306+$N307-IF($M307,IF(INT(($L307-$D$5)/7)&lt;$A$22,$B$22,$D$10),0)))</x:f>
        <x:v>0</x:v>
      </x:c>
      <x:c r="V307" s="116" t="n">
        <x:f>IF($L307&lt;$D$5,"",IF($L307=$D$5,$J$10+$N307-IF($M307,IF(INT(($L307-$D$5)/7)&lt;$A$23,$B$23,$D$10),0),V306+$N307-IF($M307,IF(INT(($L307-$D$5)/7)&lt;$A$23,$B$23,$D$10),0)))</x:f>
        <x:v>0</x:v>
      </x:c>
      <x:c r="W307" s="116" t="n">
        <x:f>IF($L307&lt;$D$5,"",IF($L307=$D$5,$J$10+$N307-IF($M307,IF(INT(($L307-$D$5)/7)&lt;$A$24,$B$24,$D$10),0),W306+$N307-IF($M307,IF(INT(($L307-$D$5)/7)&lt;$A$24,$B$24,$D$10),0)))</x:f>
        <x:v>0</x:v>
      </x:c>
      <x:c r="X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Y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Z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A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B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C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D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E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F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G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H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I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J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K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L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M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N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O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P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Q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R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S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T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U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V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W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X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Y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AZ307" s="116"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c r="BA307" s="117" t="n">
        <x:f>IF(OR(INDEX('1 Budget annuel'!$A$14:$A$43,COLUMN()-COLUMN($X$42)+1)&lt;&gt;"Oui",INDEX('1 Budget annuel'!$L$14:$L$43,COLUMN()-COLUMN($X$42)+1)="",AND(INDEX('1 Budget annuel'!$B$14:$B$43,COLUMN()-COLUMN($X$42)+1)="Sortie",INDEX('1 Budget annuel'!$M$14:$M$43,COLUMN()-COLUMN($X$42)+1)="Oui"),$L307&lt;INDEX('1 Budget annuel'!$L$14:$L$43,COLUMN()-COLUMN($X$42)+1),$L307&gt;$D$5+363),0,IF(OR(AND(INDEX('1 Budget annuel'!$E$14:$E$43,COLUMN()-COLUMN($X$42)+1)="Hebdomadaire",MOD($L307-INDEX('1 Budget annuel'!$L$14:$L$43,COLUMN()-COLUMN($X$42)+1),7)=0),AND(INDEX('1 Budget annuel'!$E$14:$E$43,COLUMN()-COLUMN($X$42)+1)="Toutes les 4 semaines",MOD($L307-INDEX('1 Budget annuel'!$L$14:$L$43,COLUMN()-COLUMN($X$42)+1),28)=0),AND(INDEX('1 Budget annuel'!$E$14:$E$43,COLUMN()-COLUMN($X$42)+1)="Mensuelle",DAY($L307)=MIN(DAY(INDEX('1 Budget annuel'!$L$14:$L$43,COLUMN()-COLUMN($X$42)+1)),DAY(EOMONTH($L307,0)))),AND(INDEX('1 Budget annuel'!$E$14:$E$43,COLUMN()-COLUMN($X$42)+1)="Trimestrielle",MOD((YEAR($L307)-YEAR(INDEX('1 Budget annuel'!$L$14:$L$43,COLUMN()-COLUMN($X$42)+1)))*12+MONTH($L307)-MONTH(INDEX('1 Budget annuel'!$L$14:$L$43,COLUMN()-COLUMN($X$42)+1)),3)=0,DAY($L307)=MIN(DAY(INDEX('1 Budget annuel'!$L$14:$L$43,COLUMN()-COLUMN($X$42)+1)),DAY(EOMONTH($L307,0)))),AND(INDEX('1 Budget annuel'!$E$14:$E$43,COLUMN()-COLUMN($X$42)+1)="Semestrielle",MOD((YEAR($L307)-YEAR(INDEX('1 Budget annuel'!$L$14:$L$43,COLUMN()-COLUMN($X$42)+1)))*12+MONTH($L307)-MONTH(INDEX('1 Budget annuel'!$L$14:$L$43,COLUMN()-COLUMN($X$42)+1)),6)=0,DAY($L307)=MIN(DAY(INDEX('1 Budget annuel'!$L$14:$L$43,COLUMN()-COLUMN($X$42)+1)),DAY(EOMONTH($L307,0)))),AND(INDEX('1 Budget annuel'!$E$14:$E$43,COLUMN()-COLUMN($X$42)+1)="Annuelle",MOD((YEAR($L307)-YEAR(INDEX('1 Budget annuel'!$L$14:$L$43,COLUMN()-COLUMN($X$42)+1)))*12+MONTH($L307)-MONTH(INDEX('1 Budget annuel'!$L$14:$L$43,COLUMN()-COLUMN($X$42)+1)),12)=0,DAY($L307)=MIN(DAY(INDEX('1 Budget annuel'!$L$14:$L$43,COLUMN()-COLUMN($X$42)+1)),DAY(EOMONTH($L307,0))))),IF(INDEX('1 Budget annuel'!$B$14:$B$43,COLUMN()-COLUMN($X$42)+1)="Entrée",INDEX('1 Budget annuel'!$I$14:$I$43,COLUMN()-COLUMN($X$42)+1),-INDEX('1 Budget annuel'!$I$14:$I$43,COLUMN()-COLUMN($X$42)+1)),0))</x:f>
        <x:v>0</x:v>
      </x:c>
    </x:row>
    <x:row r="308">
      <x:c r="L308" s="114" t="n">
        <x:f>L307+1</x:f>
        <x:v>46502</x:v>
      </x:c>
      <x:c r="M308" s="115" t="b">
        <x:f>AND(L308&gt;=$D$5,L308&lt;=$D$5+363,MOD(L308-$D$5,7)=0)</x:f>
        <x:v>0</x:v>
      </x:c>
      <x:c r="N308" s="116" t="n">
        <x:f>SUM(X308:BA308)</x:f>
        <x:v>0</x:v>
      </x:c>
      <x:c r="O308" s="116" t="n">
        <x:f>IF(M308,$D$10,0)</x:f>
        <x:v>0</x:v>
      </x:c>
      <x:c r="P308" s="116" t="n">
        <x:f>N308-O308</x:f>
        <x:v>0</x:v>
      </x:c>
      <x:c r="Q308" s="116" t="n">
        <x:f>IF(L308&lt;$D$5,0,IF(L308=$D$5,P308,Q307+P308))</x:f>
        <x:v>0</x:v>
      </x:c>
      <x:c r="R308" s="116" t="n">
        <x:f>IF(L308&lt;$D$5,"",$J$10+Q308)</x:f>
        <x:v>0</x:v>
      </x:c>
      <x:c r="S308" s="116" t="n">
        <x:f>IF($L308&lt;$D$5,"",IF($L308=$D$5,$J$10+$N308-IF($M308,IF(INT(($L308-$D$5)/7)&lt;$A$20,$B$20,$D$10),0),S307+$N308-IF($M308,IF(INT(($L308-$D$5)/7)&lt;$A$20,$B$20,$D$10),0)))</x:f>
        <x:v>0</x:v>
      </x:c>
      <x:c r="T308" s="116" t="n">
        <x:f>IF($L308&lt;$D$5,"",IF($L308=$D$5,$J$10+$N308-IF($M308,IF(INT(($L308-$D$5)/7)&lt;$A$21,$B$21,$D$10),0),T307+$N308-IF($M308,IF(INT(($L308-$D$5)/7)&lt;$A$21,$B$21,$D$10),0)))</x:f>
        <x:v>0</x:v>
      </x:c>
      <x:c r="U308" s="116" t="n">
        <x:f>IF($L308&lt;$D$5,"",IF($L308=$D$5,$J$10+$N308-IF($M308,IF(INT(($L308-$D$5)/7)&lt;$A$22,$B$22,$D$10),0),U307+$N308-IF($M308,IF(INT(($L308-$D$5)/7)&lt;$A$22,$B$22,$D$10),0)))</x:f>
        <x:v>0</x:v>
      </x:c>
      <x:c r="V308" s="116" t="n">
        <x:f>IF($L308&lt;$D$5,"",IF($L308=$D$5,$J$10+$N308-IF($M308,IF(INT(($L308-$D$5)/7)&lt;$A$23,$B$23,$D$10),0),V307+$N308-IF($M308,IF(INT(($L308-$D$5)/7)&lt;$A$23,$B$23,$D$10),0)))</x:f>
        <x:v>0</x:v>
      </x:c>
      <x:c r="W308" s="116" t="n">
        <x:f>IF($L308&lt;$D$5,"",IF($L308=$D$5,$J$10+$N308-IF($M308,IF(INT(($L308-$D$5)/7)&lt;$A$24,$B$24,$D$10),0),W307+$N308-IF($M308,IF(INT(($L308-$D$5)/7)&lt;$A$24,$B$24,$D$10),0)))</x:f>
        <x:v>0</x:v>
      </x:c>
      <x:c r="X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Y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Z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A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B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C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D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E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F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G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H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I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J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K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L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M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N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O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P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Q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R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S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T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U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V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W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X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Y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AZ308" s="116"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c r="BA308" s="117" t="n">
        <x:f>IF(OR(INDEX('1 Budget annuel'!$A$14:$A$43,COLUMN()-COLUMN($X$42)+1)&lt;&gt;"Oui",INDEX('1 Budget annuel'!$L$14:$L$43,COLUMN()-COLUMN($X$42)+1)="",AND(INDEX('1 Budget annuel'!$B$14:$B$43,COLUMN()-COLUMN($X$42)+1)="Sortie",INDEX('1 Budget annuel'!$M$14:$M$43,COLUMN()-COLUMN($X$42)+1)="Oui"),$L308&lt;INDEX('1 Budget annuel'!$L$14:$L$43,COLUMN()-COLUMN($X$42)+1),$L308&gt;$D$5+363),0,IF(OR(AND(INDEX('1 Budget annuel'!$E$14:$E$43,COLUMN()-COLUMN($X$42)+1)="Hebdomadaire",MOD($L308-INDEX('1 Budget annuel'!$L$14:$L$43,COLUMN()-COLUMN($X$42)+1),7)=0),AND(INDEX('1 Budget annuel'!$E$14:$E$43,COLUMN()-COLUMN($X$42)+1)="Toutes les 4 semaines",MOD($L308-INDEX('1 Budget annuel'!$L$14:$L$43,COLUMN()-COLUMN($X$42)+1),28)=0),AND(INDEX('1 Budget annuel'!$E$14:$E$43,COLUMN()-COLUMN($X$42)+1)="Mensuelle",DAY($L308)=MIN(DAY(INDEX('1 Budget annuel'!$L$14:$L$43,COLUMN()-COLUMN($X$42)+1)),DAY(EOMONTH($L308,0)))),AND(INDEX('1 Budget annuel'!$E$14:$E$43,COLUMN()-COLUMN($X$42)+1)="Trimestrielle",MOD((YEAR($L308)-YEAR(INDEX('1 Budget annuel'!$L$14:$L$43,COLUMN()-COLUMN($X$42)+1)))*12+MONTH($L308)-MONTH(INDEX('1 Budget annuel'!$L$14:$L$43,COLUMN()-COLUMN($X$42)+1)),3)=0,DAY($L308)=MIN(DAY(INDEX('1 Budget annuel'!$L$14:$L$43,COLUMN()-COLUMN($X$42)+1)),DAY(EOMONTH($L308,0)))),AND(INDEX('1 Budget annuel'!$E$14:$E$43,COLUMN()-COLUMN($X$42)+1)="Semestrielle",MOD((YEAR($L308)-YEAR(INDEX('1 Budget annuel'!$L$14:$L$43,COLUMN()-COLUMN($X$42)+1)))*12+MONTH($L308)-MONTH(INDEX('1 Budget annuel'!$L$14:$L$43,COLUMN()-COLUMN($X$42)+1)),6)=0,DAY($L308)=MIN(DAY(INDEX('1 Budget annuel'!$L$14:$L$43,COLUMN()-COLUMN($X$42)+1)),DAY(EOMONTH($L308,0)))),AND(INDEX('1 Budget annuel'!$E$14:$E$43,COLUMN()-COLUMN($X$42)+1)="Annuelle",MOD((YEAR($L308)-YEAR(INDEX('1 Budget annuel'!$L$14:$L$43,COLUMN()-COLUMN($X$42)+1)))*12+MONTH($L308)-MONTH(INDEX('1 Budget annuel'!$L$14:$L$43,COLUMN()-COLUMN($X$42)+1)),12)=0,DAY($L308)=MIN(DAY(INDEX('1 Budget annuel'!$L$14:$L$43,COLUMN()-COLUMN($X$42)+1)),DAY(EOMONTH($L308,0))))),IF(INDEX('1 Budget annuel'!$B$14:$B$43,COLUMN()-COLUMN($X$42)+1)="Entrée",INDEX('1 Budget annuel'!$I$14:$I$43,COLUMN()-COLUMN($X$42)+1),-INDEX('1 Budget annuel'!$I$14:$I$43,COLUMN()-COLUMN($X$42)+1)),0))</x:f>
        <x:v>0</x:v>
      </x:c>
    </x:row>
    <x:row r="309">
      <x:c r="L309" s="114" t="n">
        <x:f>L308+1</x:f>
        <x:v>46503</x:v>
      </x:c>
      <x:c r="M309" s="115" t="b">
        <x:f>AND(L309&gt;=$D$5,L309&lt;=$D$5+363,MOD(L309-$D$5,7)=0)</x:f>
        <x:v>0</x:v>
      </x:c>
      <x:c r="N309" s="116" t="n">
        <x:f>SUM(X309:BA309)</x:f>
        <x:v>0</x:v>
      </x:c>
      <x:c r="O309" s="116" t="n">
        <x:f>IF(M309,$D$10,0)</x:f>
        <x:v>0</x:v>
      </x:c>
      <x:c r="P309" s="116" t="n">
        <x:f>N309-O309</x:f>
        <x:v>0</x:v>
      </x:c>
      <x:c r="Q309" s="116" t="n">
        <x:f>IF(L309&lt;$D$5,0,IF(L309=$D$5,P309,Q308+P309))</x:f>
        <x:v>0</x:v>
      </x:c>
      <x:c r="R309" s="116" t="n">
        <x:f>IF(L309&lt;$D$5,"",$J$10+Q309)</x:f>
        <x:v>0</x:v>
      </x:c>
      <x:c r="S309" s="116" t="n">
        <x:f>IF($L309&lt;$D$5,"",IF($L309=$D$5,$J$10+$N309-IF($M309,IF(INT(($L309-$D$5)/7)&lt;$A$20,$B$20,$D$10),0),S308+$N309-IF($M309,IF(INT(($L309-$D$5)/7)&lt;$A$20,$B$20,$D$10),0)))</x:f>
        <x:v>0</x:v>
      </x:c>
      <x:c r="T309" s="116" t="n">
        <x:f>IF($L309&lt;$D$5,"",IF($L309=$D$5,$J$10+$N309-IF($M309,IF(INT(($L309-$D$5)/7)&lt;$A$21,$B$21,$D$10),0),T308+$N309-IF($M309,IF(INT(($L309-$D$5)/7)&lt;$A$21,$B$21,$D$10),0)))</x:f>
        <x:v>0</x:v>
      </x:c>
      <x:c r="U309" s="116" t="n">
        <x:f>IF($L309&lt;$D$5,"",IF($L309=$D$5,$J$10+$N309-IF($M309,IF(INT(($L309-$D$5)/7)&lt;$A$22,$B$22,$D$10),0),U308+$N309-IF($M309,IF(INT(($L309-$D$5)/7)&lt;$A$22,$B$22,$D$10),0)))</x:f>
        <x:v>0</x:v>
      </x:c>
      <x:c r="V309" s="116" t="n">
        <x:f>IF($L309&lt;$D$5,"",IF($L309=$D$5,$J$10+$N309-IF($M309,IF(INT(($L309-$D$5)/7)&lt;$A$23,$B$23,$D$10),0),V308+$N309-IF($M309,IF(INT(($L309-$D$5)/7)&lt;$A$23,$B$23,$D$10),0)))</x:f>
        <x:v>0</x:v>
      </x:c>
      <x:c r="W309" s="116" t="n">
        <x:f>IF($L309&lt;$D$5,"",IF($L309=$D$5,$J$10+$N309-IF($M309,IF(INT(($L309-$D$5)/7)&lt;$A$24,$B$24,$D$10),0),W308+$N309-IF($M309,IF(INT(($L309-$D$5)/7)&lt;$A$24,$B$24,$D$10),0)))</x:f>
        <x:v>0</x:v>
      </x:c>
      <x:c r="X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Y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Z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A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B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C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D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E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F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G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H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I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J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K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L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M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N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O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P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Q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R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S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T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U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V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W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X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Y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AZ309" s="116"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c r="BA309" s="117" t="n">
        <x:f>IF(OR(INDEX('1 Budget annuel'!$A$14:$A$43,COLUMN()-COLUMN($X$42)+1)&lt;&gt;"Oui",INDEX('1 Budget annuel'!$L$14:$L$43,COLUMN()-COLUMN($X$42)+1)="",AND(INDEX('1 Budget annuel'!$B$14:$B$43,COLUMN()-COLUMN($X$42)+1)="Sortie",INDEX('1 Budget annuel'!$M$14:$M$43,COLUMN()-COLUMN($X$42)+1)="Oui"),$L309&lt;INDEX('1 Budget annuel'!$L$14:$L$43,COLUMN()-COLUMN($X$42)+1),$L309&gt;$D$5+363),0,IF(OR(AND(INDEX('1 Budget annuel'!$E$14:$E$43,COLUMN()-COLUMN($X$42)+1)="Hebdomadaire",MOD($L309-INDEX('1 Budget annuel'!$L$14:$L$43,COLUMN()-COLUMN($X$42)+1),7)=0),AND(INDEX('1 Budget annuel'!$E$14:$E$43,COLUMN()-COLUMN($X$42)+1)="Toutes les 4 semaines",MOD($L309-INDEX('1 Budget annuel'!$L$14:$L$43,COLUMN()-COLUMN($X$42)+1),28)=0),AND(INDEX('1 Budget annuel'!$E$14:$E$43,COLUMN()-COLUMN($X$42)+1)="Mensuelle",DAY($L309)=MIN(DAY(INDEX('1 Budget annuel'!$L$14:$L$43,COLUMN()-COLUMN($X$42)+1)),DAY(EOMONTH($L309,0)))),AND(INDEX('1 Budget annuel'!$E$14:$E$43,COLUMN()-COLUMN($X$42)+1)="Trimestrielle",MOD((YEAR($L309)-YEAR(INDEX('1 Budget annuel'!$L$14:$L$43,COLUMN()-COLUMN($X$42)+1)))*12+MONTH($L309)-MONTH(INDEX('1 Budget annuel'!$L$14:$L$43,COLUMN()-COLUMN($X$42)+1)),3)=0,DAY($L309)=MIN(DAY(INDEX('1 Budget annuel'!$L$14:$L$43,COLUMN()-COLUMN($X$42)+1)),DAY(EOMONTH($L309,0)))),AND(INDEX('1 Budget annuel'!$E$14:$E$43,COLUMN()-COLUMN($X$42)+1)="Semestrielle",MOD((YEAR($L309)-YEAR(INDEX('1 Budget annuel'!$L$14:$L$43,COLUMN()-COLUMN($X$42)+1)))*12+MONTH($L309)-MONTH(INDEX('1 Budget annuel'!$L$14:$L$43,COLUMN()-COLUMN($X$42)+1)),6)=0,DAY($L309)=MIN(DAY(INDEX('1 Budget annuel'!$L$14:$L$43,COLUMN()-COLUMN($X$42)+1)),DAY(EOMONTH($L309,0)))),AND(INDEX('1 Budget annuel'!$E$14:$E$43,COLUMN()-COLUMN($X$42)+1)="Annuelle",MOD((YEAR($L309)-YEAR(INDEX('1 Budget annuel'!$L$14:$L$43,COLUMN()-COLUMN($X$42)+1)))*12+MONTH($L309)-MONTH(INDEX('1 Budget annuel'!$L$14:$L$43,COLUMN()-COLUMN($X$42)+1)),12)=0,DAY($L309)=MIN(DAY(INDEX('1 Budget annuel'!$L$14:$L$43,COLUMN()-COLUMN($X$42)+1)),DAY(EOMONTH($L309,0))))),IF(INDEX('1 Budget annuel'!$B$14:$B$43,COLUMN()-COLUMN($X$42)+1)="Entrée",INDEX('1 Budget annuel'!$I$14:$I$43,COLUMN()-COLUMN($X$42)+1),-INDEX('1 Budget annuel'!$I$14:$I$43,COLUMN()-COLUMN($X$42)+1)),0))</x:f>
        <x:v>0</x:v>
      </x:c>
    </x:row>
    <x:row r="310">
      <x:c r="L310" s="114" t="n">
        <x:f>L309+1</x:f>
        <x:v>46504</x:v>
      </x:c>
      <x:c r="M310" s="115" t="b">
        <x:f>AND(L310&gt;=$D$5,L310&lt;=$D$5+363,MOD(L310-$D$5,7)=0)</x:f>
        <x:v>0</x:v>
      </x:c>
      <x:c r="N310" s="116" t="n">
        <x:f>SUM(X310:BA310)</x:f>
        <x:v>0</x:v>
      </x:c>
      <x:c r="O310" s="116" t="n">
        <x:f>IF(M310,$D$10,0)</x:f>
        <x:v>0</x:v>
      </x:c>
      <x:c r="P310" s="116" t="n">
        <x:f>N310-O310</x:f>
        <x:v>0</x:v>
      </x:c>
      <x:c r="Q310" s="116" t="n">
        <x:f>IF(L310&lt;$D$5,0,IF(L310=$D$5,P310,Q309+P310))</x:f>
        <x:v>0</x:v>
      </x:c>
      <x:c r="R310" s="116" t="n">
        <x:f>IF(L310&lt;$D$5,"",$J$10+Q310)</x:f>
        <x:v>0</x:v>
      </x:c>
      <x:c r="S310" s="116" t="n">
        <x:f>IF($L310&lt;$D$5,"",IF($L310=$D$5,$J$10+$N310-IF($M310,IF(INT(($L310-$D$5)/7)&lt;$A$20,$B$20,$D$10),0),S309+$N310-IF($M310,IF(INT(($L310-$D$5)/7)&lt;$A$20,$B$20,$D$10),0)))</x:f>
        <x:v>0</x:v>
      </x:c>
      <x:c r="T310" s="116" t="n">
        <x:f>IF($L310&lt;$D$5,"",IF($L310=$D$5,$J$10+$N310-IF($M310,IF(INT(($L310-$D$5)/7)&lt;$A$21,$B$21,$D$10),0),T309+$N310-IF($M310,IF(INT(($L310-$D$5)/7)&lt;$A$21,$B$21,$D$10),0)))</x:f>
        <x:v>0</x:v>
      </x:c>
      <x:c r="U310" s="116" t="n">
        <x:f>IF($L310&lt;$D$5,"",IF($L310=$D$5,$J$10+$N310-IF($M310,IF(INT(($L310-$D$5)/7)&lt;$A$22,$B$22,$D$10),0),U309+$N310-IF($M310,IF(INT(($L310-$D$5)/7)&lt;$A$22,$B$22,$D$10),0)))</x:f>
        <x:v>0</x:v>
      </x:c>
      <x:c r="V310" s="116" t="n">
        <x:f>IF($L310&lt;$D$5,"",IF($L310=$D$5,$J$10+$N310-IF($M310,IF(INT(($L310-$D$5)/7)&lt;$A$23,$B$23,$D$10),0),V309+$N310-IF($M310,IF(INT(($L310-$D$5)/7)&lt;$A$23,$B$23,$D$10),0)))</x:f>
        <x:v>0</x:v>
      </x:c>
      <x:c r="W310" s="116" t="n">
        <x:f>IF($L310&lt;$D$5,"",IF($L310=$D$5,$J$10+$N310-IF($M310,IF(INT(($L310-$D$5)/7)&lt;$A$24,$B$24,$D$10),0),W309+$N310-IF($M310,IF(INT(($L310-$D$5)/7)&lt;$A$24,$B$24,$D$10),0)))</x:f>
        <x:v>0</x:v>
      </x:c>
      <x:c r="X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Y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Z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A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B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C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D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E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F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G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H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I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J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K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L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M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N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O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P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Q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R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S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T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U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V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W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X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Y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AZ310" s="116"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c r="BA310" s="117" t="n">
        <x:f>IF(OR(INDEX('1 Budget annuel'!$A$14:$A$43,COLUMN()-COLUMN($X$42)+1)&lt;&gt;"Oui",INDEX('1 Budget annuel'!$L$14:$L$43,COLUMN()-COLUMN($X$42)+1)="",AND(INDEX('1 Budget annuel'!$B$14:$B$43,COLUMN()-COLUMN($X$42)+1)="Sortie",INDEX('1 Budget annuel'!$M$14:$M$43,COLUMN()-COLUMN($X$42)+1)="Oui"),$L310&lt;INDEX('1 Budget annuel'!$L$14:$L$43,COLUMN()-COLUMN($X$42)+1),$L310&gt;$D$5+363),0,IF(OR(AND(INDEX('1 Budget annuel'!$E$14:$E$43,COLUMN()-COLUMN($X$42)+1)="Hebdomadaire",MOD($L310-INDEX('1 Budget annuel'!$L$14:$L$43,COLUMN()-COLUMN($X$42)+1),7)=0),AND(INDEX('1 Budget annuel'!$E$14:$E$43,COLUMN()-COLUMN($X$42)+1)="Toutes les 4 semaines",MOD($L310-INDEX('1 Budget annuel'!$L$14:$L$43,COLUMN()-COLUMN($X$42)+1),28)=0),AND(INDEX('1 Budget annuel'!$E$14:$E$43,COLUMN()-COLUMN($X$42)+1)="Mensuelle",DAY($L310)=MIN(DAY(INDEX('1 Budget annuel'!$L$14:$L$43,COLUMN()-COLUMN($X$42)+1)),DAY(EOMONTH($L310,0)))),AND(INDEX('1 Budget annuel'!$E$14:$E$43,COLUMN()-COLUMN($X$42)+1)="Trimestrielle",MOD((YEAR($L310)-YEAR(INDEX('1 Budget annuel'!$L$14:$L$43,COLUMN()-COLUMN($X$42)+1)))*12+MONTH($L310)-MONTH(INDEX('1 Budget annuel'!$L$14:$L$43,COLUMN()-COLUMN($X$42)+1)),3)=0,DAY($L310)=MIN(DAY(INDEX('1 Budget annuel'!$L$14:$L$43,COLUMN()-COLUMN($X$42)+1)),DAY(EOMONTH($L310,0)))),AND(INDEX('1 Budget annuel'!$E$14:$E$43,COLUMN()-COLUMN($X$42)+1)="Semestrielle",MOD((YEAR($L310)-YEAR(INDEX('1 Budget annuel'!$L$14:$L$43,COLUMN()-COLUMN($X$42)+1)))*12+MONTH($L310)-MONTH(INDEX('1 Budget annuel'!$L$14:$L$43,COLUMN()-COLUMN($X$42)+1)),6)=0,DAY($L310)=MIN(DAY(INDEX('1 Budget annuel'!$L$14:$L$43,COLUMN()-COLUMN($X$42)+1)),DAY(EOMONTH($L310,0)))),AND(INDEX('1 Budget annuel'!$E$14:$E$43,COLUMN()-COLUMN($X$42)+1)="Annuelle",MOD((YEAR($L310)-YEAR(INDEX('1 Budget annuel'!$L$14:$L$43,COLUMN()-COLUMN($X$42)+1)))*12+MONTH($L310)-MONTH(INDEX('1 Budget annuel'!$L$14:$L$43,COLUMN()-COLUMN($X$42)+1)),12)=0,DAY($L310)=MIN(DAY(INDEX('1 Budget annuel'!$L$14:$L$43,COLUMN()-COLUMN($X$42)+1)),DAY(EOMONTH($L310,0))))),IF(INDEX('1 Budget annuel'!$B$14:$B$43,COLUMN()-COLUMN($X$42)+1)="Entrée",INDEX('1 Budget annuel'!$I$14:$I$43,COLUMN()-COLUMN($X$42)+1),-INDEX('1 Budget annuel'!$I$14:$I$43,COLUMN()-COLUMN($X$42)+1)),0))</x:f>
        <x:v>0</x:v>
      </x:c>
    </x:row>
    <x:row r="311">
      <x:c r="L311" s="114" t="n">
        <x:f>L310+1</x:f>
        <x:v>46505</x:v>
      </x:c>
      <x:c r="M311" s="115" t="b">
        <x:f>AND(L311&gt;=$D$5,L311&lt;=$D$5+363,MOD(L311-$D$5,7)=0)</x:f>
        <x:v>0</x:v>
      </x:c>
      <x:c r="N311" s="116" t="n">
        <x:f>SUM(X311:BA311)</x:f>
        <x:v>0</x:v>
      </x:c>
      <x:c r="O311" s="116" t="n">
        <x:f>IF(M311,$D$10,0)</x:f>
        <x:v>0</x:v>
      </x:c>
      <x:c r="P311" s="116" t="n">
        <x:f>N311-O311</x:f>
        <x:v>0</x:v>
      </x:c>
      <x:c r="Q311" s="116" t="n">
        <x:f>IF(L311&lt;$D$5,0,IF(L311=$D$5,P311,Q310+P311))</x:f>
        <x:v>0</x:v>
      </x:c>
      <x:c r="R311" s="116" t="n">
        <x:f>IF(L311&lt;$D$5,"",$J$10+Q311)</x:f>
        <x:v>0</x:v>
      </x:c>
      <x:c r="S311" s="116" t="n">
        <x:f>IF($L311&lt;$D$5,"",IF($L311=$D$5,$J$10+$N311-IF($M311,IF(INT(($L311-$D$5)/7)&lt;$A$20,$B$20,$D$10),0),S310+$N311-IF($M311,IF(INT(($L311-$D$5)/7)&lt;$A$20,$B$20,$D$10),0)))</x:f>
        <x:v>0</x:v>
      </x:c>
      <x:c r="T311" s="116" t="n">
        <x:f>IF($L311&lt;$D$5,"",IF($L311=$D$5,$J$10+$N311-IF($M311,IF(INT(($L311-$D$5)/7)&lt;$A$21,$B$21,$D$10),0),T310+$N311-IF($M311,IF(INT(($L311-$D$5)/7)&lt;$A$21,$B$21,$D$10),0)))</x:f>
        <x:v>0</x:v>
      </x:c>
      <x:c r="U311" s="116" t="n">
        <x:f>IF($L311&lt;$D$5,"",IF($L311=$D$5,$J$10+$N311-IF($M311,IF(INT(($L311-$D$5)/7)&lt;$A$22,$B$22,$D$10),0),U310+$N311-IF($M311,IF(INT(($L311-$D$5)/7)&lt;$A$22,$B$22,$D$10),0)))</x:f>
        <x:v>0</x:v>
      </x:c>
      <x:c r="V311" s="116" t="n">
        <x:f>IF($L311&lt;$D$5,"",IF($L311=$D$5,$J$10+$N311-IF($M311,IF(INT(($L311-$D$5)/7)&lt;$A$23,$B$23,$D$10),0),V310+$N311-IF($M311,IF(INT(($L311-$D$5)/7)&lt;$A$23,$B$23,$D$10),0)))</x:f>
        <x:v>0</x:v>
      </x:c>
      <x:c r="W311" s="116" t="n">
        <x:f>IF($L311&lt;$D$5,"",IF($L311=$D$5,$J$10+$N311-IF($M311,IF(INT(($L311-$D$5)/7)&lt;$A$24,$B$24,$D$10),0),W310+$N311-IF($M311,IF(INT(($L311-$D$5)/7)&lt;$A$24,$B$24,$D$10),0)))</x:f>
        <x:v>0</x:v>
      </x:c>
      <x:c r="X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Y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Z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A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B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C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D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E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F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G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H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I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J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K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L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M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N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O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P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Q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R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S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T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U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V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W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X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Y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AZ311" s="116"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c r="BA311" s="117" t="n">
        <x:f>IF(OR(INDEX('1 Budget annuel'!$A$14:$A$43,COLUMN()-COLUMN($X$42)+1)&lt;&gt;"Oui",INDEX('1 Budget annuel'!$L$14:$L$43,COLUMN()-COLUMN($X$42)+1)="",AND(INDEX('1 Budget annuel'!$B$14:$B$43,COLUMN()-COLUMN($X$42)+1)="Sortie",INDEX('1 Budget annuel'!$M$14:$M$43,COLUMN()-COLUMN($X$42)+1)="Oui"),$L311&lt;INDEX('1 Budget annuel'!$L$14:$L$43,COLUMN()-COLUMN($X$42)+1),$L311&gt;$D$5+363),0,IF(OR(AND(INDEX('1 Budget annuel'!$E$14:$E$43,COLUMN()-COLUMN($X$42)+1)="Hebdomadaire",MOD($L311-INDEX('1 Budget annuel'!$L$14:$L$43,COLUMN()-COLUMN($X$42)+1),7)=0),AND(INDEX('1 Budget annuel'!$E$14:$E$43,COLUMN()-COLUMN($X$42)+1)="Toutes les 4 semaines",MOD($L311-INDEX('1 Budget annuel'!$L$14:$L$43,COLUMN()-COLUMN($X$42)+1),28)=0),AND(INDEX('1 Budget annuel'!$E$14:$E$43,COLUMN()-COLUMN($X$42)+1)="Mensuelle",DAY($L311)=MIN(DAY(INDEX('1 Budget annuel'!$L$14:$L$43,COLUMN()-COLUMN($X$42)+1)),DAY(EOMONTH($L311,0)))),AND(INDEX('1 Budget annuel'!$E$14:$E$43,COLUMN()-COLUMN($X$42)+1)="Trimestrielle",MOD((YEAR($L311)-YEAR(INDEX('1 Budget annuel'!$L$14:$L$43,COLUMN()-COLUMN($X$42)+1)))*12+MONTH($L311)-MONTH(INDEX('1 Budget annuel'!$L$14:$L$43,COLUMN()-COLUMN($X$42)+1)),3)=0,DAY($L311)=MIN(DAY(INDEX('1 Budget annuel'!$L$14:$L$43,COLUMN()-COLUMN($X$42)+1)),DAY(EOMONTH($L311,0)))),AND(INDEX('1 Budget annuel'!$E$14:$E$43,COLUMN()-COLUMN($X$42)+1)="Semestrielle",MOD((YEAR($L311)-YEAR(INDEX('1 Budget annuel'!$L$14:$L$43,COLUMN()-COLUMN($X$42)+1)))*12+MONTH($L311)-MONTH(INDEX('1 Budget annuel'!$L$14:$L$43,COLUMN()-COLUMN($X$42)+1)),6)=0,DAY($L311)=MIN(DAY(INDEX('1 Budget annuel'!$L$14:$L$43,COLUMN()-COLUMN($X$42)+1)),DAY(EOMONTH($L311,0)))),AND(INDEX('1 Budget annuel'!$E$14:$E$43,COLUMN()-COLUMN($X$42)+1)="Annuelle",MOD((YEAR($L311)-YEAR(INDEX('1 Budget annuel'!$L$14:$L$43,COLUMN()-COLUMN($X$42)+1)))*12+MONTH($L311)-MONTH(INDEX('1 Budget annuel'!$L$14:$L$43,COLUMN()-COLUMN($X$42)+1)),12)=0,DAY($L311)=MIN(DAY(INDEX('1 Budget annuel'!$L$14:$L$43,COLUMN()-COLUMN($X$42)+1)),DAY(EOMONTH($L311,0))))),IF(INDEX('1 Budget annuel'!$B$14:$B$43,COLUMN()-COLUMN($X$42)+1)="Entrée",INDEX('1 Budget annuel'!$I$14:$I$43,COLUMN()-COLUMN($X$42)+1),-INDEX('1 Budget annuel'!$I$14:$I$43,COLUMN()-COLUMN($X$42)+1)),0))</x:f>
        <x:v>0</x:v>
      </x:c>
    </x:row>
    <x:row r="312">
      <x:c r="L312" s="114" t="n">
        <x:f>L311+1</x:f>
        <x:v>46506</x:v>
      </x:c>
      <x:c r="M312" s="115" t="b">
        <x:f>AND(L312&gt;=$D$5,L312&lt;=$D$5+363,MOD(L312-$D$5,7)=0)</x:f>
        <x:v>0</x:v>
      </x:c>
      <x:c r="N312" s="116" t="n">
        <x:f>SUM(X312:BA312)</x:f>
        <x:v>0</x:v>
      </x:c>
      <x:c r="O312" s="116" t="n">
        <x:f>IF(M312,$D$10,0)</x:f>
        <x:v>0</x:v>
      </x:c>
      <x:c r="P312" s="116" t="n">
        <x:f>N312-O312</x:f>
        <x:v>0</x:v>
      </x:c>
      <x:c r="Q312" s="116" t="n">
        <x:f>IF(L312&lt;$D$5,0,IF(L312=$D$5,P312,Q311+P312))</x:f>
        <x:v>0</x:v>
      </x:c>
      <x:c r="R312" s="116" t="n">
        <x:f>IF(L312&lt;$D$5,"",$J$10+Q312)</x:f>
        <x:v>0</x:v>
      </x:c>
      <x:c r="S312" s="116" t="n">
        <x:f>IF($L312&lt;$D$5,"",IF($L312=$D$5,$J$10+$N312-IF($M312,IF(INT(($L312-$D$5)/7)&lt;$A$20,$B$20,$D$10),0),S311+$N312-IF($M312,IF(INT(($L312-$D$5)/7)&lt;$A$20,$B$20,$D$10),0)))</x:f>
        <x:v>0</x:v>
      </x:c>
      <x:c r="T312" s="116" t="n">
        <x:f>IF($L312&lt;$D$5,"",IF($L312=$D$5,$J$10+$N312-IF($M312,IF(INT(($L312-$D$5)/7)&lt;$A$21,$B$21,$D$10),0),T311+$N312-IF($M312,IF(INT(($L312-$D$5)/7)&lt;$A$21,$B$21,$D$10),0)))</x:f>
        <x:v>0</x:v>
      </x:c>
      <x:c r="U312" s="116" t="n">
        <x:f>IF($L312&lt;$D$5,"",IF($L312=$D$5,$J$10+$N312-IF($M312,IF(INT(($L312-$D$5)/7)&lt;$A$22,$B$22,$D$10),0),U311+$N312-IF($M312,IF(INT(($L312-$D$5)/7)&lt;$A$22,$B$22,$D$10),0)))</x:f>
        <x:v>0</x:v>
      </x:c>
      <x:c r="V312" s="116" t="n">
        <x:f>IF($L312&lt;$D$5,"",IF($L312=$D$5,$J$10+$N312-IF($M312,IF(INT(($L312-$D$5)/7)&lt;$A$23,$B$23,$D$10),0),V311+$N312-IF($M312,IF(INT(($L312-$D$5)/7)&lt;$A$23,$B$23,$D$10),0)))</x:f>
        <x:v>0</x:v>
      </x:c>
      <x:c r="W312" s="116" t="n">
        <x:f>IF($L312&lt;$D$5,"",IF($L312=$D$5,$J$10+$N312-IF($M312,IF(INT(($L312-$D$5)/7)&lt;$A$24,$B$24,$D$10),0),W311+$N312-IF($M312,IF(INT(($L312-$D$5)/7)&lt;$A$24,$B$24,$D$10),0)))</x:f>
        <x:v>0</x:v>
      </x:c>
      <x:c r="X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Y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Z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A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B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C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D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E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F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G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H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I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J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K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L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M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N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O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P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Q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R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S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T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U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V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W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X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Y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AZ312" s="116"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c r="BA312" s="117" t="n">
        <x:f>IF(OR(INDEX('1 Budget annuel'!$A$14:$A$43,COLUMN()-COLUMN($X$42)+1)&lt;&gt;"Oui",INDEX('1 Budget annuel'!$L$14:$L$43,COLUMN()-COLUMN($X$42)+1)="",AND(INDEX('1 Budget annuel'!$B$14:$B$43,COLUMN()-COLUMN($X$42)+1)="Sortie",INDEX('1 Budget annuel'!$M$14:$M$43,COLUMN()-COLUMN($X$42)+1)="Oui"),$L312&lt;INDEX('1 Budget annuel'!$L$14:$L$43,COLUMN()-COLUMN($X$42)+1),$L312&gt;$D$5+363),0,IF(OR(AND(INDEX('1 Budget annuel'!$E$14:$E$43,COLUMN()-COLUMN($X$42)+1)="Hebdomadaire",MOD($L312-INDEX('1 Budget annuel'!$L$14:$L$43,COLUMN()-COLUMN($X$42)+1),7)=0),AND(INDEX('1 Budget annuel'!$E$14:$E$43,COLUMN()-COLUMN($X$42)+1)="Toutes les 4 semaines",MOD($L312-INDEX('1 Budget annuel'!$L$14:$L$43,COLUMN()-COLUMN($X$42)+1),28)=0),AND(INDEX('1 Budget annuel'!$E$14:$E$43,COLUMN()-COLUMN($X$42)+1)="Mensuelle",DAY($L312)=MIN(DAY(INDEX('1 Budget annuel'!$L$14:$L$43,COLUMN()-COLUMN($X$42)+1)),DAY(EOMONTH($L312,0)))),AND(INDEX('1 Budget annuel'!$E$14:$E$43,COLUMN()-COLUMN($X$42)+1)="Trimestrielle",MOD((YEAR($L312)-YEAR(INDEX('1 Budget annuel'!$L$14:$L$43,COLUMN()-COLUMN($X$42)+1)))*12+MONTH($L312)-MONTH(INDEX('1 Budget annuel'!$L$14:$L$43,COLUMN()-COLUMN($X$42)+1)),3)=0,DAY($L312)=MIN(DAY(INDEX('1 Budget annuel'!$L$14:$L$43,COLUMN()-COLUMN($X$42)+1)),DAY(EOMONTH($L312,0)))),AND(INDEX('1 Budget annuel'!$E$14:$E$43,COLUMN()-COLUMN($X$42)+1)="Semestrielle",MOD((YEAR($L312)-YEAR(INDEX('1 Budget annuel'!$L$14:$L$43,COLUMN()-COLUMN($X$42)+1)))*12+MONTH($L312)-MONTH(INDEX('1 Budget annuel'!$L$14:$L$43,COLUMN()-COLUMN($X$42)+1)),6)=0,DAY($L312)=MIN(DAY(INDEX('1 Budget annuel'!$L$14:$L$43,COLUMN()-COLUMN($X$42)+1)),DAY(EOMONTH($L312,0)))),AND(INDEX('1 Budget annuel'!$E$14:$E$43,COLUMN()-COLUMN($X$42)+1)="Annuelle",MOD((YEAR($L312)-YEAR(INDEX('1 Budget annuel'!$L$14:$L$43,COLUMN()-COLUMN($X$42)+1)))*12+MONTH($L312)-MONTH(INDEX('1 Budget annuel'!$L$14:$L$43,COLUMN()-COLUMN($X$42)+1)),12)=0,DAY($L312)=MIN(DAY(INDEX('1 Budget annuel'!$L$14:$L$43,COLUMN()-COLUMN($X$42)+1)),DAY(EOMONTH($L312,0))))),IF(INDEX('1 Budget annuel'!$B$14:$B$43,COLUMN()-COLUMN($X$42)+1)="Entrée",INDEX('1 Budget annuel'!$I$14:$I$43,COLUMN()-COLUMN($X$42)+1),-INDEX('1 Budget annuel'!$I$14:$I$43,COLUMN()-COLUMN($X$42)+1)),0))</x:f>
        <x:v>0</x:v>
      </x:c>
    </x:row>
    <x:row r="313">
      <x:c r="L313" s="114" t="n">
        <x:f>L312+1</x:f>
        <x:v>46507</x:v>
      </x:c>
      <x:c r="M313" s="115" t="b">
        <x:f>AND(L313&gt;=$D$5,L313&lt;=$D$5+363,MOD(L313-$D$5,7)=0)</x:f>
        <x:v>0</x:v>
      </x:c>
      <x:c r="N313" s="116" t="n">
        <x:f>SUM(X313:BA313)</x:f>
        <x:v>0</x:v>
      </x:c>
      <x:c r="O313" s="116" t="n">
        <x:f>IF(M313,$D$10,0)</x:f>
        <x:v>0</x:v>
      </x:c>
      <x:c r="P313" s="116" t="n">
        <x:f>N313-O313</x:f>
        <x:v>0</x:v>
      </x:c>
      <x:c r="Q313" s="116" t="n">
        <x:f>IF(L313&lt;$D$5,0,IF(L313=$D$5,P313,Q312+P313))</x:f>
        <x:v>0</x:v>
      </x:c>
      <x:c r="R313" s="116" t="n">
        <x:f>IF(L313&lt;$D$5,"",$J$10+Q313)</x:f>
        <x:v>0</x:v>
      </x:c>
      <x:c r="S313" s="116" t="n">
        <x:f>IF($L313&lt;$D$5,"",IF($L313=$D$5,$J$10+$N313-IF($M313,IF(INT(($L313-$D$5)/7)&lt;$A$20,$B$20,$D$10),0),S312+$N313-IF($M313,IF(INT(($L313-$D$5)/7)&lt;$A$20,$B$20,$D$10),0)))</x:f>
        <x:v>0</x:v>
      </x:c>
      <x:c r="T313" s="116" t="n">
        <x:f>IF($L313&lt;$D$5,"",IF($L313=$D$5,$J$10+$N313-IF($M313,IF(INT(($L313-$D$5)/7)&lt;$A$21,$B$21,$D$10),0),T312+$N313-IF($M313,IF(INT(($L313-$D$5)/7)&lt;$A$21,$B$21,$D$10),0)))</x:f>
        <x:v>0</x:v>
      </x:c>
      <x:c r="U313" s="116" t="n">
        <x:f>IF($L313&lt;$D$5,"",IF($L313=$D$5,$J$10+$N313-IF($M313,IF(INT(($L313-$D$5)/7)&lt;$A$22,$B$22,$D$10),0),U312+$N313-IF($M313,IF(INT(($L313-$D$5)/7)&lt;$A$22,$B$22,$D$10),0)))</x:f>
        <x:v>0</x:v>
      </x:c>
      <x:c r="V313" s="116" t="n">
        <x:f>IF($L313&lt;$D$5,"",IF($L313=$D$5,$J$10+$N313-IF($M313,IF(INT(($L313-$D$5)/7)&lt;$A$23,$B$23,$D$10),0),V312+$N313-IF($M313,IF(INT(($L313-$D$5)/7)&lt;$A$23,$B$23,$D$10),0)))</x:f>
        <x:v>0</x:v>
      </x:c>
      <x:c r="W313" s="116" t="n">
        <x:f>IF($L313&lt;$D$5,"",IF($L313=$D$5,$J$10+$N313-IF($M313,IF(INT(($L313-$D$5)/7)&lt;$A$24,$B$24,$D$10),0),W312+$N313-IF($M313,IF(INT(($L313-$D$5)/7)&lt;$A$24,$B$24,$D$10),0)))</x:f>
        <x:v>0</x:v>
      </x:c>
      <x:c r="X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Y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Z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A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B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C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D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E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F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G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H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I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J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K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L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M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N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O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P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Q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R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S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T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U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V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W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X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Y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AZ313" s="116"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c r="BA313" s="117" t="n">
        <x:f>IF(OR(INDEX('1 Budget annuel'!$A$14:$A$43,COLUMN()-COLUMN($X$42)+1)&lt;&gt;"Oui",INDEX('1 Budget annuel'!$L$14:$L$43,COLUMN()-COLUMN($X$42)+1)="",AND(INDEX('1 Budget annuel'!$B$14:$B$43,COLUMN()-COLUMN($X$42)+1)="Sortie",INDEX('1 Budget annuel'!$M$14:$M$43,COLUMN()-COLUMN($X$42)+1)="Oui"),$L313&lt;INDEX('1 Budget annuel'!$L$14:$L$43,COLUMN()-COLUMN($X$42)+1),$L313&gt;$D$5+363),0,IF(OR(AND(INDEX('1 Budget annuel'!$E$14:$E$43,COLUMN()-COLUMN($X$42)+1)="Hebdomadaire",MOD($L313-INDEX('1 Budget annuel'!$L$14:$L$43,COLUMN()-COLUMN($X$42)+1),7)=0),AND(INDEX('1 Budget annuel'!$E$14:$E$43,COLUMN()-COLUMN($X$42)+1)="Toutes les 4 semaines",MOD($L313-INDEX('1 Budget annuel'!$L$14:$L$43,COLUMN()-COLUMN($X$42)+1),28)=0),AND(INDEX('1 Budget annuel'!$E$14:$E$43,COLUMN()-COLUMN($X$42)+1)="Mensuelle",DAY($L313)=MIN(DAY(INDEX('1 Budget annuel'!$L$14:$L$43,COLUMN()-COLUMN($X$42)+1)),DAY(EOMONTH($L313,0)))),AND(INDEX('1 Budget annuel'!$E$14:$E$43,COLUMN()-COLUMN($X$42)+1)="Trimestrielle",MOD((YEAR($L313)-YEAR(INDEX('1 Budget annuel'!$L$14:$L$43,COLUMN()-COLUMN($X$42)+1)))*12+MONTH($L313)-MONTH(INDEX('1 Budget annuel'!$L$14:$L$43,COLUMN()-COLUMN($X$42)+1)),3)=0,DAY($L313)=MIN(DAY(INDEX('1 Budget annuel'!$L$14:$L$43,COLUMN()-COLUMN($X$42)+1)),DAY(EOMONTH($L313,0)))),AND(INDEX('1 Budget annuel'!$E$14:$E$43,COLUMN()-COLUMN($X$42)+1)="Semestrielle",MOD((YEAR($L313)-YEAR(INDEX('1 Budget annuel'!$L$14:$L$43,COLUMN()-COLUMN($X$42)+1)))*12+MONTH($L313)-MONTH(INDEX('1 Budget annuel'!$L$14:$L$43,COLUMN()-COLUMN($X$42)+1)),6)=0,DAY($L313)=MIN(DAY(INDEX('1 Budget annuel'!$L$14:$L$43,COLUMN()-COLUMN($X$42)+1)),DAY(EOMONTH($L313,0)))),AND(INDEX('1 Budget annuel'!$E$14:$E$43,COLUMN()-COLUMN($X$42)+1)="Annuelle",MOD((YEAR($L313)-YEAR(INDEX('1 Budget annuel'!$L$14:$L$43,COLUMN()-COLUMN($X$42)+1)))*12+MONTH($L313)-MONTH(INDEX('1 Budget annuel'!$L$14:$L$43,COLUMN()-COLUMN($X$42)+1)),12)=0,DAY($L313)=MIN(DAY(INDEX('1 Budget annuel'!$L$14:$L$43,COLUMN()-COLUMN($X$42)+1)),DAY(EOMONTH($L313,0))))),IF(INDEX('1 Budget annuel'!$B$14:$B$43,COLUMN()-COLUMN($X$42)+1)="Entrée",INDEX('1 Budget annuel'!$I$14:$I$43,COLUMN()-COLUMN($X$42)+1),-INDEX('1 Budget annuel'!$I$14:$I$43,COLUMN()-COLUMN($X$42)+1)),0))</x:f>
        <x:v>0</x:v>
      </x:c>
    </x:row>
    <x:row r="314">
      <x:c r="L314" s="114" t="n">
        <x:f>L313+1</x:f>
        <x:v>46508</x:v>
      </x:c>
      <x:c r="M314" s="115" t="b">
        <x:f>AND(L314&gt;=$D$5,L314&lt;=$D$5+363,MOD(L314-$D$5,7)=0)</x:f>
        <x:v>1</x:v>
      </x:c>
      <x:c r="N314" s="116" t="n">
        <x:f>SUM(X314:BA314)</x:f>
        <x:v>0</x:v>
      </x:c>
      <x:c r="O314" s="116" t="n">
        <x:f>IF(M314,$D$10,0)</x:f>
        <x:v>0</x:v>
      </x:c>
      <x:c r="P314" s="116" t="n">
        <x:f>N314-O314</x:f>
        <x:v>0</x:v>
      </x:c>
      <x:c r="Q314" s="116" t="n">
        <x:f>IF(L314&lt;$D$5,0,IF(L314=$D$5,P314,Q313+P314))</x:f>
        <x:v>0</x:v>
      </x:c>
      <x:c r="R314" s="116" t="n">
        <x:f>IF(L314&lt;$D$5,"",$J$10+Q314)</x:f>
        <x:v>0</x:v>
      </x:c>
      <x:c r="S314" s="116" t="n">
        <x:f>IF($L314&lt;$D$5,"",IF($L314=$D$5,$J$10+$N314-IF($M314,IF(INT(($L314-$D$5)/7)&lt;$A$20,$B$20,$D$10),0),S313+$N314-IF($M314,IF(INT(($L314-$D$5)/7)&lt;$A$20,$B$20,$D$10),0)))</x:f>
        <x:v>0</x:v>
      </x:c>
      <x:c r="T314" s="116" t="n">
        <x:f>IF($L314&lt;$D$5,"",IF($L314=$D$5,$J$10+$N314-IF($M314,IF(INT(($L314-$D$5)/7)&lt;$A$21,$B$21,$D$10),0),T313+$N314-IF($M314,IF(INT(($L314-$D$5)/7)&lt;$A$21,$B$21,$D$10),0)))</x:f>
        <x:v>0</x:v>
      </x:c>
      <x:c r="U314" s="116" t="n">
        <x:f>IF($L314&lt;$D$5,"",IF($L314=$D$5,$J$10+$N314-IF($M314,IF(INT(($L314-$D$5)/7)&lt;$A$22,$B$22,$D$10),0),U313+$N314-IF($M314,IF(INT(($L314-$D$5)/7)&lt;$A$22,$B$22,$D$10),0)))</x:f>
        <x:v>0</x:v>
      </x:c>
      <x:c r="V314" s="116" t="n">
        <x:f>IF($L314&lt;$D$5,"",IF($L314=$D$5,$J$10+$N314-IF($M314,IF(INT(($L314-$D$5)/7)&lt;$A$23,$B$23,$D$10),0),V313+$N314-IF($M314,IF(INT(($L314-$D$5)/7)&lt;$A$23,$B$23,$D$10),0)))</x:f>
        <x:v>0</x:v>
      </x:c>
      <x:c r="W314" s="116" t="n">
        <x:f>IF($L314&lt;$D$5,"",IF($L314=$D$5,$J$10+$N314-IF($M314,IF(INT(($L314-$D$5)/7)&lt;$A$24,$B$24,$D$10),0),W313+$N314-IF($M314,IF(INT(($L314-$D$5)/7)&lt;$A$24,$B$24,$D$10),0)))</x:f>
        <x:v>0</x:v>
      </x:c>
      <x:c r="X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Y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Z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A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B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C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D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E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F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G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H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I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J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K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L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M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N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O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P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Q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R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S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T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U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V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W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X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Y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AZ314" s="116"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c r="BA314" s="117" t="n">
        <x:f>IF(OR(INDEX('1 Budget annuel'!$A$14:$A$43,COLUMN()-COLUMN($X$42)+1)&lt;&gt;"Oui",INDEX('1 Budget annuel'!$L$14:$L$43,COLUMN()-COLUMN($X$42)+1)="",AND(INDEX('1 Budget annuel'!$B$14:$B$43,COLUMN()-COLUMN($X$42)+1)="Sortie",INDEX('1 Budget annuel'!$M$14:$M$43,COLUMN()-COLUMN($X$42)+1)="Oui"),$L314&lt;INDEX('1 Budget annuel'!$L$14:$L$43,COLUMN()-COLUMN($X$42)+1),$L314&gt;$D$5+363),0,IF(OR(AND(INDEX('1 Budget annuel'!$E$14:$E$43,COLUMN()-COLUMN($X$42)+1)="Hebdomadaire",MOD($L314-INDEX('1 Budget annuel'!$L$14:$L$43,COLUMN()-COLUMN($X$42)+1),7)=0),AND(INDEX('1 Budget annuel'!$E$14:$E$43,COLUMN()-COLUMN($X$42)+1)="Toutes les 4 semaines",MOD($L314-INDEX('1 Budget annuel'!$L$14:$L$43,COLUMN()-COLUMN($X$42)+1),28)=0),AND(INDEX('1 Budget annuel'!$E$14:$E$43,COLUMN()-COLUMN($X$42)+1)="Mensuelle",DAY($L314)=MIN(DAY(INDEX('1 Budget annuel'!$L$14:$L$43,COLUMN()-COLUMN($X$42)+1)),DAY(EOMONTH($L314,0)))),AND(INDEX('1 Budget annuel'!$E$14:$E$43,COLUMN()-COLUMN($X$42)+1)="Trimestrielle",MOD((YEAR($L314)-YEAR(INDEX('1 Budget annuel'!$L$14:$L$43,COLUMN()-COLUMN($X$42)+1)))*12+MONTH($L314)-MONTH(INDEX('1 Budget annuel'!$L$14:$L$43,COLUMN()-COLUMN($X$42)+1)),3)=0,DAY($L314)=MIN(DAY(INDEX('1 Budget annuel'!$L$14:$L$43,COLUMN()-COLUMN($X$42)+1)),DAY(EOMONTH($L314,0)))),AND(INDEX('1 Budget annuel'!$E$14:$E$43,COLUMN()-COLUMN($X$42)+1)="Semestrielle",MOD((YEAR($L314)-YEAR(INDEX('1 Budget annuel'!$L$14:$L$43,COLUMN()-COLUMN($X$42)+1)))*12+MONTH($L314)-MONTH(INDEX('1 Budget annuel'!$L$14:$L$43,COLUMN()-COLUMN($X$42)+1)),6)=0,DAY($L314)=MIN(DAY(INDEX('1 Budget annuel'!$L$14:$L$43,COLUMN()-COLUMN($X$42)+1)),DAY(EOMONTH($L314,0)))),AND(INDEX('1 Budget annuel'!$E$14:$E$43,COLUMN()-COLUMN($X$42)+1)="Annuelle",MOD((YEAR($L314)-YEAR(INDEX('1 Budget annuel'!$L$14:$L$43,COLUMN()-COLUMN($X$42)+1)))*12+MONTH($L314)-MONTH(INDEX('1 Budget annuel'!$L$14:$L$43,COLUMN()-COLUMN($X$42)+1)),12)=0,DAY($L314)=MIN(DAY(INDEX('1 Budget annuel'!$L$14:$L$43,COLUMN()-COLUMN($X$42)+1)),DAY(EOMONTH($L314,0))))),IF(INDEX('1 Budget annuel'!$B$14:$B$43,COLUMN()-COLUMN($X$42)+1)="Entrée",INDEX('1 Budget annuel'!$I$14:$I$43,COLUMN()-COLUMN($X$42)+1),-INDEX('1 Budget annuel'!$I$14:$I$43,COLUMN()-COLUMN($X$42)+1)),0))</x:f>
        <x:v>0</x:v>
      </x:c>
    </x:row>
    <x:row r="315">
      <x:c r="L315" s="114" t="n">
        <x:f>L314+1</x:f>
        <x:v>46509</x:v>
      </x:c>
      <x:c r="M315" s="115" t="b">
        <x:f>AND(L315&gt;=$D$5,L315&lt;=$D$5+363,MOD(L315-$D$5,7)=0)</x:f>
        <x:v>0</x:v>
      </x:c>
      <x:c r="N315" s="116" t="n">
        <x:f>SUM(X315:BA315)</x:f>
        <x:v>0</x:v>
      </x:c>
      <x:c r="O315" s="116" t="n">
        <x:f>IF(M315,$D$10,0)</x:f>
        <x:v>0</x:v>
      </x:c>
      <x:c r="P315" s="116" t="n">
        <x:f>N315-O315</x:f>
        <x:v>0</x:v>
      </x:c>
      <x:c r="Q315" s="116" t="n">
        <x:f>IF(L315&lt;$D$5,0,IF(L315=$D$5,P315,Q314+P315))</x:f>
        <x:v>0</x:v>
      </x:c>
      <x:c r="R315" s="116" t="n">
        <x:f>IF(L315&lt;$D$5,"",$J$10+Q315)</x:f>
        <x:v>0</x:v>
      </x:c>
      <x:c r="S315" s="116" t="n">
        <x:f>IF($L315&lt;$D$5,"",IF($L315=$D$5,$J$10+$N315-IF($M315,IF(INT(($L315-$D$5)/7)&lt;$A$20,$B$20,$D$10),0),S314+$N315-IF($M315,IF(INT(($L315-$D$5)/7)&lt;$A$20,$B$20,$D$10),0)))</x:f>
        <x:v>0</x:v>
      </x:c>
      <x:c r="T315" s="116" t="n">
        <x:f>IF($L315&lt;$D$5,"",IF($L315=$D$5,$J$10+$N315-IF($M315,IF(INT(($L315-$D$5)/7)&lt;$A$21,$B$21,$D$10),0),T314+$N315-IF($M315,IF(INT(($L315-$D$5)/7)&lt;$A$21,$B$21,$D$10),0)))</x:f>
        <x:v>0</x:v>
      </x:c>
      <x:c r="U315" s="116" t="n">
        <x:f>IF($L315&lt;$D$5,"",IF($L315=$D$5,$J$10+$N315-IF($M315,IF(INT(($L315-$D$5)/7)&lt;$A$22,$B$22,$D$10),0),U314+$N315-IF($M315,IF(INT(($L315-$D$5)/7)&lt;$A$22,$B$22,$D$10),0)))</x:f>
        <x:v>0</x:v>
      </x:c>
      <x:c r="V315" s="116" t="n">
        <x:f>IF($L315&lt;$D$5,"",IF($L315=$D$5,$J$10+$N315-IF($M315,IF(INT(($L315-$D$5)/7)&lt;$A$23,$B$23,$D$10),0),V314+$N315-IF($M315,IF(INT(($L315-$D$5)/7)&lt;$A$23,$B$23,$D$10),0)))</x:f>
        <x:v>0</x:v>
      </x:c>
      <x:c r="W315" s="116" t="n">
        <x:f>IF($L315&lt;$D$5,"",IF($L315=$D$5,$J$10+$N315-IF($M315,IF(INT(($L315-$D$5)/7)&lt;$A$24,$B$24,$D$10),0),W314+$N315-IF($M315,IF(INT(($L315-$D$5)/7)&lt;$A$24,$B$24,$D$10),0)))</x:f>
        <x:v>0</x:v>
      </x:c>
      <x:c r="X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Y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Z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A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B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C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D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E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F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G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H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I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J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K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L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M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N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O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P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Q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R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S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T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U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V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W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X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Y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AZ315" s="116"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c r="BA315" s="117" t="n">
        <x:f>IF(OR(INDEX('1 Budget annuel'!$A$14:$A$43,COLUMN()-COLUMN($X$42)+1)&lt;&gt;"Oui",INDEX('1 Budget annuel'!$L$14:$L$43,COLUMN()-COLUMN($X$42)+1)="",AND(INDEX('1 Budget annuel'!$B$14:$B$43,COLUMN()-COLUMN($X$42)+1)="Sortie",INDEX('1 Budget annuel'!$M$14:$M$43,COLUMN()-COLUMN($X$42)+1)="Oui"),$L315&lt;INDEX('1 Budget annuel'!$L$14:$L$43,COLUMN()-COLUMN($X$42)+1),$L315&gt;$D$5+363),0,IF(OR(AND(INDEX('1 Budget annuel'!$E$14:$E$43,COLUMN()-COLUMN($X$42)+1)="Hebdomadaire",MOD($L315-INDEX('1 Budget annuel'!$L$14:$L$43,COLUMN()-COLUMN($X$42)+1),7)=0),AND(INDEX('1 Budget annuel'!$E$14:$E$43,COLUMN()-COLUMN($X$42)+1)="Toutes les 4 semaines",MOD($L315-INDEX('1 Budget annuel'!$L$14:$L$43,COLUMN()-COLUMN($X$42)+1),28)=0),AND(INDEX('1 Budget annuel'!$E$14:$E$43,COLUMN()-COLUMN($X$42)+1)="Mensuelle",DAY($L315)=MIN(DAY(INDEX('1 Budget annuel'!$L$14:$L$43,COLUMN()-COLUMN($X$42)+1)),DAY(EOMONTH($L315,0)))),AND(INDEX('1 Budget annuel'!$E$14:$E$43,COLUMN()-COLUMN($X$42)+1)="Trimestrielle",MOD((YEAR($L315)-YEAR(INDEX('1 Budget annuel'!$L$14:$L$43,COLUMN()-COLUMN($X$42)+1)))*12+MONTH($L315)-MONTH(INDEX('1 Budget annuel'!$L$14:$L$43,COLUMN()-COLUMN($X$42)+1)),3)=0,DAY($L315)=MIN(DAY(INDEX('1 Budget annuel'!$L$14:$L$43,COLUMN()-COLUMN($X$42)+1)),DAY(EOMONTH($L315,0)))),AND(INDEX('1 Budget annuel'!$E$14:$E$43,COLUMN()-COLUMN($X$42)+1)="Semestrielle",MOD((YEAR($L315)-YEAR(INDEX('1 Budget annuel'!$L$14:$L$43,COLUMN()-COLUMN($X$42)+1)))*12+MONTH($L315)-MONTH(INDEX('1 Budget annuel'!$L$14:$L$43,COLUMN()-COLUMN($X$42)+1)),6)=0,DAY($L315)=MIN(DAY(INDEX('1 Budget annuel'!$L$14:$L$43,COLUMN()-COLUMN($X$42)+1)),DAY(EOMONTH($L315,0)))),AND(INDEX('1 Budget annuel'!$E$14:$E$43,COLUMN()-COLUMN($X$42)+1)="Annuelle",MOD((YEAR($L315)-YEAR(INDEX('1 Budget annuel'!$L$14:$L$43,COLUMN()-COLUMN($X$42)+1)))*12+MONTH($L315)-MONTH(INDEX('1 Budget annuel'!$L$14:$L$43,COLUMN()-COLUMN($X$42)+1)),12)=0,DAY($L315)=MIN(DAY(INDEX('1 Budget annuel'!$L$14:$L$43,COLUMN()-COLUMN($X$42)+1)),DAY(EOMONTH($L315,0))))),IF(INDEX('1 Budget annuel'!$B$14:$B$43,COLUMN()-COLUMN($X$42)+1)="Entrée",INDEX('1 Budget annuel'!$I$14:$I$43,COLUMN()-COLUMN($X$42)+1),-INDEX('1 Budget annuel'!$I$14:$I$43,COLUMN()-COLUMN($X$42)+1)),0))</x:f>
        <x:v>0</x:v>
      </x:c>
    </x:row>
    <x:row r="316">
      <x:c r="L316" s="114" t="n">
        <x:f>L315+1</x:f>
        <x:v>46510</x:v>
      </x:c>
      <x:c r="M316" s="115" t="b">
        <x:f>AND(L316&gt;=$D$5,L316&lt;=$D$5+363,MOD(L316-$D$5,7)=0)</x:f>
        <x:v>0</x:v>
      </x:c>
      <x:c r="N316" s="116" t="n">
        <x:f>SUM(X316:BA316)</x:f>
        <x:v>0</x:v>
      </x:c>
      <x:c r="O316" s="116" t="n">
        <x:f>IF(M316,$D$10,0)</x:f>
        <x:v>0</x:v>
      </x:c>
      <x:c r="P316" s="116" t="n">
        <x:f>N316-O316</x:f>
        <x:v>0</x:v>
      </x:c>
      <x:c r="Q316" s="116" t="n">
        <x:f>IF(L316&lt;$D$5,0,IF(L316=$D$5,P316,Q315+P316))</x:f>
        <x:v>0</x:v>
      </x:c>
      <x:c r="R316" s="116" t="n">
        <x:f>IF(L316&lt;$D$5,"",$J$10+Q316)</x:f>
        <x:v>0</x:v>
      </x:c>
      <x:c r="S316" s="116" t="n">
        <x:f>IF($L316&lt;$D$5,"",IF($L316=$D$5,$J$10+$N316-IF($M316,IF(INT(($L316-$D$5)/7)&lt;$A$20,$B$20,$D$10),0),S315+$N316-IF($M316,IF(INT(($L316-$D$5)/7)&lt;$A$20,$B$20,$D$10),0)))</x:f>
        <x:v>0</x:v>
      </x:c>
      <x:c r="T316" s="116" t="n">
        <x:f>IF($L316&lt;$D$5,"",IF($L316=$D$5,$J$10+$N316-IF($M316,IF(INT(($L316-$D$5)/7)&lt;$A$21,$B$21,$D$10),0),T315+$N316-IF($M316,IF(INT(($L316-$D$5)/7)&lt;$A$21,$B$21,$D$10),0)))</x:f>
        <x:v>0</x:v>
      </x:c>
      <x:c r="U316" s="116" t="n">
        <x:f>IF($L316&lt;$D$5,"",IF($L316=$D$5,$J$10+$N316-IF($M316,IF(INT(($L316-$D$5)/7)&lt;$A$22,$B$22,$D$10),0),U315+$N316-IF($M316,IF(INT(($L316-$D$5)/7)&lt;$A$22,$B$22,$D$10),0)))</x:f>
        <x:v>0</x:v>
      </x:c>
      <x:c r="V316" s="116" t="n">
        <x:f>IF($L316&lt;$D$5,"",IF($L316=$D$5,$J$10+$N316-IF($M316,IF(INT(($L316-$D$5)/7)&lt;$A$23,$B$23,$D$10),0),V315+$N316-IF($M316,IF(INT(($L316-$D$5)/7)&lt;$A$23,$B$23,$D$10),0)))</x:f>
        <x:v>0</x:v>
      </x:c>
      <x:c r="W316" s="116" t="n">
        <x:f>IF($L316&lt;$D$5,"",IF($L316=$D$5,$J$10+$N316-IF($M316,IF(INT(($L316-$D$5)/7)&lt;$A$24,$B$24,$D$10),0),W315+$N316-IF($M316,IF(INT(($L316-$D$5)/7)&lt;$A$24,$B$24,$D$10),0)))</x:f>
        <x:v>0</x:v>
      </x:c>
      <x:c r="X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Y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Z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A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B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C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D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E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F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G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H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I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J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K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L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M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N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O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P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Q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R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S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T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U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V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W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X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Y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AZ316" s="116"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c r="BA316" s="117" t="n">
        <x:f>IF(OR(INDEX('1 Budget annuel'!$A$14:$A$43,COLUMN()-COLUMN($X$42)+1)&lt;&gt;"Oui",INDEX('1 Budget annuel'!$L$14:$L$43,COLUMN()-COLUMN($X$42)+1)="",AND(INDEX('1 Budget annuel'!$B$14:$B$43,COLUMN()-COLUMN($X$42)+1)="Sortie",INDEX('1 Budget annuel'!$M$14:$M$43,COLUMN()-COLUMN($X$42)+1)="Oui"),$L316&lt;INDEX('1 Budget annuel'!$L$14:$L$43,COLUMN()-COLUMN($X$42)+1),$L316&gt;$D$5+363),0,IF(OR(AND(INDEX('1 Budget annuel'!$E$14:$E$43,COLUMN()-COLUMN($X$42)+1)="Hebdomadaire",MOD($L316-INDEX('1 Budget annuel'!$L$14:$L$43,COLUMN()-COLUMN($X$42)+1),7)=0),AND(INDEX('1 Budget annuel'!$E$14:$E$43,COLUMN()-COLUMN($X$42)+1)="Toutes les 4 semaines",MOD($L316-INDEX('1 Budget annuel'!$L$14:$L$43,COLUMN()-COLUMN($X$42)+1),28)=0),AND(INDEX('1 Budget annuel'!$E$14:$E$43,COLUMN()-COLUMN($X$42)+1)="Mensuelle",DAY($L316)=MIN(DAY(INDEX('1 Budget annuel'!$L$14:$L$43,COLUMN()-COLUMN($X$42)+1)),DAY(EOMONTH($L316,0)))),AND(INDEX('1 Budget annuel'!$E$14:$E$43,COLUMN()-COLUMN($X$42)+1)="Trimestrielle",MOD((YEAR($L316)-YEAR(INDEX('1 Budget annuel'!$L$14:$L$43,COLUMN()-COLUMN($X$42)+1)))*12+MONTH($L316)-MONTH(INDEX('1 Budget annuel'!$L$14:$L$43,COLUMN()-COLUMN($X$42)+1)),3)=0,DAY($L316)=MIN(DAY(INDEX('1 Budget annuel'!$L$14:$L$43,COLUMN()-COLUMN($X$42)+1)),DAY(EOMONTH($L316,0)))),AND(INDEX('1 Budget annuel'!$E$14:$E$43,COLUMN()-COLUMN($X$42)+1)="Semestrielle",MOD((YEAR($L316)-YEAR(INDEX('1 Budget annuel'!$L$14:$L$43,COLUMN()-COLUMN($X$42)+1)))*12+MONTH($L316)-MONTH(INDEX('1 Budget annuel'!$L$14:$L$43,COLUMN()-COLUMN($X$42)+1)),6)=0,DAY($L316)=MIN(DAY(INDEX('1 Budget annuel'!$L$14:$L$43,COLUMN()-COLUMN($X$42)+1)),DAY(EOMONTH($L316,0)))),AND(INDEX('1 Budget annuel'!$E$14:$E$43,COLUMN()-COLUMN($X$42)+1)="Annuelle",MOD((YEAR($L316)-YEAR(INDEX('1 Budget annuel'!$L$14:$L$43,COLUMN()-COLUMN($X$42)+1)))*12+MONTH($L316)-MONTH(INDEX('1 Budget annuel'!$L$14:$L$43,COLUMN()-COLUMN($X$42)+1)),12)=0,DAY($L316)=MIN(DAY(INDEX('1 Budget annuel'!$L$14:$L$43,COLUMN()-COLUMN($X$42)+1)),DAY(EOMONTH($L316,0))))),IF(INDEX('1 Budget annuel'!$B$14:$B$43,COLUMN()-COLUMN($X$42)+1)="Entrée",INDEX('1 Budget annuel'!$I$14:$I$43,COLUMN()-COLUMN($X$42)+1),-INDEX('1 Budget annuel'!$I$14:$I$43,COLUMN()-COLUMN($X$42)+1)),0))</x:f>
        <x:v>0</x:v>
      </x:c>
    </x:row>
    <x:row r="317">
      <x:c r="L317" s="114" t="n">
        <x:f>L316+1</x:f>
        <x:v>46511</x:v>
      </x:c>
      <x:c r="M317" s="115" t="b">
        <x:f>AND(L317&gt;=$D$5,L317&lt;=$D$5+363,MOD(L317-$D$5,7)=0)</x:f>
        <x:v>0</x:v>
      </x:c>
      <x:c r="N317" s="116" t="n">
        <x:f>SUM(X317:BA317)</x:f>
        <x:v>0</x:v>
      </x:c>
      <x:c r="O317" s="116" t="n">
        <x:f>IF(M317,$D$10,0)</x:f>
        <x:v>0</x:v>
      </x:c>
      <x:c r="P317" s="116" t="n">
        <x:f>N317-O317</x:f>
        <x:v>0</x:v>
      </x:c>
      <x:c r="Q317" s="116" t="n">
        <x:f>IF(L317&lt;$D$5,0,IF(L317=$D$5,P317,Q316+P317))</x:f>
        <x:v>0</x:v>
      </x:c>
      <x:c r="R317" s="116" t="n">
        <x:f>IF(L317&lt;$D$5,"",$J$10+Q317)</x:f>
        <x:v>0</x:v>
      </x:c>
      <x:c r="S317" s="116" t="n">
        <x:f>IF($L317&lt;$D$5,"",IF($L317=$D$5,$J$10+$N317-IF($M317,IF(INT(($L317-$D$5)/7)&lt;$A$20,$B$20,$D$10),0),S316+$N317-IF($M317,IF(INT(($L317-$D$5)/7)&lt;$A$20,$B$20,$D$10),0)))</x:f>
        <x:v>0</x:v>
      </x:c>
      <x:c r="T317" s="116" t="n">
        <x:f>IF($L317&lt;$D$5,"",IF($L317=$D$5,$J$10+$N317-IF($M317,IF(INT(($L317-$D$5)/7)&lt;$A$21,$B$21,$D$10),0),T316+$N317-IF($M317,IF(INT(($L317-$D$5)/7)&lt;$A$21,$B$21,$D$10),0)))</x:f>
        <x:v>0</x:v>
      </x:c>
      <x:c r="U317" s="116" t="n">
        <x:f>IF($L317&lt;$D$5,"",IF($L317=$D$5,$J$10+$N317-IF($M317,IF(INT(($L317-$D$5)/7)&lt;$A$22,$B$22,$D$10),0),U316+$N317-IF($M317,IF(INT(($L317-$D$5)/7)&lt;$A$22,$B$22,$D$10),0)))</x:f>
        <x:v>0</x:v>
      </x:c>
      <x:c r="V317" s="116" t="n">
        <x:f>IF($L317&lt;$D$5,"",IF($L317=$D$5,$J$10+$N317-IF($M317,IF(INT(($L317-$D$5)/7)&lt;$A$23,$B$23,$D$10),0),V316+$N317-IF($M317,IF(INT(($L317-$D$5)/7)&lt;$A$23,$B$23,$D$10),0)))</x:f>
        <x:v>0</x:v>
      </x:c>
      <x:c r="W317" s="116" t="n">
        <x:f>IF($L317&lt;$D$5,"",IF($L317=$D$5,$J$10+$N317-IF($M317,IF(INT(($L317-$D$5)/7)&lt;$A$24,$B$24,$D$10),0),W316+$N317-IF($M317,IF(INT(($L317-$D$5)/7)&lt;$A$24,$B$24,$D$10),0)))</x:f>
        <x:v>0</x:v>
      </x:c>
      <x:c r="X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Y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Z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A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B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C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D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E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F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G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H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I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J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K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L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M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N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O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P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Q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R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S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T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U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V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W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X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Y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AZ317" s="116"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c r="BA317" s="117" t="n">
        <x:f>IF(OR(INDEX('1 Budget annuel'!$A$14:$A$43,COLUMN()-COLUMN($X$42)+1)&lt;&gt;"Oui",INDEX('1 Budget annuel'!$L$14:$L$43,COLUMN()-COLUMN($X$42)+1)="",AND(INDEX('1 Budget annuel'!$B$14:$B$43,COLUMN()-COLUMN($X$42)+1)="Sortie",INDEX('1 Budget annuel'!$M$14:$M$43,COLUMN()-COLUMN($X$42)+1)="Oui"),$L317&lt;INDEX('1 Budget annuel'!$L$14:$L$43,COLUMN()-COLUMN($X$42)+1),$L317&gt;$D$5+363),0,IF(OR(AND(INDEX('1 Budget annuel'!$E$14:$E$43,COLUMN()-COLUMN($X$42)+1)="Hebdomadaire",MOD($L317-INDEX('1 Budget annuel'!$L$14:$L$43,COLUMN()-COLUMN($X$42)+1),7)=0),AND(INDEX('1 Budget annuel'!$E$14:$E$43,COLUMN()-COLUMN($X$42)+1)="Toutes les 4 semaines",MOD($L317-INDEX('1 Budget annuel'!$L$14:$L$43,COLUMN()-COLUMN($X$42)+1),28)=0),AND(INDEX('1 Budget annuel'!$E$14:$E$43,COLUMN()-COLUMN($X$42)+1)="Mensuelle",DAY($L317)=MIN(DAY(INDEX('1 Budget annuel'!$L$14:$L$43,COLUMN()-COLUMN($X$42)+1)),DAY(EOMONTH($L317,0)))),AND(INDEX('1 Budget annuel'!$E$14:$E$43,COLUMN()-COLUMN($X$42)+1)="Trimestrielle",MOD((YEAR($L317)-YEAR(INDEX('1 Budget annuel'!$L$14:$L$43,COLUMN()-COLUMN($X$42)+1)))*12+MONTH($L317)-MONTH(INDEX('1 Budget annuel'!$L$14:$L$43,COLUMN()-COLUMN($X$42)+1)),3)=0,DAY($L317)=MIN(DAY(INDEX('1 Budget annuel'!$L$14:$L$43,COLUMN()-COLUMN($X$42)+1)),DAY(EOMONTH($L317,0)))),AND(INDEX('1 Budget annuel'!$E$14:$E$43,COLUMN()-COLUMN($X$42)+1)="Semestrielle",MOD((YEAR($L317)-YEAR(INDEX('1 Budget annuel'!$L$14:$L$43,COLUMN()-COLUMN($X$42)+1)))*12+MONTH($L317)-MONTH(INDEX('1 Budget annuel'!$L$14:$L$43,COLUMN()-COLUMN($X$42)+1)),6)=0,DAY($L317)=MIN(DAY(INDEX('1 Budget annuel'!$L$14:$L$43,COLUMN()-COLUMN($X$42)+1)),DAY(EOMONTH($L317,0)))),AND(INDEX('1 Budget annuel'!$E$14:$E$43,COLUMN()-COLUMN($X$42)+1)="Annuelle",MOD((YEAR($L317)-YEAR(INDEX('1 Budget annuel'!$L$14:$L$43,COLUMN()-COLUMN($X$42)+1)))*12+MONTH($L317)-MONTH(INDEX('1 Budget annuel'!$L$14:$L$43,COLUMN()-COLUMN($X$42)+1)),12)=0,DAY($L317)=MIN(DAY(INDEX('1 Budget annuel'!$L$14:$L$43,COLUMN()-COLUMN($X$42)+1)),DAY(EOMONTH($L317,0))))),IF(INDEX('1 Budget annuel'!$B$14:$B$43,COLUMN()-COLUMN($X$42)+1)="Entrée",INDEX('1 Budget annuel'!$I$14:$I$43,COLUMN()-COLUMN($X$42)+1),-INDEX('1 Budget annuel'!$I$14:$I$43,COLUMN()-COLUMN($X$42)+1)),0))</x:f>
        <x:v>0</x:v>
      </x:c>
    </x:row>
    <x:row r="318">
      <x:c r="L318" s="114" t="n">
        <x:f>L317+1</x:f>
        <x:v>46512</x:v>
      </x:c>
      <x:c r="M318" s="115" t="b">
        <x:f>AND(L318&gt;=$D$5,L318&lt;=$D$5+363,MOD(L318-$D$5,7)=0)</x:f>
        <x:v>0</x:v>
      </x:c>
      <x:c r="N318" s="116" t="n">
        <x:f>SUM(X318:BA318)</x:f>
        <x:v>0</x:v>
      </x:c>
      <x:c r="O318" s="116" t="n">
        <x:f>IF(M318,$D$10,0)</x:f>
        <x:v>0</x:v>
      </x:c>
      <x:c r="P318" s="116" t="n">
        <x:f>N318-O318</x:f>
        <x:v>0</x:v>
      </x:c>
      <x:c r="Q318" s="116" t="n">
        <x:f>IF(L318&lt;$D$5,0,IF(L318=$D$5,P318,Q317+P318))</x:f>
        <x:v>0</x:v>
      </x:c>
      <x:c r="R318" s="116" t="n">
        <x:f>IF(L318&lt;$D$5,"",$J$10+Q318)</x:f>
        <x:v>0</x:v>
      </x:c>
      <x:c r="S318" s="116" t="n">
        <x:f>IF($L318&lt;$D$5,"",IF($L318=$D$5,$J$10+$N318-IF($M318,IF(INT(($L318-$D$5)/7)&lt;$A$20,$B$20,$D$10),0),S317+$N318-IF($M318,IF(INT(($L318-$D$5)/7)&lt;$A$20,$B$20,$D$10),0)))</x:f>
        <x:v>0</x:v>
      </x:c>
      <x:c r="T318" s="116" t="n">
        <x:f>IF($L318&lt;$D$5,"",IF($L318=$D$5,$J$10+$N318-IF($M318,IF(INT(($L318-$D$5)/7)&lt;$A$21,$B$21,$D$10),0),T317+$N318-IF($M318,IF(INT(($L318-$D$5)/7)&lt;$A$21,$B$21,$D$10),0)))</x:f>
        <x:v>0</x:v>
      </x:c>
      <x:c r="U318" s="116" t="n">
        <x:f>IF($L318&lt;$D$5,"",IF($L318=$D$5,$J$10+$N318-IF($M318,IF(INT(($L318-$D$5)/7)&lt;$A$22,$B$22,$D$10),0),U317+$N318-IF($M318,IF(INT(($L318-$D$5)/7)&lt;$A$22,$B$22,$D$10),0)))</x:f>
        <x:v>0</x:v>
      </x:c>
      <x:c r="V318" s="116" t="n">
        <x:f>IF($L318&lt;$D$5,"",IF($L318=$D$5,$J$10+$N318-IF($M318,IF(INT(($L318-$D$5)/7)&lt;$A$23,$B$23,$D$10),0),V317+$N318-IF($M318,IF(INT(($L318-$D$5)/7)&lt;$A$23,$B$23,$D$10),0)))</x:f>
        <x:v>0</x:v>
      </x:c>
      <x:c r="W318" s="116" t="n">
        <x:f>IF($L318&lt;$D$5,"",IF($L318=$D$5,$J$10+$N318-IF($M318,IF(INT(($L318-$D$5)/7)&lt;$A$24,$B$24,$D$10),0),W317+$N318-IF($M318,IF(INT(($L318-$D$5)/7)&lt;$A$24,$B$24,$D$10),0)))</x:f>
        <x:v>0</x:v>
      </x:c>
      <x:c r="X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Y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Z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A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B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C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D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E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F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G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H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I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J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K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L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M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N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O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P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Q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R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S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T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U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V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W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X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Y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AZ318" s="116"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c r="BA318" s="117" t="n">
        <x:f>IF(OR(INDEX('1 Budget annuel'!$A$14:$A$43,COLUMN()-COLUMN($X$42)+1)&lt;&gt;"Oui",INDEX('1 Budget annuel'!$L$14:$L$43,COLUMN()-COLUMN($X$42)+1)="",AND(INDEX('1 Budget annuel'!$B$14:$B$43,COLUMN()-COLUMN($X$42)+1)="Sortie",INDEX('1 Budget annuel'!$M$14:$M$43,COLUMN()-COLUMN($X$42)+1)="Oui"),$L318&lt;INDEX('1 Budget annuel'!$L$14:$L$43,COLUMN()-COLUMN($X$42)+1),$L318&gt;$D$5+363),0,IF(OR(AND(INDEX('1 Budget annuel'!$E$14:$E$43,COLUMN()-COLUMN($X$42)+1)="Hebdomadaire",MOD($L318-INDEX('1 Budget annuel'!$L$14:$L$43,COLUMN()-COLUMN($X$42)+1),7)=0),AND(INDEX('1 Budget annuel'!$E$14:$E$43,COLUMN()-COLUMN($X$42)+1)="Toutes les 4 semaines",MOD($L318-INDEX('1 Budget annuel'!$L$14:$L$43,COLUMN()-COLUMN($X$42)+1),28)=0),AND(INDEX('1 Budget annuel'!$E$14:$E$43,COLUMN()-COLUMN($X$42)+1)="Mensuelle",DAY($L318)=MIN(DAY(INDEX('1 Budget annuel'!$L$14:$L$43,COLUMN()-COLUMN($X$42)+1)),DAY(EOMONTH($L318,0)))),AND(INDEX('1 Budget annuel'!$E$14:$E$43,COLUMN()-COLUMN($X$42)+1)="Trimestrielle",MOD((YEAR($L318)-YEAR(INDEX('1 Budget annuel'!$L$14:$L$43,COLUMN()-COLUMN($X$42)+1)))*12+MONTH($L318)-MONTH(INDEX('1 Budget annuel'!$L$14:$L$43,COLUMN()-COLUMN($X$42)+1)),3)=0,DAY($L318)=MIN(DAY(INDEX('1 Budget annuel'!$L$14:$L$43,COLUMN()-COLUMN($X$42)+1)),DAY(EOMONTH($L318,0)))),AND(INDEX('1 Budget annuel'!$E$14:$E$43,COLUMN()-COLUMN($X$42)+1)="Semestrielle",MOD((YEAR($L318)-YEAR(INDEX('1 Budget annuel'!$L$14:$L$43,COLUMN()-COLUMN($X$42)+1)))*12+MONTH($L318)-MONTH(INDEX('1 Budget annuel'!$L$14:$L$43,COLUMN()-COLUMN($X$42)+1)),6)=0,DAY($L318)=MIN(DAY(INDEX('1 Budget annuel'!$L$14:$L$43,COLUMN()-COLUMN($X$42)+1)),DAY(EOMONTH($L318,0)))),AND(INDEX('1 Budget annuel'!$E$14:$E$43,COLUMN()-COLUMN($X$42)+1)="Annuelle",MOD((YEAR($L318)-YEAR(INDEX('1 Budget annuel'!$L$14:$L$43,COLUMN()-COLUMN($X$42)+1)))*12+MONTH($L318)-MONTH(INDEX('1 Budget annuel'!$L$14:$L$43,COLUMN()-COLUMN($X$42)+1)),12)=0,DAY($L318)=MIN(DAY(INDEX('1 Budget annuel'!$L$14:$L$43,COLUMN()-COLUMN($X$42)+1)),DAY(EOMONTH($L318,0))))),IF(INDEX('1 Budget annuel'!$B$14:$B$43,COLUMN()-COLUMN($X$42)+1)="Entrée",INDEX('1 Budget annuel'!$I$14:$I$43,COLUMN()-COLUMN($X$42)+1),-INDEX('1 Budget annuel'!$I$14:$I$43,COLUMN()-COLUMN($X$42)+1)),0))</x:f>
        <x:v>0</x:v>
      </x:c>
    </x:row>
    <x:row r="319">
      <x:c r="L319" s="114" t="n">
        <x:f>L318+1</x:f>
        <x:v>46513</x:v>
      </x:c>
      <x:c r="M319" s="115" t="b">
        <x:f>AND(L319&gt;=$D$5,L319&lt;=$D$5+363,MOD(L319-$D$5,7)=0)</x:f>
        <x:v>0</x:v>
      </x:c>
      <x:c r="N319" s="116" t="n">
        <x:f>SUM(X319:BA319)</x:f>
        <x:v>0</x:v>
      </x:c>
      <x:c r="O319" s="116" t="n">
        <x:f>IF(M319,$D$10,0)</x:f>
        <x:v>0</x:v>
      </x:c>
      <x:c r="P319" s="116" t="n">
        <x:f>N319-O319</x:f>
        <x:v>0</x:v>
      </x:c>
      <x:c r="Q319" s="116" t="n">
        <x:f>IF(L319&lt;$D$5,0,IF(L319=$D$5,P319,Q318+P319))</x:f>
        <x:v>0</x:v>
      </x:c>
      <x:c r="R319" s="116" t="n">
        <x:f>IF(L319&lt;$D$5,"",$J$10+Q319)</x:f>
        <x:v>0</x:v>
      </x:c>
      <x:c r="S319" s="116" t="n">
        <x:f>IF($L319&lt;$D$5,"",IF($L319=$D$5,$J$10+$N319-IF($M319,IF(INT(($L319-$D$5)/7)&lt;$A$20,$B$20,$D$10),0),S318+$N319-IF($M319,IF(INT(($L319-$D$5)/7)&lt;$A$20,$B$20,$D$10),0)))</x:f>
        <x:v>0</x:v>
      </x:c>
      <x:c r="T319" s="116" t="n">
        <x:f>IF($L319&lt;$D$5,"",IF($L319=$D$5,$J$10+$N319-IF($M319,IF(INT(($L319-$D$5)/7)&lt;$A$21,$B$21,$D$10),0),T318+$N319-IF($M319,IF(INT(($L319-$D$5)/7)&lt;$A$21,$B$21,$D$10),0)))</x:f>
        <x:v>0</x:v>
      </x:c>
      <x:c r="U319" s="116" t="n">
        <x:f>IF($L319&lt;$D$5,"",IF($L319=$D$5,$J$10+$N319-IF($M319,IF(INT(($L319-$D$5)/7)&lt;$A$22,$B$22,$D$10),0),U318+$N319-IF($M319,IF(INT(($L319-$D$5)/7)&lt;$A$22,$B$22,$D$10),0)))</x:f>
        <x:v>0</x:v>
      </x:c>
      <x:c r="V319" s="116" t="n">
        <x:f>IF($L319&lt;$D$5,"",IF($L319=$D$5,$J$10+$N319-IF($M319,IF(INT(($L319-$D$5)/7)&lt;$A$23,$B$23,$D$10),0),V318+$N319-IF($M319,IF(INT(($L319-$D$5)/7)&lt;$A$23,$B$23,$D$10),0)))</x:f>
        <x:v>0</x:v>
      </x:c>
      <x:c r="W319" s="116" t="n">
        <x:f>IF($L319&lt;$D$5,"",IF($L319=$D$5,$J$10+$N319-IF($M319,IF(INT(($L319-$D$5)/7)&lt;$A$24,$B$24,$D$10),0),W318+$N319-IF($M319,IF(INT(($L319-$D$5)/7)&lt;$A$24,$B$24,$D$10),0)))</x:f>
        <x:v>0</x:v>
      </x:c>
      <x:c r="X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Y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Z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A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B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C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D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E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F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G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H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I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J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K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L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M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N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O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P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Q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R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S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T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U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V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W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X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Y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AZ319" s="116"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c r="BA319" s="117" t="n">
        <x:f>IF(OR(INDEX('1 Budget annuel'!$A$14:$A$43,COLUMN()-COLUMN($X$42)+1)&lt;&gt;"Oui",INDEX('1 Budget annuel'!$L$14:$L$43,COLUMN()-COLUMN($X$42)+1)="",AND(INDEX('1 Budget annuel'!$B$14:$B$43,COLUMN()-COLUMN($X$42)+1)="Sortie",INDEX('1 Budget annuel'!$M$14:$M$43,COLUMN()-COLUMN($X$42)+1)="Oui"),$L319&lt;INDEX('1 Budget annuel'!$L$14:$L$43,COLUMN()-COLUMN($X$42)+1),$L319&gt;$D$5+363),0,IF(OR(AND(INDEX('1 Budget annuel'!$E$14:$E$43,COLUMN()-COLUMN($X$42)+1)="Hebdomadaire",MOD($L319-INDEX('1 Budget annuel'!$L$14:$L$43,COLUMN()-COLUMN($X$42)+1),7)=0),AND(INDEX('1 Budget annuel'!$E$14:$E$43,COLUMN()-COLUMN($X$42)+1)="Toutes les 4 semaines",MOD($L319-INDEX('1 Budget annuel'!$L$14:$L$43,COLUMN()-COLUMN($X$42)+1),28)=0),AND(INDEX('1 Budget annuel'!$E$14:$E$43,COLUMN()-COLUMN($X$42)+1)="Mensuelle",DAY($L319)=MIN(DAY(INDEX('1 Budget annuel'!$L$14:$L$43,COLUMN()-COLUMN($X$42)+1)),DAY(EOMONTH($L319,0)))),AND(INDEX('1 Budget annuel'!$E$14:$E$43,COLUMN()-COLUMN($X$42)+1)="Trimestrielle",MOD((YEAR($L319)-YEAR(INDEX('1 Budget annuel'!$L$14:$L$43,COLUMN()-COLUMN($X$42)+1)))*12+MONTH($L319)-MONTH(INDEX('1 Budget annuel'!$L$14:$L$43,COLUMN()-COLUMN($X$42)+1)),3)=0,DAY($L319)=MIN(DAY(INDEX('1 Budget annuel'!$L$14:$L$43,COLUMN()-COLUMN($X$42)+1)),DAY(EOMONTH($L319,0)))),AND(INDEX('1 Budget annuel'!$E$14:$E$43,COLUMN()-COLUMN($X$42)+1)="Semestrielle",MOD((YEAR($L319)-YEAR(INDEX('1 Budget annuel'!$L$14:$L$43,COLUMN()-COLUMN($X$42)+1)))*12+MONTH($L319)-MONTH(INDEX('1 Budget annuel'!$L$14:$L$43,COLUMN()-COLUMN($X$42)+1)),6)=0,DAY($L319)=MIN(DAY(INDEX('1 Budget annuel'!$L$14:$L$43,COLUMN()-COLUMN($X$42)+1)),DAY(EOMONTH($L319,0)))),AND(INDEX('1 Budget annuel'!$E$14:$E$43,COLUMN()-COLUMN($X$42)+1)="Annuelle",MOD((YEAR($L319)-YEAR(INDEX('1 Budget annuel'!$L$14:$L$43,COLUMN()-COLUMN($X$42)+1)))*12+MONTH($L319)-MONTH(INDEX('1 Budget annuel'!$L$14:$L$43,COLUMN()-COLUMN($X$42)+1)),12)=0,DAY($L319)=MIN(DAY(INDEX('1 Budget annuel'!$L$14:$L$43,COLUMN()-COLUMN($X$42)+1)),DAY(EOMONTH($L319,0))))),IF(INDEX('1 Budget annuel'!$B$14:$B$43,COLUMN()-COLUMN($X$42)+1)="Entrée",INDEX('1 Budget annuel'!$I$14:$I$43,COLUMN()-COLUMN($X$42)+1),-INDEX('1 Budget annuel'!$I$14:$I$43,COLUMN()-COLUMN($X$42)+1)),0))</x:f>
        <x:v>0</x:v>
      </x:c>
    </x:row>
    <x:row r="320">
      <x:c r="L320" s="114" t="n">
        <x:f>L319+1</x:f>
        <x:v>46514</x:v>
      </x:c>
      <x:c r="M320" s="115" t="b">
        <x:f>AND(L320&gt;=$D$5,L320&lt;=$D$5+363,MOD(L320-$D$5,7)=0)</x:f>
        <x:v>0</x:v>
      </x:c>
      <x:c r="N320" s="116" t="n">
        <x:f>SUM(X320:BA320)</x:f>
        <x:v>0</x:v>
      </x:c>
      <x:c r="O320" s="116" t="n">
        <x:f>IF(M320,$D$10,0)</x:f>
        <x:v>0</x:v>
      </x:c>
      <x:c r="P320" s="116" t="n">
        <x:f>N320-O320</x:f>
        <x:v>0</x:v>
      </x:c>
      <x:c r="Q320" s="116" t="n">
        <x:f>IF(L320&lt;$D$5,0,IF(L320=$D$5,P320,Q319+P320))</x:f>
        <x:v>0</x:v>
      </x:c>
      <x:c r="R320" s="116" t="n">
        <x:f>IF(L320&lt;$D$5,"",$J$10+Q320)</x:f>
        <x:v>0</x:v>
      </x:c>
      <x:c r="S320" s="116" t="n">
        <x:f>IF($L320&lt;$D$5,"",IF($L320=$D$5,$J$10+$N320-IF($M320,IF(INT(($L320-$D$5)/7)&lt;$A$20,$B$20,$D$10),0),S319+$N320-IF($M320,IF(INT(($L320-$D$5)/7)&lt;$A$20,$B$20,$D$10),0)))</x:f>
        <x:v>0</x:v>
      </x:c>
      <x:c r="T320" s="116" t="n">
        <x:f>IF($L320&lt;$D$5,"",IF($L320=$D$5,$J$10+$N320-IF($M320,IF(INT(($L320-$D$5)/7)&lt;$A$21,$B$21,$D$10),0),T319+$N320-IF($M320,IF(INT(($L320-$D$5)/7)&lt;$A$21,$B$21,$D$10),0)))</x:f>
        <x:v>0</x:v>
      </x:c>
      <x:c r="U320" s="116" t="n">
        <x:f>IF($L320&lt;$D$5,"",IF($L320=$D$5,$J$10+$N320-IF($M320,IF(INT(($L320-$D$5)/7)&lt;$A$22,$B$22,$D$10),0),U319+$N320-IF($M320,IF(INT(($L320-$D$5)/7)&lt;$A$22,$B$22,$D$10),0)))</x:f>
        <x:v>0</x:v>
      </x:c>
      <x:c r="V320" s="116" t="n">
        <x:f>IF($L320&lt;$D$5,"",IF($L320=$D$5,$J$10+$N320-IF($M320,IF(INT(($L320-$D$5)/7)&lt;$A$23,$B$23,$D$10),0),V319+$N320-IF($M320,IF(INT(($L320-$D$5)/7)&lt;$A$23,$B$23,$D$10),0)))</x:f>
        <x:v>0</x:v>
      </x:c>
      <x:c r="W320" s="116" t="n">
        <x:f>IF($L320&lt;$D$5,"",IF($L320=$D$5,$J$10+$N320-IF($M320,IF(INT(($L320-$D$5)/7)&lt;$A$24,$B$24,$D$10),0),W319+$N320-IF($M320,IF(INT(($L320-$D$5)/7)&lt;$A$24,$B$24,$D$10),0)))</x:f>
        <x:v>0</x:v>
      </x:c>
      <x:c r="X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Y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Z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A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B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C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D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E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F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G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H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I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J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K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L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M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N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O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P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Q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R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S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T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U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V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W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X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Y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AZ320" s="116"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c r="BA320" s="117" t="n">
        <x:f>IF(OR(INDEX('1 Budget annuel'!$A$14:$A$43,COLUMN()-COLUMN($X$42)+1)&lt;&gt;"Oui",INDEX('1 Budget annuel'!$L$14:$L$43,COLUMN()-COLUMN($X$42)+1)="",AND(INDEX('1 Budget annuel'!$B$14:$B$43,COLUMN()-COLUMN($X$42)+1)="Sortie",INDEX('1 Budget annuel'!$M$14:$M$43,COLUMN()-COLUMN($X$42)+1)="Oui"),$L320&lt;INDEX('1 Budget annuel'!$L$14:$L$43,COLUMN()-COLUMN($X$42)+1),$L320&gt;$D$5+363),0,IF(OR(AND(INDEX('1 Budget annuel'!$E$14:$E$43,COLUMN()-COLUMN($X$42)+1)="Hebdomadaire",MOD($L320-INDEX('1 Budget annuel'!$L$14:$L$43,COLUMN()-COLUMN($X$42)+1),7)=0),AND(INDEX('1 Budget annuel'!$E$14:$E$43,COLUMN()-COLUMN($X$42)+1)="Toutes les 4 semaines",MOD($L320-INDEX('1 Budget annuel'!$L$14:$L$43,COLUMN()-COLUMN($X$42)+1),28)=0),AND(INDEX('1 Budget annuel'!$E$14:$E$43,COLUMN()-COLUMN($X$42)+1)="Mensuelle",DAY($L320)=MIN(DAY(INDEX('1 Budget annuel'!$L$14:$L$43,COLUMN()-COLUMN($X$42)+1)),DAY(EOMONTH($L320,0)))),AND(INDEX('1 Budget annuel'!$E$14:$E$43,COLUMN()-COLUMN($X$42)+1)="Trimestrielle",MOD((YEAR($L320)-YEAR(INDEX('1 Budget annuel'!$L$14:$L$43,COLUMN()-COLUMN($X$42)+1)))*12+MONTH($L320)-MONTH(INDEX('1 Budget annuel'!$L$14:$L$43,COLUMN()-COLUMN($X$42)+1)),3)=0,DAY($L320)=MIN(DAY(INDEX('1 Budget annuel'!$L$14:$L$43,COLUMN()-COLUMN($X$42)+1)),DAY(EOMONTH($L320,0)))),AND(INDEX('1 Budget annuel'!$E$14:$E$43,COLUMN()-COLUMN($X$42)+1)="Semestrielle",MOD((YEAR($L320)-YEAR(INDEX('1 Budget annuel'!$L$14:$L$43,COLUMN()-COLUMN($X$42)+1)))*12+MONTH($L320)-MONTH(INDEX('1 Budget annuel'!$L$14:$L$43,COLUMN()-COLUMN($X$42)+1)),6)=0,DAY($L320)=MIN(DAY(INDEX('1 Budget annuel'!$L$14:$L$43,COLUMN()-COLUMN($X$42)+1)),DAY(EOMONTH($L320,0)))),AND(INDEX('1 Budget annuel'!$E$14:$E$43,COLUMN()-COLUMN($X$42)+1)="Annuelle",MOD((YEAR($L320)-YEAR(INDEX('1 Budget annuel'!$L$14:$L$43,COLUMN()-COLUMN($X$42)+1)))*12+MONTH($L320)-MONTH(INDEX('1 Budget annuel'!$L$14:$L$43,COLUMN()-COLUMN($X$42)+1)),12)=0,DAY($L320)=MIN(DAY(INDEX('1 Budget annuel'!$L$14:$L$43,COLUMN()-COLUMN($X$42)+1)),DAY(EOMONTH($L320,0))))),IF(INDEX('1 Budget annuel'!$B$14:$B$43,COLUMN()-COLUMN($X$42)+1)="Entrée",INDEX('1 Budget annuel'!$I$14:$I$43,COLUMN()-COLUMN($X$42)+1),-INDEX('1 Budget annuel'!$I$14:$I$43,COLUMN()-COLUMN($X$42)+1)),0))</x:f>
        <x:v>0</x:v>
      </x:c>
    </x:row>
    <x:row r="321">
      <x:c r="L321" s="114" t="n">
        <x:f>L320+1</x:f>
        <x:v>46515</x:v>
      </x:c>
      <x:c r="M321" s="115" t="b">
        <x:f>AND(L321&gt;=$D$5,L321&lt;=$D$5+363,MOD(L321-$D$5,7)=0)</x:f>
        <x:v>1</x:v>
      </x:c>
      <x:c r="N321" s="116" t="n">
        <x:f>SUM(X321:BA321)</x:f>
        <x:v>0</x:v>
      </x:c>
      <x:c r="O321" s="116" t="n">
        <x:f>IF(M321,$D$10,0)</x:f>
        <x:v>0</x:v>
      </x:c>
      <x:c r="P321" s="116" t="n">
        <x:f>N321-O321</x:f>
        <x:v>0</x:v>
      </x:c>
      <x:c r="Q321" s="116" t="n">
        <x:f>IF(L321&lt;$D$5,0,IF(L321=$D$5,P321,Q320+P321))</x:f>
        <x:v>0</x:v>
      </x:c>
      <x:c r="R321" s="116" t="n">
        <x:f>IF(L321&lt;$D$5,"",$J$10+Q321)</x:f>
        <x:v>0</x:v>
      </x:c>
      <x:c r="S321" s="116" t="n">
        <x:f>IF($L321&lt;$D$5,"",IF($L321=$D$5,$J$10+$N321-IF($M321,IF(INT(($L321-$D$5)/7)&lt;$A$20,$B$20,$D$10),0),S320+$N321-IF($M321,IF(INT(($L321-$D$5)/7)&lt;$A$20,$B$20,$D$10),0)))</x:f>
        <x:v>0</x:v>
      </x:c>
      <x:c r="T321" s="116" t="n">
        <x:f>IF($L321&lt;$D$5,"",IF($L321=$D$5,$J$10+$N321-IF($M321,IF(INT(($L321-$D$5)/7)&lt;$A$21,$B$21,$D$10),0),T320+$N321-IF($M321,IF(INT(($L321-$D$5)/7)&lt;$A$21,$B$21,$D$10),0)))</x:f>
        <x:v>0</x:v>
      </x:c>
      <x:c r="U321" s="116" t="n">
        <x:f>IF($L321&lt;$D$5,"",IF($L321=$D$5,$J$10+$N321-IF($M321,IF(INT(($L321-$D$5)/7)&lt;$A$22,$B$22,$D$10),0),U320+$N321-IF($M321,IF(INT(($L321-$D$5)/7)&lt;$A$22,$B$22,$D$10),0)))</x:f>
        <x:v>0</x:v>
      </x:c>
      <x:c r="V321" s="116" t="n">
        <x:f>IF($L321&lt;$D$5,"",IF($L321=$D$5,$J$10+$N321-IF($M321,IF(INT(($L321-$D$5)/7)&lt;$A$23,$B$23,$D$10),0),V320+$N321-IF($M321,IF(INT(($L321-$D$5)/7)&lt;$A$23,$B$23,$D$10),0)))</x:f>
        <x:v>0</x:v>
      </x:c>
      <x:c r="W321" s="116" t="n">
        <x:f>IF($L321&lt;$D$5,"",IF($L321=$D$5,$J$10+$N321-IF($M321,IF(INT(($L321-$D$5)/7)&lt;$A$24,$B$24,$D$10),0),W320+$N321-IF($M321,IF(INT(($L321-$D$5)/7)&lt;$A$24,$B$24,$D$10),0)))</x:f>
        <x:v>0</x:v>
      </x:c>
      <x:c r="X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Y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Z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A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B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C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D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E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F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G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H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I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J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K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L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M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N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O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P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Q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R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S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T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U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V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W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X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Y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AZ321" s="116"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c r="BA321" s="117" t="n">
        <x:f>IF(OR(INDEX('1 Budget annuel'!$A$14:$A$43,COLUMN()-COLUMN($X$42)+1)&lt;&gt;"Oui",INDEX('1 Budget annuel'!$L$14:$L$43,COLUMN()-COLUMN($X$42)+1)="",AND(INDEX('1 Budget annuel'!$B$14:$B$43,COLUMN()-COLUMN($X$42)+1)="Sortie",INDEX('1 Budget annuel'!$M$14:$M$43,COLUMN()-COLUMN($X$42)+1)="Oui"),$L321&lt;INDEX('1 Budget annuel'!$L$14:$L$43,COLUMN()-COLUMN($X$42)+1),$L321&gt;$D$5+363),0,IF(OR(AND(INDEX('1 Budget annuel'!$E$14:$E$43,COLUMN()-COLUMN($X$42)+1)="Hebdomadaire",MOD($L321-INDEX('1 Budget annuel'!$L$14:$L$43,COLUMN()-COLUMN($X$42)+1),7)=0),AND(INDEX('1 Budget annuel'!$E$14:$E$43,COLUMN()-COLUMN($X$42)+1)="Toutes les 4 semaines",MOD($L321-INDEX('1 Budget annuel'!$L$14:$L$43,COLUMN()-COLUMN($X$42)+1),28)=0),AND(INDEX('1 Budget annuel'!$E$14:$E$43,COLUMN()-COLUMN($X$42)+1)="Mensuelle",DAY($L321)=MIN(DAY(INDEX('1 Budget annuel'!$L$14:$L$43,COLUMN()-COLUMN($X$42)+1)),DAY(EOMONTH($L321,0)))),AND(INDEX('1 Budget annuel'!$E$14:$E$43,COLUMN()-COLUMN($X$42)+1)="Trimestrielle",MOD((YEAR($L321)-YEAR(INDEX('1 Budget annuel'!$L$14:$L$43,COLUMN()-COLUMN($X$42)+1)))*12+MONTH($L321)-MONTH(INDEX('1 Budget annuel'!$L$14:$L$43,COLUMN()-COLUMN($X$42)+1)),3)=0,DAY($L321)=MIN(DAY(INDEX('1 Budget annuel'!$L$14:$L$43,COLUMN()-COLUMN($X$42)+1)),DAY(EOMONTH($L321,0)))),AND(INDEX('1 Budget annuel'!$E$14:$E$43,COLUMN()-COLUMN($X$42)+1)="Semestrielle",MOD((YEAR($L321)-YEAR(INDEX('1 Budget annuel'!$L$14:$L$43,COLUMN()-COLUMN($X$42)+1)))*12+MONTH($L321)-MONTH(INDEX('1 Budget annuel'!$L$14:$L$43,COLUMN()-COLUMN($X$42)+1)),6)=0,DAY($L321)=MIN(DAY(INDEX('1 Budget annuel'!$L$14:$L$43,COLUMN()-COLUMN($X$42)+1)),DAY(EOMONTH($L321,0)))),AND(INDEX('1 Budget annuel'!$E$14:$E$43,COLUMN()-COLUMN($X$42)+1)="Annuelle",MOD((YEAR($L321)-YEAR(INDEX('1 Budget annuel'!$L$14:$L$43,COLUMN()-COLUMN($X$42)+1)))*12+MONTH($L321)-MONTH(INDEX('1 Budget annuel'!$L$14:$L$43,COLUMN()-COLUMN($X$42)+1)),12)=0,DAY($L321)=MIN(DAY(INDEX('1 Budget annuel'!$L$14:$L$43,COLUMN()-COLUMN($X$42)+1)),DAY(EOMONTH($L321,0))))),IF(INDEX('1 Budget annuel'!$B$14:$B$43,COLUMN()-COLUMN($X$42)+1)="Entrée",INDEX('1 Budget annuel'!$I$14:$I$43,COLUMN()-COLUMN($X$42)+1),-INDEX('1 Budget annuel'!$I$14:$I$43,COLUMN()-COLUMN($X$42)+1)),0))</x:f>
        <x:v>0</x:v>
      </x:c>
    </x:row>
    <x:row r="322">
      <x:c r="L322" s="114" t="n">
        <x:f>L321+1</x:f>
        <x:v>46516</x:v>
      </x:c>
      <x:c r="M322" s="115" t="b">
        <x:f>AND(L322&gt;=$D$5,L322&lt;=$D$5+363,MOD(L322-$D$5,7)=0)</x:f>
        <x:v>0</x:v>
      </x:c>
      <x:c r="N322" s="116" t="n">
        <x:f>SUM(X322:BA322)</x:f>
        <x:v>0</x:v>
      </x:c>
      <x:c r="O322" s="116" t="n">
        <x:f>IF(M322,$D$10,0)</x:f>
        <x:v>0</x:v>
      </x:c>
      <x:c r="P322" s="116" t="n">
        <x:f>N322-O322</x:f>
        <x:v>0</x:v>
      </x:c>
      <x:c r="Q322" s="116" t="n">
        <x:f>IF(L322&lt;$D$5,0,IF(L322=$D$5,P322,Q321+P322))</x:f>
        <x:v>0</x:v>
      </x:c>
      <x:c r="R322" s="116" t="n">
        <x:f>IF(L322&lt;$D$5,"",$J$10+Q322)</x:f>
        <x:v>0</x:v>
      </x:c>
      <x:c r="S322" s="116" t="n">
        <x:f>IF($L322&lt;$D$5,"",IF($L322=$D$5,$J$10+$N322-IF($M322,IF(INT(($L322-$D$5)/7)&lt;$A$20,$B$20,$D$10),0),S321+$N322-IF($M322,IF(INT(($L322-$D$5)/7)&lt;$A$20,$B$20,$D$10),0)))</x:f>
        <x:v>0</x:v>
      </x:c>
      <x:c r="T322" s="116" t="n">
        <x:f>IF($L322&lt;$D$5,"",IF($L322=$D$5,$J$10+$N322-IF($M322,IF(INT(($L322-$D$5)/7)&lt;$A$21,$B$21,$D$10),0),T321+$N322-IF($M322,IF(INT(($L322-$D$5)/7)&lt;$A$21,$B$21,$D$10),0)))</x:f>
        <x:v>0</x:v>
      </x:c>
      <x:c r="U322" s="116" t="n">
        <x:f>IF($L322&lt;$D$5,"",IF($L322=$D$5,$J$10+$N322-IF($M322,IF(INT(($L322-$D$5)/7)&lt;$A$22,$B$22,$D$10),0),U321+$N322-IF($M322,IF(INT(($L322-$D$5)/7)&lt;$A$22,$B$22,$D$10),0)))</x:f>
        <x:v>0</x:v>
      </x:c>
      <x:c r="V322" s="116" t="n">
        <x:f>IF($L322&lt;$D$5,"",IF($L322=$D$5,$J$10+$N322-IF($M322,IF(INT(($L322-$D$5)/7)&lt;$A$23,$B$23,$D$10),0),V321+$N322-IF($M322,IF(INT(($L322-$D$5)/7)&lt;$A$23,$B$23,$D$10),0)))</x:f>
        <x:v>0</x:v>
      </x:c>
      <x:c r="W322" s="116" t="n">
        <x:f>IF($L322&lt;$D$5,"",IF($L322=$D$5,$J$10+$N322-IF($M322,IF(INT(($L322-$D$5)/7)&lt;$A$24,$B$24,$D$10),0),W321+$N322-IF($M322,IF(INT(($L322-$D$5)/7)&lt;$A$24,$B$24,$D$10),0)))</x:f>
        <x:v>0</x:v>
      </x:c>
      <x:c r="X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Y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Z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A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B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C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D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E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F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G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H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I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J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K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L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M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N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O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P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Q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R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S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T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U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V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W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X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Y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AZ322" s="116"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c r="BA322" s="117" t="n">
        <x:f>IF(OR(INDEX('1 Budget annuel'!$A$14:$A$43,COLUMN()-COLUMN($X$42)+1)&lt;&gt;"Oui",INDEX('1 Budget annuel'!$L$14:$L$43,COLUMN()-COLUMN($X$42)+1)="",AND(INDEX('1 Budget annuel'!$B$14:$B$43,COLUMN()-COLUMN($X$42)+1)="Sortie",INDEX('1 Budget annuel'!$M$14:$M$43,COLUMN()-COLUMN($X$42)+1)="Oui"),$L322&lt;INDEX('1 Budget annuel'!$L$14:$L$43,COLUMN()-COLUMN($X$42)+1),$L322&gt;$D$5+363),0,IF(OR(AND(INDEX('1 Budget annuel'!$E$14:$E$43,COLUMN()-COLUMN($X$42)+1)="Hebdomadaire",MOD($L322-INDEX('1 Budget annuel'!$L$14:$L$43,COLUMN()-COLUMN($X$42)+1),7)=0),AND(INDEX('1 Budget annuel'!$E$14:$E$43,COLUMN()-COLUMN($X$42)+1)="Toutes les 4 semaines",MOD($L322-INDEX('1 Budget annuel'!$L$14:$L$43,COLUMN()-COLUMN($X$42)+1),28)=0),AND(INDEX('1 Budget annuel'!$E$14:$E$43,COLUMN()-COLUMN($X$42)+1)="Mensuelle",DAY($L322)=MIN(DAY(INDEX('1 Budget annuel'!$L$14:$L$43,COLUMN()-COLUMN($X$42)+1)),DAY(EOMONTH($L322,0)))),AND(INDEX('1 Budget annuel'!$E$14:$E$43,COLUMN()-COLUMN($X$42)+1)="Trimestrielle",MOD((YEAR($L322)-YEAR(INDEX('1 Budget annuel'!$L$14:$L$43,COLUMN()-COLUMN($X$42)+1)))*12+MONTH($L322)-MONTH(INDEX('1 Budget annuel'!$L$14:$L$43,COLUMN()-COLUMN($X$42)+1)),3)=0,DAY($L322)=MIN(DAY(INDEX('1 Budget annuel'!$L$14:$L$43,COLUMN()-COLUMN($X$42)+1)),DAY(EOMONTH($L322,0)))),AND(INDEX('1 Budget annuel'!$E$14:$E$43,COLUMN()-COLUMN($X$42)+1)="Semestrielle",MOD((YEAR($L322)-YEAR(INDEX('1 Budget annuel'!$L$14:$L$43,COLUMN()-COLUMN($X$42)+1)))*12+MONTH($L322)-MONTH(INDEX('1 Budget annuel'!$L$14:$L$43,COLUMN()-COLUMN($X$42)+1)),6)=0,DAY($L322)=MIN(DAY(INDEX('1 Budget annuel'!$L$14:$L$43,COLUMN()-COLUMN($X$42)+1)),DAY(EOMONTH($L322,0)))),AND(INDEX('1 Budget annuel'!$E$14:$E$43,COLUMN()-COLUMN($X$42)+1)="Annuelle",MOD((YEAR($L322)-YEAR(INDEX('1 Budget annuel'!$L$14:$L$43,COLUMN()-COLUMN($X$42)+1)))*12+MONTH($L322)-MONTH(INDEX('1 Budget annuel'!$L$14:$L$43,COLUMN()-COLUMN($X$42)+1)),12)=0,DAY($L322)=MIN(DAY(INDEX('1 Budget annuel'!$L$14:$L$43,COLUMN()-COLUMN($X$42)+1)),DAY(EOMONTH($L322,0))))),IF(INDEX('1 Budget annuel'!$B$14:$B$43,COLUMN()-COLUMN($X$42)+1)="Entrée",INDEX('1 Budget annuel'!$I$14:$I$43,COLUMN()-COLUMN($X$42)+1),-INDEX('1 Budget annuel'!$I$14:$I$43,COLUMN()-COLUMN($X$42)+1)),0))</x:f>
        <x:v>0</x:v>
      </x:c>
    </x:row>
    <x:row r="323">
      <x:c r="L323" s="114" t="n">
        <x:f>L322+1</x:f>
        <x:v>46517</x:v>
      </x:c>
      <x:c r="M323" s="115" t="b">
        <x:f>AND(L323&gt;=$D$5,L323&lt;=$D$5+363,MOD(L323-$D$5,7)=0)</x:f>
        <x:v>0</x:v>
      </x:c>
      <x:c r="N323" s="116" t="n">
        <x:f>SUM(X323:BA323)</x:f>
        <x:v>0</x:v>
      </x:c>
      <x:c r="O323" s="116" t="n">
        <x:f>IF(M323,$D$10,0)</x:f>
        <x:v>0</x:v>
      </x:c>
      <x:c r="P323" s="116" t="n">
        <x:f>N323-O323</x:f>
        <x:v>0</x:v>
      </x:c>
      <x:c r="Q323" s="116" t="n">
        <x:f>IF(L323&lt;$D$5,0,IF(L323=$D$5,P323,Q322+P323))</x:f>
        <x:v>0</x:v>
      </x:c>
      <x:c r="R323" s="116" t="n">
        <x:f>IF(L323&lt;$D$5,"",$J$10+Q323)</x:f>
        <x:v>0</x:v>
      </x:c>
      <x:c r="S323" s="116" t="n">
        <x:f>IF($L323&lt;$D$5,"",IF($L323=$D$5,$J$10+$N323-IF($M323,IF(INT(($L323-$D$5)/7)&lt;$A$20,$B$20,$D$10),0),S322+$N323-IF($M323,IF(INT(($L323-$D$5)/7)&lt;$A$20,$B$20,$D$10),0)))</x:f>
        <x:v>0</x:v>
      </x:c>
      <x:c r="T323" s="116" t="n">
        <x:f>IF($L323&lt;$D$5,"",IF($L323=$D$5,$J$10+$N323-IF($M323,IF(INT(($L323-$D$5)/7)&lt;$A$21,$B$21,$D$10),0),T322+$N323-IF($M323,IF(INT(($L323-$D$5)/7)&lt;$A$21,$B$21,$D$10),0)))</x:f>
        <x:v>0</x:v>
      </x:c>
      <x:c r="U323" s="116" t="n">
        <x:f>IF($L323&lt;$D$5,"",IF($L323=$D$5,$J$10+$N323-IF($M323,IF(INT(($L323-$D$5)/7)&lt;$A$22,$B$22,$D$10),0),U322+$N323-IF($M323,IF(INT(($L323-$D$5)/7)&lt;$A$22,$B$22,$D$10),0)))</x:f>
        <x:v>0</x:v>
      </x:c>
      <x:c r="V323" s="116" t="n">
        <x:f>IF($L323&lt;$D$5,"",IF($L323=$D$5,$J$10+$N323-IF($M323,IF(INT(($L323-$D$5)/7)&lt;$A$23,$B$23,$D$10),0),V322+$N323-IF($M323,IF(INT(($L323-$D$5)/7)&lt;$A$23,$B$23,$D$10),0)))</x:f>
        <x:v>0</x:v>
      </x:c>
      <x:c r="W323" s="116" t="n">
        <x:f>IF($L323&lt;$D$5,"",IF($L323=$D$5,$J$10+$N323-IF($M323,IF(INT(($L323-$D$5)/7)&lt;$A$24,$B$24,$D$10),0),W322+$N323-IF($M323,IF(INT(($L323-$D$5)/7)&lt;$A$24,$B$24,$D$10),0)))</x:f>
        <x:v>0</x:v>
      </x:c>
      <x:c r="X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Y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Z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A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B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C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D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E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F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G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H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I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J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K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L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M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N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O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P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Q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R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S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T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U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V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W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X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Y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AZ323" s="116"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c r="BA323" s="117" t="n">
        <x:f>IF(OR(INDEX('1 Budget annuel'!$A$14:$A$43,COLUMN()-COLUMN($X$42)+1)&lt;&gt;"Oui",INDEX('1 Budget annuel'!$L$14:$L$43,COLUMN()-COLUMN($X$42)+1)="",AND(INDEX('1 Budget annuel'!$B$14:$B$43,COLUMN()-COLUMN($X$42)+1)="Sortie",INDEX('1 Budget annuel'!$M$14:$M$43,COLUMN()-COLUMN($X$42)+1)="Oui"),$L323&lt;INDEX('1 Budget annuel'!$L$14:$L$43,COLUMN()-COLUMN($X$42)+1),$L323&gt;$D$5+363),0,IF(OR(AND(INDEX('1 Budget annuel'!$E$14:$E$43,COLUMN()-COLUMN($X$42)+1)="Hebdomadaire",MOD($L323-INDEX('1 Budget annuel'!$L$14:$L$43,COLUMN()-COLUMN($X$42)+1),7)=0),AND(INDEX('1 Budget annuel'!$E$14:$E$43,COLUMN()-COLUMN($X$42)+1)="Toutes les 4 semaines",MOD($L323-INDEX('1 Budget annuel'!$L$14:$L$43,COLUMN()-COLUMN($X$42)+1),28)=0),AND(INDEX('1 Budget annuel'!$E$14:$E$43,COLUMN()-COLUMN($X$42)+1)="Mensuelle",DAY($L323)=MIN(DAY(INDEX('1 Budget annuel'!$L$14:$L$43,COLUMN()-COLUMN($X$42)+1)),DAY(EOMONTH($L323,0)))),AND(INDEX('1 Budget annuel'!$E$14:$E$43,COLUMN()-COLUMN($X$42)+1)="Trimestrielle",MOD((YEAR($L323)-YEAR(INDEX('1 Budget annuel'!$L$14:$L$43,COLUMN()-COLUMN($X$42)+1)))*12+MONTH($L323)-MONTH(INDEX('1 Budget annuel'!$L$14:$L$43,COLUMN()-COLUMN($X$42)+1)),3)=0,DAY($L323)=MIN(DAY(INDEX('1 Budget annuel'!$L$14:$L$43,COLUMN()-COLUMN($X$42)+1)),DAY(EOMONTH($L323,0)))),AND(INDEX('1 Budget annuel'!$E$14:$E$43,COLUMN()-COLUMN($X$42)+1)="Semestrielle",MOD((YEAR($L323)-YEAR(INDEX('1 Budget annuel'!$L$14:$L$43,COLUMN()-COLUMN($X$42)+1)))*12+MONTH($L323)-MONTH(INDEX('1 Budget annuel'!$L$14:$L$43,COLUMN()-COLUMN($X$42)+1)),6)=0,DAY($L323)=MIN(DAY(INDEX('1 Budget annuel'!$L$14:$L$43,COLUMN()-COLUMN($X$42)+1)),DAY(EOMONTH($L323,0)))),AND(INDEX('1 Budget annuel'!$E$14:$E$43,COLUMN()-COLUMN($X$42)+1)="Annuelle",MOD((YEAR($L323)-YEAR(INDEX('1 Budget annuel'!$L$14:$L$43,COLUMN()-COLUMN($X$42)+1)))*12+MONTH($L323)-MONTH(INDEX('1 Budget annuel'!$L$14:$L$43,COLUMN()-COLUMN($X$42)+1)),12)=0,DAY($L323)=MIN(DAY(INDEX('1 Budget annuel'!$L$14:$L$43,COLUMN()-COLUMN($X$42)+1)),DAY(EOMONTH($L323,0))))),IF(INDEX('1 Budget annuel'!$B$14:$B$43,COLUMN()-COLUMN($X$42)+1)="Entrée",INDEX('1 Budget annuel'!$I$14:$I$43,COLUMN()-COLUMN($X$42)+1),-INDEX('1 Budget annuel'!$I$14:$I$43,COLUMN()-COLUMN($X$42)+1)),0))</x:f>
        <x:v>0</x:v>
      </x:c>
    </x:row>
    <x:row r="324">
      <x:c r="L324" s="114" t="n">
        <x:f>L323+1</x:f>
        <x:v>46518</x:v>
      </x:c>
      <x:c r="M324" s="115" t="b">
        <x:f>AND(L324&gt;=$D$5,L324&lt;=$D$5+363,MOD(L324-$D$5,7)=0)</x:f>
        <x:v>0</x:v>
      </x:c>
      <x:c r="N324" s="116" t="n">
        <x:f>SUM(X324:BA324)</x:f>
        <x:v>0</x:v>
      </x:c>
      <x:c r="O324" s="116" t="n">
        <x:f>IF(M324,$D$10,0)</x:f>
        <x:v>0</x:v>
      </x:c>
      <x:c r="P324" s="116" t="n">
        <x:f>N324-O324</x:f>
        <x:v>0</x:v>
      </x:c>
      <x:c r="Q324" s="116" t="n">
        <x:f>IF(L324&lt;$D$5,0,IF(L324=$D$5,P324,Q323+P324))</x:f>
        <x:v>0</x:v>
      </x:c>
      <x:c r="R324" s="116" t="n">
        <x:f>IF(L324&lt;$D$5,"",$J$10+Q324)</x:f>
        <x:v>0</x:v>
      </x:c>
      <x:c r="S324" s="116" t="n">
        <x:f>IF($L324&lt;$D$5,"",IF($L324=$D$5,$J$10+$N324-IF($M324,IF(INT(($L324-$D$5)/7)&lt;$A$20,$B$20,$D$10),0),S323+$N324-IF($M324,IF(INT(($L324-$D$5)/7)&lt;$A$20,$B$20,$D$10),0)))</x:f>
        <x:v>0</x:v>
      </x:c>
      <x:c r="T324" s="116" t="n">
        <x:f>IF($L324&lt;$D$5,"",IF($L324=$D$5,$J$10+$N324-IF($M324,IF(INT(($L324-$D$5)/7)&lt;$A$21,$B$21,$D$10),0),T323+$N324-IF($M324,IF(INT(($L324-$D$5)/7)&lt;$A$21,$B$21,$D$10),0)))</x:f>
        <x:v>0</x:v>
      </x:c>
      <x:c r="U324" s="116" t="n">
        <x:f>IF($L324&lt;$D$5,"",IF($L324=$D$5,$J$10+$N324-IF($M324,IF(INT(($L324-$D$5)/7)&lt;$A$22,$B$22,$D$10),0),U323+$N324-IF($M324,IF(INT(($L324-$D$5)/7)&lt;$A$22,$B$22,$D$10),0)))</x:f>
        <x:v>0</x:v>
      </x:c>
      <x:c r="V324" s="116" t="n">
        <x:f>IF($L324&lt;$D$5,"",IF($L324=$D$5,$J$10+$N324-IF($M324,IF(INT(($L324-$D$5)/7)&lt;$A$23,$B$23,$D$10),0),V323+$N324-IF($M324,IF(INT(($L324-$D$5)/7)&lt;$A$23,$B$23,$D$10),0)))</x:f>
        <x:v>0</x:v>
      </x:c>
      <x:c r="W324" s="116" t="n">
        <x:f>IF($L324&lt;$D$5,"",IF($L324=$D$5,$J$10+$N324-IF($M324,IF(INT(($L324-$D$5)/7)&lt;$A$24,$B$24,$D$10),0),W323+$N324-IF($M324,IF(INT(($L324-$D$5)/7)&lt;$A$24,$B$24,$D$10),0)))</x:f>
        <x:v>0</x:v>
      </x:c>
      <x:c r="X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Y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Z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A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B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C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D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E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F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G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H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I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J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K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L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M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N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O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P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Q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R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S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T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U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V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W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X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Y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AZ324" s="116"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c r="BA324" s="117" t="n">
        <x:f>IF(OR(INDEX('1 Budget annuel'!$A$14:$A$43,COLUMN()-COLUMN($X$42)+1)&lt;&gt;"Oui",INDEX('1 Budget annuel'!$L$14:$L$43,COLUMN()-COLUMN($X$42)+1)="",AND(INDEX('1 Budget annuel'!$B$14:$B$43,COLUMN()-COLUMN($X$42)+1)="Sortie",INDEX('1 Budget annuel'!$M$14:$M$43,COLUMN()-COLUMN($X$42)+1)="Oui"),$L324&lt;INDEX('1 Budget annuel'!$L$14:$L$43,COLUMN()-COLUMN($X$42)+1),$L324&gt;$D$5+363),0,IF(OR(AND(INDEX('1 Budget annuel'!$E$14:$E$43,COLUMN()-COLUMN($X$42)+1)="Hebdomadaire",MOD($L324-INDEX('1 Budget annuel'!$L$14:$L$43,COLUMN()-COLUMN($X$42)+1),7)=0),AND(INDEX('1 Budget annuel'!$E$14:$E$43,COLUMN()-COLUMN($X$42)+1)="Toutes les 4 semaines",MOD($L324-INDEX('1 Budget annuel'!$L$14:$L$43,COLUMN()-COLUMN($X$42)+1),28)=0),AND(INDEX('1 Budget annuel'!$E$14:$E$43,COLUMN()-COLUMN($X$42)+1)="Mensuelle",DAY($L324)=MIN(DAY(INDEX('1 Budget annuel'!$L$14:$L$43,COLUMN()-COLUMN($X$42)+1)),DAY(EOMONTH($L324,0)))),AND(INDEX('1 Budget annuel'!$E$14:$E$43,COLUMN()-COLUMN($X$42)+1)="Trimestrielle",MOD((YEAR($L324)-YEAR(INDEX('1 Budget annuel'!$L$14:$L$43,COLUMN()-COLUMN($X$42)+1)))*12+MONTH($L324)-MONTH(INDEX('1 Budget annuel'!$L$14:$L$43,COLUMN()-COLUMN($X$42)+1)),3)=0,DAY($L324)=MIN(DAY(INDEX('1 Budget annuel'!$L$14:$L$43,COLUMN()-COLUMN($X$42)+1)),DAY(EOMONTH($L324,0)))),AND(INDEX('1 Budget annuel'!$E$14:$E$43,COLUMN()-COLUMN($X$42)+1)="Semestrielle",MOD((YEAR($L324)-YEAR(INDEX('1 Budget annuel'!$L$14:$L$43,COLUMN()-COLUMN($X$42)+1)))*12+MONTH($L324)-MONTH(INDEX('1 Budget annuel'!$L$14:$L$43,COLUMN()-COLUMN($X$42)+1)),6)=0,DAY($L324)=MIN(DAY(INDEX('1 Budget annuel'!$L$14:$L$43,COLUMN()-COLUMN($X$42)+1)),DAY(EOMONTH($L324,0)))),AND(INDEX('1 Budget annuel'!$E$14:$E$43,COLUMN()-COLUMN($X$42)+1)="Annuelle",MOD((YEAR($L324)-YEAR(INDEX('1 Budget annuel'!$L$14:$L$43,COLUMN()-COLUMN($X$42)+1)))*12+MONTH($L324)-MONTH(INDEX('1 Budget annuel'!$L$14:$L$43,COLUMN()-COLUMN($X$42)+1)),12)=0,DAY($L324)=MIN(DAY(INDEX('1 Budget annuel'!$L$14:$L$43,COLUMN()-COLUMN($X$42)+1)),DAY(EOMONTH($L324,0))))),IF(INDEX('1 Budget annuel'!$B$14:$B$43,COLUMN()-COLUMN($X$42)+1)="Entrée",INDEX('1 Budget annuel'!$I$14:$I$43,COLUMN()-COLUMN($X$42)+1),-INDEX('1 Budget annuel'!$I$14:$I$43,COLUMN()-COLUMN($X$42)+1)),0))</x:f>
        <x:v>0</x:v>
      </x:c>
    </x:row>
    <x:row r="325">
      <x:c r="L325" s="114" t="n">
        <x:f>L324+1</x:f>
        <x:v>46519</x:v>
      </x:c>
      <x:c r="M325" s="115" t="b">
        <x:f>AND(L325&gt;=$D$5,L325&lt;=$D$5+363,MOD(L325-$D$5,7)=0)</x:f>
        <x:v>0</x:v>
      </x:c>
      <x:c r="N325" s="116" t="n">
        <x:f>SUM(X325:BA325)</x:f>
        <x:v>0</x:v>
      </x:c>
      <x:c r="O325" s="116" t="n">
        <x:f>IF(M325,$D$10,0)</x:f>
        <x:v>0</x:v>
      </x:c>
      <x:c r="P325" s="116" t="n">
        <x:f>N325-O325</x:f>
        <x:v>0</x:v>
      </x:c>
      <x:c r="Q325" s="116" t="n">
        <x:f>IF(L325&lt;$D$5,0,IF(L325=$D$5,P325,Q324+P325))</x:f>
        <x:v>0</x:v>
      </x:c>
      <x:c r="R325" s="116" t="n">
        <x:f>IF(L325&lt;$D$5,"",$J$10+Q325)</x:f>
        <x:v>0</x:v>
      </x:c>
      <x:c r="S325" s="116" t="n">
        <x:f>IF($L325&lt;$D$5,"",IF($L325=$D$5,$J$10+$N325-IF($M325,IF(INT(($L325-$D$5)/7)&lt;$A$20,$B$20,$D$10),0),S324+$N325-IF($M325,IF(INT(($L325-$D$5)/7)&lt;$A$20,$B$20,$D$10),0)))</x:f>
        <x:v>0</x:v>
      </x:c>
      <x:c r="T325" s="116" t="n">
        <x:f>IF($L325&lt;$D$5,"",IF($L325=$D$5,$J$10+$N325-IF($M325,IF(INT(($L325-$D$5)/7)&lt;$A$21,$B$21,$D$10),0),T324+$N325-IF($M325,IF(INT(($L325-$D$5)/7)&lt;$A$21,$B$21,$D$10),0)))</x:f>
        <x:v>0</x:v>
      </x:c>
      <x:c r="U325" s="116" t="n">
        <x:f>IF($L325&lt;$D$5,"",IF($L325=$D$5,$J$10+$N325-IF($M325,IF(INT(($L325-$D$5)/7)&lt;$A$22,$B$22,$D$10),0),U324+$N325-IF($M325,IF(INT(($L325-$D$5)/7)&lt;$A$22,$B$22,$D$10),0)))</x:f>
        <x:v>0</x:v>
      </x:c>
      <x:c r="V325" s="116" t="n">
        <x:f>IF($L325&lt;$D$5,"",IF($L325=$D$5,$J$10+$N325-IF($M325,IF(INT(($L325-$D$5)/7)&lt;$A$23,$B$23,$D$10),0),V324+$N325-IF($M325,IF(INT(($L325-$D$5)/7)&lt;$A$23,$B$23,$D$10),0)))</x:f>
        <x:v>0</x:v>
      </x:c>
      <x:c r="W325" s="116" t="n">
        <x:f>IF($L325&lt;$D$5,"",IF($L325=$D$5,$J$10+$N325-IF($M325,IF(INT(($L325-$D$5)/7)&lt;$A$24,$B$24,$D$10),0),W324+$N325-IF($M325,IF(INT(($L325-$D$5)/7)&lt;$A$24,$B$24,$D$10),0)))</x:f>
        <x:v>0</x:v>
      </x:c>
      <x:c r="X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Y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Z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A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B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C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D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E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F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G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H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I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J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K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L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M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N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O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P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Q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R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S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T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U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V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W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X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Y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AZ325" s="116"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c r="BA325" s="117" t="n">
        <x:f>IF(OR(INDEX('1 Budget annuel'!$A$14:$A$43,COLUMN()-COLUMN($X$42)+1)&lt;&gt;"Oui",INDEX('1 Budget annuel'!$L$14:$L$43,COLUMN()-COLUMN($X$42)+1)="",AND(INDEX('1 Budget annuel'!$B$14:$B$43,COLUMN()-COLUMN($X$42)+1)="Sortie",INDEX('1 Budget annuel'!$M$14:$M$43,COLUMN()-COLUMN($X$42)+1)="Oui"),$L325&lt;INDEX('1 Budget annuel'!$L$14:$L$43,COLUMN()-COLUMN($X$42)+1),$L325&gt;$D$5+363),0,IF(OR(AND(INDEX('1 Budget annuel'!$E$14:$E$43,COLUMN()-COLUMN($X$42)+1)="Hebdomadaire",MOD($L325-INDEX('1 Budget annuel'!$L$14:$L$43,COLUMN()-COLUMN($X$42)+1),7)=0),AND(INDEX('1 Budget annuel'!$E$14:$E$43,COLUMN()-COLUMN($X$42)+1)="Toutes les 4 semaines",MOD($L325-INDEX('1 Budget annuel'!$L$14:$L$43,COLUMN()-COLUMN($X$42)+1),28)=0),AND(INDEX('1 Budget annuel'!$E$14:$E$43,COLUMN()-COLUMN($X$42)+1)="Mensuelle",DAY($L325)=MIN(DAY(INDEX('1 Budget annuel'!$L$14:$L$43,COLUMN()-COLUMN($X$42)+1)),DAY(EOMONTH($L325,0)))),AND(INDEX('1 Budget annuel'!$E$14:$E$43,COLUMN()-COLUMN($X$42)+1)="Trimestrielle",MOD((YEAR($L325)-YEAR(INDEX('1 Budget annuel'!$L$14:$L$43,COLUMN()-COLUMN($X$42)+1)))*12+MONTH($L325)-MONTH(INDEX('1 Budget annuel'!$L$14:$L$43,COLUMN()-COLUMN($X$42)+1)),3)=0,DAY($L325)=MIN(DAY(INDEX('1 Budget annuel'!$L$14:$L$43,COLUMN()-COLUMN($X$42)+1)),DAY(EOMONTH($L325,0)))),AND(INDEX('1 Budget annuel'!$E$14:$E$43,COLUMN()-COLUMN($X$42)+1)="Semestrielle",MOD((YEAR($L325)-YEAR(INDEX('1 Budget annuel'!$L$14:$L$43,COLUMN()-COLUMN($X$42)+1)))*12+MONTH($L325)-MONTH(INDEX('1 Budget annuel'!$L$14:$L$43,COLUMN()-COLUMN($X$42)+1)),6)=0,DAY($L325)=MIN(DAY(INDEX('1 Budget annuel'!$L$14:$L$43,COLUMN()-COLUMN($X$42)+1)),DAY(EOMONTH($L325,0)))),AND(INDEX('1 Budget annuel'!$E$14:$E$43,COLUMN()-COLUMN($X$42)+1)="Annuelle",MOD((YEAR($L325)-YEAR(INDEX('1 Budget annuel'!$L$14:$L$43,COLUMN()-COLUMN($X$42)+1)))*12+MONTH($L325)-MONTH(INDEX('1 Budget annuel'!$L$14:$L$43,COLUMN()-COLUMN($X$42)+1)),12)=0,DAY($L325)=MIN(DAY(INDEX('1 Budget annuel'!$L$14:$L$43,COLUMN()-COLUMN($X$42)+1)),DAY(EOMONTH($L325,0))))),IF(INDEX('1 Budget annuel'!$B$14:$B$43,COLUMN()-COLUMN($X$42)+1)="Entrée",INDEX('1 Budget annuel'!$I$14:$I$43,COLUMN()-COLUMN($X$42)+1),-INDEX('1 Budget annuel'!$I$14:$I$43,COLUMN()-COLUMN($X$42)+1)),0))</x:f>
        <x:v>0</x:v>
      </x:c>
    </x:row>
    <x:row r="326">
      <x:c r="L326" s="114" t="n">
        <x:f>L325+1</x:f>
        <x:v>46520</x:v>
      </x:c>
      <x:c r="M326" s="115" t="b">
        <x:f>AND(L326&gt;=$D$5,L326&lt;=$D$5+363,MOD(L326-$D$5,7)=0)</x:f>
        <x:v>0</x:v>
      </x:c>
      <x:c r="N326" s="116" t="n">
        <x:f>SUM(X326:BA326)</x:f>
        <x:v>0</x:v>
      </x:c>
      <x:c r="O326" s="116" t="n">
        <x:f>IF(M326,$D$10,0)</x:f>
        <x:v>0</x:v>
      </x:c>
      <x:c r="P326" s="116" t="n">
        <x:f>N326-O326</x:f>
        <x:v>0</x:v>
      </x:c>
      <x:c r="Q326" s="116" t="n">
        <x:f>IF(L326&lt;$D$5,0,IF(L326=$D$5,P326,Q325+P326))</x:f>
        <x:v>0</x:v>
      </x:c>
      <x:c r="R326" s="116" t="n">
        <x:f>IF(L326&lt;$D$5,"",$J$10+Q326)</x:f>
        <x:v>0</x:v>
      </x:c>
      <x:c r="S326" s="116" t="n">
        <x:f>IF($L326&lt;$D$5,"",IF($L326=$D$5,$J$10+$N326-IF($M326,IF(INT(($L326-$D$5)/7)&lt;$A$20,$B$20,$D$10),0),S325+$N326-IF($M326,IF(INT(($L326-$D$5)/7)&lt;$A$20,$B$20,$D$10),0)))</x:f>
        <x:v>0</x:v>
      </x:c>
      <x:c r="T326" s="116" t="n">
        <x:f>IF($L326&lt;$D$5,"",IF($L326=$D$5,$J$10+$N326-IF($M326,IF(INT(($L326-$D$5)/7)&lt;$A$21,$B$21,$D$10),0),T325+$N326-IF($M326,IF(INT(($L326-$D$5)/7)&lt;$A$21,$B$21,$D$10),0)))</x:f>
        <x:v>0</x:v>
      </x:c>
      <x:c r="U326" s="116" t="n">
        <x:f>IF($L326&lt;$D$5,"",IF($L326=$D$5,$J$10+$N326-IF($M326,IF(INT(($L326-$D$5)/7)&lt;$A$22,$B$22,$D$10),0),U325+$N326-IF($M326,IF(INT(($L326-$D$5)/7)&lt;$A$22,$B$22,$D$10),0)))</x:f>
        <x:v>0</x:v>
      </x:c>
      <x:c r="V326" s="116" t="n">
        <x:f>IF($L326&lt;$D$5,"",IF($L326=$D$5,$J$10+$N326-IF($M326,IF(INT(($L326-$D$5)/7)&lt;$A$23,$B$23,$D$10),0),V325+$N326-IF($M326,IF(INT(($L326-$D$5)/7)&lt;$A$23,$B$23,$D$10),0)))</x:f>
        <x:v>0</x:v>
      </x:c>
      <x:c r="W326" s="116" t="n">
        <x:f>IF($L326&lt;$D$5,"",IF($L326=$D$5,$J$10+$N326-IF($M326,IF(INT(($L326-$D$5)/7)&lt;$A$24,$B$24,$D$10),0),W325+$N326-IF($M326,IF(INT(($L326-$D$5)/7)&lt;$A$24,$B$24,$D$10),0)))</x:f>
        <x:v>0</x:v>
      </x:c>
      <x:c r="X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Y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Z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A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B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C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D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E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F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G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H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I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J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K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L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M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N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O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P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Q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R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S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T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U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V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W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X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Y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AZ326" s="116"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c r="BA326" s="117" t="n">
        <x:f>IF(OR(INDEX('1 Budget annuel'!$A$14:$A$43,COLUMN()-COLUMN($X$42)+1)&lt;&gt;"Oui",INDEX('1 Budget annuel'!$L$14:$L$43,COLUMN()-COLUMN($X$42)+1)="",AND(INDEX('1 Budget annuel'!$B$14:$B$43,COLUMN()-COLUMN($X$42)+1)="Sortie",INDEX('1 Budget annuel'!$M$14:$M$43,COLUMN()-COLUMN($X$42)+1)="Oui"),$L326&lt;INDEX('1 Budget annuel'!$L$14:$L$43,COLUMN()-COLUMN($X$42)+1),$L326&gt;$D$5+363),0,IF(OR(AND(INDEX('1 Budget annuel'!$E$14:$E$43,COLUMN()-COLUMN($X$42)+1)="Hebdomadaire",MOD($L326-INDEX('1 Budget annuel'!$L$14:$L$43,COLUMN()-COLUMN($X$42)+1),7)=0),AND(INDEX('1 Budget annuel'!$E$14:$E$43,COLUMN()-COLUMN($X$42)+1)="Toutes les 4 semaines",MOD($L326-INDEX('1 Budget annuel'!$L$14:$L$43,COLUMN()-COLUMN($X$42)+1),28)=0),AND(INDEX('1 Budget annuel'!$E$14:$E$43,COLUMN()-COLUMN($X$42)+1)="Mensuelle",DAY($L326)=MIN(DAY(INDEX('1 Budget annuel'!$L$14:$L$43,COLUMN()-COLUMN($X$42)+1)),DAY(EOMONTH($L326,0)))),AND(INDEX('1 Budget annuel'!$E$14:$E$43,COLUMN()-COLUMN($X$42)+1)="Trimestrielle",MOD((YEAR($L326)-YEAR(INDEX('1 Budget annuel'!$L$14:$L$43,COLUMN()-COLUMN($X$42)+1)))*12+MONTH($L326)-MONTH(INDEX('1 Budget annuel'!$L$14:$L$43,COLUMN()-COLUMN($X$42)+1)),3)=0,DAY($L326)=MIN(DAY(INDEX('1 Budget annuel'!$L$14:$L$43,COLUMN()-COLUMN($X$42)+1)),DAY(EOMONTH($L326,0)))),AND(INDEX('1 Budget annuel'!$E$14:$E$43,COLUMN()-COLUMN($X$42)+1)="Semestrielle",MOD((YEAR($L326)-YEAR(INDEX('1 Budget annuel'!$L$14:$L$43,COLUMN()-COLUMN($X$42)+1)))*12+MONTH($L326)-MONTH(INDEX('1 Budget annuel'!$L$14:$L$43,COLUMN()-COLUMN($X$42)+1)),6)=0,DAY($L326)=MIN(DAY(INDEX('1 Budget annuel'!$L$14:$L$43,COLUMN()-COLUMN($X$42)+1)),DAY(EOMONTH($L326,0)))),AND(INDEX('1 Budget annuel'!$E$14:$E$43,COLUMN()-COLUMN($X$42)+1)="Annuelle",MOD((YEAR($L326)-YEAR(INDEX('1 Budget annuel'!$L$14:$L$43,COLUMN()-COLUMN($X$42)+1)))*12+MONTH($L326)-MONTH(INDEX('1 Budget annuel'!$L$14:$L$43,COLUMN()-COLUMN($X$42)+1)),12)=0,DAY($L326)=MIN(DAY(INDEX('1 Budget annuel'!$L$14:$L$43,COLUMN()-COLUMN($X$42)+1)),DAY(EOMONTH($L326,0))))),IF(INDEX('1 Budget annuel'!$B$14:$B$43,COLUMN()-COLUMN($X$42)+1)="Entrée",INDEX('1 Budget annuel'!$I$14:$I$43,COLUMN()-COLUMN($X$42)+1),-INDEX('1 Budget annuel'!$I$14:$I$43,COLUMN()-COLUMN($X$42)+1)),0))</x:f>
        <x:v>0</x:v>
      </x:c>
    </x:row>
    <x:row r="327">
      <x:c r="L327" s="114" t="n">
        <x:f>L326+1</x:f>
        <x:v>46521</x:v>
      </x:c>
      <x:c r="M327" s="115" t="b">
        <x:f>AND(L327&gt;=$D$5,L327&lt;=$D$5+363,MOD(L327-$D$5,7)=0)</x:f>
        <x:v>0</x:v>
      </x:c>
      <x:c r="N327" s="116" t="n">
        <x:f>SUM(X327:BA327)</x:f>
        <x:v>0</x:v>
      </x:c>
      <x:c r="O327" s="116" t="n">
        <x:f>IF(M327,$D$10,0)</x:f>
        <x:v>0</x:v>
      </x:c>
      <x:c r="P327" s="116" t="n">
        <x:f>N327-O327</x:f>
        <x:v>0</x:v>
      </x:c>
      <x:c r="Q327" s="116" t="n">
        <x:f>IF(L327&lt;$D$5,0,IF(L327=$D$5,P327,Q326+P327))</x:f>
        <x:v>0</x:v>
      </x:c>
      <x:c r="R327" s="116" t="n">
        <x:f>IF(L327&lt;$D$5,"",$J$10+Q327)</x:f>
        <x:v>0</x:v>
      </x:c>
      <x:c r="S327" s="116" t="n">
        <x:f>IF($L327&lt;$D$5,"",IF($L327=$D$5,$J$10+$N327-IF($M327,IF(INT(($L327-$D$5)/7)&lt;$A$20,$B$20,$D$10),0),S326+$N327-IF($M327,IF(INT(($L327-$D$5)/7)&lt;$A$20,$B$20,$D$10),0)))</x:f>
        <x:v>0</x:v>
      </x:c>
      <x:c r="T327" s="116" t="n">
        <x:f>IF($L327&lt;$D$5,"",IF($L327=$D$5,$J$10+$N327-IF($M327,IF(INT(($L327-$D$5)/7)&lt;$A$21,$B$21,$D$10),0),T326+$N327-IF($M327,IF(INT(($L327-$D$5)/7)&lt;$A$21,$B$21,$D$10),0)))</x:f>
        <x:v>0</x:v>
      </x:c>
      <x:c r="U327" s="116" t="n">
        <x:f>IF($L327&lt;$D$5,"",IF($L327=$D$5,$J$10+$N327-IF($M327,IF(INT(($L327-$D$5)/7)&lt;$A$22,$B$22,$D$10),0),U326+$N327-IF($M327,IF(INT(($L327-$D$5)/7)&lt;$A$22,$B$22,$D$10),0)))</x:f>
        <x:v>0</x:v>
      </x:c>
      <x:c r="V327" s="116" t="n">
        <x:f>IF($L327&lt;$D$5,"",IF($L327=$D$5,$J$10+$N327-IF($M327,IF(INT(($L327-$D$5)/7)&lt;$A$23,$B$23,$D$10),0),V326+$N327-IF($M327,IF(INT(($L327-$D$5)/7)&lt;$A$23,$B$23,$D$10),0)))</x:f>
        <x:v>0</x:v>
      </x:c>
      <x:c r="W327" s="116" t="n">
        <x:f>IF($L327&lt;$D$5,"",IF($L327=$D$5,$J$10+$N327-IF($M327,IF(INT(($L327-$D$5)/7)&lt;$A$24,$B$24,$D$10),0),W326+$N327-IF($M327,IF(INT(($L327-$D$5)/7)&lt;$A$24,$B$24,$D$10),0)))</x:f>
        <x:v>0</x:v>
      </x:c>
      <x:c r="X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Y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Z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A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B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C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D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E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F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G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H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I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J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K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L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M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N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O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P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Q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R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S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T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U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V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W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X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Y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AZ327" s="116"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c r="BA327" s="117" t="n">
        <x:f>IF(OR(INDEX('1 Budget annuel'!$A$14:$A$43,COLUMN()-COLUMN($X$42)+1)&lt;&gt;"Oui",INDEX('1 Budget annuel'!$L$14:$L$43,COLUMN()-COLUMN($X$42)+1)="",AND(INDEX('1 Budget annuel'!$B$14:$B$43,COLUMN()-COLUMN($X$42)+1)="Sortie",INDEX('1 Budget annuel'!$M$14:$M$43,COLUMN()-COLUMN($X$42)+1)="Oui"),$L327&lt;INDEX('1 Budget annuel'!$L$14:$L$43,COLUMN()-COLUMN($X$42)+1),$L327&gt;$D$5+363),0,IF(OR(AND(INDEX('1 Budget annuel'!$E$14:$E$43,COLUMN()-COLUMN($X$42)+1)="Hebdomadaire",MOD($L327-INDEX('1 Budget annuel'!$L$14:$L$43,COLUMN()-COLUMN($X$42)+1),7)=0),AND(INDEX('1 Budget annuel'!$E$14:$E$43,COLUMN()-COLUMN($X$42)+1)="Toutes les 4 semaines",MOD($L327-INDEX('1 Budget annuel'!$L$14:$L$43,COLUMN()-COLUMN($X$42)+1),28)=0),AND(INDEX('1 Budget annuel'!$E$14:$E$43,COLUMN()-COLUMN($X$42)+1)="Mensuelle",DAY($L327)=MIN(DAY(INDEX('1 Budget annuel'!$L$14:$L$43,COLUMN()-COLUMN($X$42)+1)),DAY(EOMONTH($L327,0)))),AND(INDEX('1 Budget annuel'!$E$14:$E$43,COLUMN()-COLUMN($X$42)+1)="Trimestrielle",MOD((YEAR($L327)-YEAR(INDEX('1 Budget annuel'!$L$14:$L$43,COLUMN()-COLUMN($X$42)+1)))*12+MONTH($L327)-MONTH(INDEX('1 Budget annuel'!$L$14:$L$43,COLUMN()-COLUMN($X$42)+1)),3)=0,DAY($L327)=MIN(DAY(INDEX('1 Budget annuel'!$L$14:$L$43,COLUMN()-COLUMN($X$42)+1)),DAY(EOMONTH($L327,0)))),AND(INDEX('1 Budget annuel'!$E$14:$E$43,COLUMN()-COLUMN($X$42)+1)="Semestrielle",MOD((YEAR($L327)-YEAR(INDEX('1 Budget annuel'!$L$14:$L$43,COLUMN()-COLUMN($X$42)+1)))*12+MONTH($L327)-MONTH(INDEX('1 Budget annuel'!$L$14:$L$43,COLUMN()-COLUMN($X$42)+1)),6)=0,DAY($L327)=MIN(DAY(INDEX('1 Budget annuel'!$L$14:$L$43,COLUMN()-COLUMN($X$42)+1)),DAY(EOMONTH($L327,0)))),AND(INDEX('1 Budget annuel'!$E$14:$E$43,COLUMN()-COLUMN($X$42)+1)="Annuelle",MOD((YEAR($L327)-YEAR(INDEX('1 Budget annuel'!$L$14:$L$43,COLUMN()-COLUMN($X$42)+1)))*12+MONTH($L327)-MONTH(INDEX('1 Budget annuel'!$L$14:$L$43,COLUMN()-COLUMN($X$42)+1)),12)=0,DAY($L327)=MIN(DAY(INDEX('1 Budget annuel'!$L$14:$L$43,COLUMN()-COLUMN($X$42)+1)),DAY(EOMONTH($L327,0))))),IF(INDEX('1 Budget annuel'!$B$14:$B$43,COLUMN()-COLUMN($X$42)+1)="Entrée",INDEX('1 Budget annuel'!$I$14:$I$43,COLUMN()-COLUMN($X$42)+1),-INDEX('1 Budget annuel'!$I$14:$I$43,COLUMN()-COLUMN($X$42)+1)),0))</x:f>
        <x:v>0</x:v>
      </x:c>
    </x:row>
    <x:row r="328">
      <x:c r="L328" s="114" t="n">
        <x:f>L327+1</x:f>
        <x:v>46522</x:v>
      </x:c>
      <x:c r="M328" s="115" t="b">
        <x:f>AND(L328&gt;=$D$5,L328&lt;=$D$5+363,MOD(L328-$D$5,7)=0)</x:f>
        <x:v>1</x:v>
      </x:c>
      <x:c r="N328" s="116" t="n">
        <x:f>SUM(X328:BA328)</x:f>
        <x:v>0</x:v>
      </x:c>
      <x:c r="O328" s="116" t="n">
        <x:f>IF(M328,$D$10,0)</x:f>
        <x:v>0</x:v>
      </x:c>
      <x:c r="P328" s="116" t="n">
        <x:f>N328-O328</x:f>
        <x:v>0</x:v>
      </x:c>
      <x:c r="Q328" s="116" t="n">
        <x:f>IF(L328&lt;$D$5,0,IF(L328=$D$5,P328,Q327+P328))</x:f>
        <x:v>0</x:v>
      </x:c>
      <x:c r="R328" s="116" t="n">
        <x:f>IF(L328&lt;$D$5,"",$J$10+Q328)</x:f>
        <x:v>0</x:v>
      </x:c>
      <x:c r="S328" s="116" t="n">
        <x:f>IF($L328&lt;$D$5,"",IF($L328=$D$5,$J$10+$N328-IF($M328,IF(INT(($L328-$D$5)/7)&lt;$A$20,$B$20,$D$10),0),S327+$N328-IF($M328,IF(INT(($L328-$D$5)/7)&lt;$A$20,$B$20,$D$10),0)))</x:f>
        <x:v>0</x:v>
      </x:c>
      <x:c r="T328" s="116" t="n">
        <x:f>IF($L328&lt;$D$5,"",IF($L328=$D$5,$J$10+$N328-IF($M328,IF(INT(($L328-$D$5)/7)&lt;$A$21,$B$21,$D$10),0),T327+$N328-IF($M328,IF(INT(($L328-$D$5)/7)&lt;$A$21,$B$21,$D$10),0)))</x:f>
        <x:v>0</x:v>
      </x:c>
      <x:c r="U328" s="116" t="n">
        <x:f>IF($L328&lt;$D$5,"",IF($L328=$D$5,$J$10+$N328-IF($M328,IF(INT(($L328-$D$5)/7)&lt;$A$22,$B$22,$D$10),0),U327+$N328-IF($M328,IF(INT(($L328-$D$5)/7)&lt;$A$22,$B$22,$D$10),0)))</x:f>
        <x:v>0</x:v>
      </x:c>
      <x:c r="V328" s="116" t="n">
        <x:f>IF($L328&lt;$D$5,"",IF($L328=$D$5,$J$10+$N328-IF($M328,IF(INT(($L328-$D$5)/7)&lt;$A$23,$B$23,$D$10),0),V327+$N328-IF($M328,IF(INT(($L328-$D$5)/7)&lt;$A$23,$B$23,$D$10),0)))</x:f>
        <x:v>0</x:v>
      </x:c>
      <x:c r="W328" s="116" t="n">
        <x:f>IF($L328&lt;$D$5,"",IF($L328=$D$5,$J$10+$N328-IF($M328,IF(INT(($L328-$D$5)/7)&lt;$A$24,$B$24,$D$10),0),W327+$N328-IF($M328,IF(INT(($L328-$D$5)/7)&lt;$A$24,$B$24,$D$10),0)))</x:f>
        <x:v>0</x:v>
      </x:c>
      <x:c r="X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Y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Z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A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B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C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D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E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F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G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H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I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J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K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L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M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N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O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P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Q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R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S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T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U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V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W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X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Y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AZ328" s="116"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c r="BA328" s="117" t="n">
        <x:f>IF(OR(INDEX('1 Budget annuel'!$A$14:$A$43,COLUMN()-COLUMN($X$42)+1)&lt;&gt;"Oui",INDEX('1 Budget annuel'!$L$14:$L$43,COLUMN()-COLUMN($X$42)+1)="",AND(INDEX('1 Budget annuel'!$B$14:$B$43,COLUMN()-COLUMN($X$42)+1)="Sortie",INDEX('1 Budget annuel'!$M$14:$M$43,COLUMN()-COLUMN($X$42)+1)="Oui"),$L328&lt;INDEX('1 Budget annuel'!$L$14:$L$43,COLUMN()-COLUMN($X$42)+1),$L328&gt;$D$5+363),0,IF(OR(AND(INDEX('1 Budget annuel'!$E$14:$E$43,COLUMN()-COLUMN($X$42)+1)="Hebdomadaire",MOD($L328-INDEX('1 Budget annuel'!$L$14:$L$43,COLUMN()-COLUMN($X$42)+1),7)=0),AND(INDEX('1 Budget annuel'!$E$14:$E$43,COLUMN()-COLUMN($X$42)+1)="Toutes les 4 semaines",MOD($L328-INDEX('1 Budget annuel'!$L$14:$L$43,COLUMN()-COLUMN($X$42)+1),28)=0),AND(INDEX('1 Budget annuel'!$E$14:$E$43,COLUMN()-COLUMN($X$42)+1)="Mensuelle",DAY($L328)=MIN(DAY(INDEX('1 Budget annuel'!$L$14:$L$43,COLUMN()-COLUMN($X$42)+1)),DAY(EOMONTH($L328,0)))),AND(INDEX('1 Budget annuel'!$E$14:$E$43,COLUMN()-COLUMN($X$42)+1)="Trimestrielle",MOD((YEAR($L328)-YEAR(INDEX('1 Budget annuel'!$L$14:$L$43,COLUMN()-COLUMN($X$42)+1)))*12+MONTH($L328)-MONTH(INDEX('1 Budget annuel'!$L$14:$L$43,COLUMN()-COLUMN($X$42)+1)),3)=0,DAY($L328)=MIN(DAY(INDEX('1 Budget annuel'!$L$14:$L$43,COLUMN()-COLUMN($X$42)+1)),DAY(EOMONTH($L328,0)))),AND(INDEX('1 Budget annuel'!$E$14:$E$43,COLUMN()-COLUMN($X$42)+1)="Semestrielle",MOD((YEAR($L328)-YEAR(INDEX('1 Budget annuel'!$L$14:$L$43,COLUMN()-COLUMN($X$42)+1)))*12+MONTH($L328)-MONTH(INDEX('1 Budget annuel'!$L$14:$L$43,COLUMN()-COLUMN($X$42)+1)),6)=0,DAY($L328)=MIN(DAY(INDEX('1 Budget annuel'!$L$14:$L$43,COLUMN()-COLUMN($X$42)+1)),DAY(EOMONTH($L328,0)))),AND(INDEX('1 Budget annuel'!$E$14:$E$43,COLUMN()-COLUMN($X$42)+1)="Annuelle",MOD((YEAR($L328)-YEAR(INDEX('1 Budget annuel'!$L$14:$L$43,COLUMN()-COLUMN($X$42)+1)))*12+MONTH($L328)-MONTH(INDEX('1 Budget annuel'!$L$14:$L$43,COLUMN()-COLUMN($X$42)+1)),12)=0,DAY($L328)=MIN(DAY(INDEX('1 Budget annuel'!$L$14:$L$43,COLUMN()-COLUMN($X$42)+1)),DAY(EOMONTH($L328,0))))),IF(INDEX('1 Budget annuel'!$B$14:$B$43,COLUMN()-COLUMN($X$42)+1)="Entrée",INDEX('1 Budget annuel'!$I$14:$I$43,COLUMN()-COLUMN($X$42)+1),-INDEX('1 Budget annuel'!$I$14:$I$43,COLUMN()-COLUMN($X$42)+1)),0))</x:f>
        <x:v>0</x:v>
      </x:c>
    </x:row>
    <x:row r="329">
      <x:c r="L329" s="114" t="n">
        <x:f>L328+1</x:f>
        <x:v>46523</x:v>
      </x:c>
      <x:c r="M329" s="115" t="b">
        <x:f>AND(L329&gt;=$D$5,L329&lt;=$D$5+363,MOD(L329-$D$5,7)=0)</x:f>
        <x:v>0</x:v>
      </x:c>
      <x:c r="N329" s="116" t="n">
        <x:f>SUM(X329:BA329)</x:f>
        <x:v>0</x:v>
      </x:c>
      <x:c r="O329" s="116" t="n">
        <x:f>IF(M329,$D$10,0)</x:f>
        <x:v>0</x:v>
      </x:c>
      <x:c r="P329" s="116" t="n">
        <x:f>N329-O329</x:f>
        <x:v>0</x:v>
      </x:c>
      <x:c r="Q329" s="116" t="n">
        <x:f>IF(L329&lt;$D$5,0,IF(L329=$D$5,P329,Q328+P329))</x:f>
        <x:v>0</x:v>
      </x:c>
      <x:c r="R329" s="116" t="n">
        <x:f>IF(L329&lt;$D$5,"",$J$10+Q329)</x:f>
        <x:v>0</x:v>
      </x:c>
      <x:c r="S329" s="116" t="n">
        <x:f>IF($L329&lt;$D$5,"",IF($L329=$D$5,$J$10+$N329-IF($M329,IF(INT(($L329-$D$5)/7)&lt;$A$20,$B$20,$D$10),0),S328+$N329-IF($M329,IF(INT(($L329-$D$5)/7)&lt;$A$20,$B$20,$D$10),0)))</x:f>
        <x:v>0</x:v>
      </x:c>
      <x:c r="T329" s="116" t="n">
        <x:f>IF($L329&lt;$D$5,"",IF($L329=$D$5,$J$10+$N329-IF($M329,IF(INT(($L329-$D$5)/7)&lt;$A$21,$B$21,$D$10),0),T328+$N329-IF($M329,IF(INT(($L329-$D$5)/7)&lt;$A$21,$B$21,$D$10),0)))</x:f>
        <x:v>0</x:v>
      </x:c>
      <x:c r="U329" s="116" t="n">
        <x:f>IF($L329&lt;$D$5,"",IF($L329=$D$5,$J$10+$N329-IF($M329,IF(INT(($L329-$D$5)/7)&lt;$A$22,$B$22,$D$10),0),U328+$N329-IF($M329,IF(INT(($L329-$D$5)/7)&lt;$A$22,$B$22,$D$10),0)))</x:f>
        <x:v>0</x:v>
      </x:c>
      <x:c r="V329" s="116" t="n">
        <x:f>IF($L329&lt;$D$5,"",IF($L329=$D$5,$J$10+$N329-IF($M329,IF(INT(($L329-$D$5)/7)&lt;$A$23,$B$23,$D$10),0),V328+$N329-IF($M329,IF(INT(($L329-$D$5)/7)&lt;$A$23,$B$23,$D$10),0)))</x:f>
        <x:v>0</x:v>
      </x:c>
      <x:c r="W329" s="116" t="n">
        <x:f>IF($L329&lt;$D$5,"",IF($L329=$D$5,$J$10+$N329-IF($M329,IF(INT(($L329-$D$5)/7)&lt;$A$24,$B$24,$D$10),0),W328+$N329-IF($M329,IF(INT(($L329-$D$5)/7)&lt;$A$24,$B$24,$D$10),0)))</x:f>
        <x:v>0</x:v>
      </x:c>
      <x:c r="X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Y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Z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A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B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C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D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E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F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G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H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I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J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K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L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M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N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O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P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Q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R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S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T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U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V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W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X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Y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AZ329" s="116"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c r="BA329" s="117" t="n">
        <x:f>IF(OR(INDEX('1 Budget annuel'!$A$14:$A$43,COLUMN()-COLUMN($X$42)+1)&lt;&gt;"Oui",INDEX('1 Budget annuel'!$L$14:$L$43,COLUMN()-COLUMN($X$42)+1)="",AND(INDEX('1 Budget annuel'!$B$14:$B$43,COLUMN()-COLUMN($X$42)+1)="Sortie",INDEX('1 Budget annuel'!$M$14:$M$43,COLUMN()-COLUMN($X$42)+1)="Oui"),$L329&lt;INDEX('1 Budget annuel'!$L$14:$L$43,COLUMN()-COLUMN($X$42)+1),$L329&gt;$D$5+363),0,IF(OR(AND(INDEX('1 Budget annuel'!$E$14:$E$43,COLUMN()-COLUMN($X$42)+1)="Hebdomadaire",MOD($L329-INDEX('1 Budget annuel'!$L$14:$L$43,COLUMN()-COLUMN($X$42)+1),7)=0),AND(INDEX('1 Budget annuel'!$E$14:$E$43,COLUMN()-COLUMN($X$42)+1)="Toutes les 4 semaines",MOD($L329-INDEX('1 Budget annuel'!$L$14:$L$43,COLUMN()-COLUMN($X$42)+1),28)=0),AND(INDEX('1 Budget annuel'!$E$14:$E$43,COLUMN()-COLUMN($X$42)+1)="Mensuelle",DAY($L329)=MIN(DAY(INDEX('1 Budget annuel'!$L$14:$L$43,COLUMN()-COLUMN($X$42)+1)),DAY(EOMONTH($L329,0)))),AND(INDEX('1 Budget annuel'!$E$14:$E$43,COLUMN()-COLUMN($X$42)+1)="Trimestrielle",MOD((YEAR($L329)-YEAR(INDEX('1 Budget annuel'!$L$14:$L$43,COLUMN()-COLUMN($X$42)+1)))*12+MONTH($L329)-MONTH(INDEX('1 Budget annuel'!$L$14:$L$43,COLUMN()-COLUMN($X$42)+1)),3)=0,DAY($L329)=MIN(DAY(INDEX('1 Budget annuel'!$L$14:$L$43,COLUMN()-COLUMN($X$42)+1)),DAY(EOMONTH($L329,0)))),AND(INDEX('1 Budget annuel'!$E$14:$E$43,COLUMN()-COLUMN($X$42)+1)="Semestrielle",MOD((YEAR($L329)-YEAR(INDEX('1 Budget annuel'!$L$14:$L$43,COLUMN()-COLUMN($X$42)+1)))*12+MONTH($L329)-MONTH(INDEX('1 Budget annuel'!$L$14:$L$43,COLUMN()-COLUMN($X$42)+1)),6)=0,DAY($L329)=MIN(DAY(INDEX('1 Budget annuel'!$L$14:$L$43,COLUMN()-COLUMN($X$42)+1)),DAY(EOMONTH($L329,0)))),AND(INDEX('1 Budget annuel'!$E$14:$E$43,COLUMN()-COLUMN($X$42)+1)="Annuelle",MOD((YEAR($L329)-YEAR(INDEX('1 Budget annuel'!$L$14:$L$43,COLUMN()-COLUMN($X$42)+1)))*12+MONTH($L329)-MONTH(INDEX('1 Budget annuel'!$L$14:$L$43,COLUMN()-COLUMN($X$42)+1)),12)=0,DAY($L329)=MIN(DAY(INDEX('1 Budget annuel'!$L$14:$L$43,COLUMN()-COLUMN($X$42)+1)),DAY(EOMONTH($L329,0))))),IF(INDEX('1 Budget annuel'!$B$14:$B$43,COLUMN()-COLUMN($X$42)+1)="Entrée",INDEX('1 Budget annuel'!$I$14:$I$43,COLUMN()-COLUMN($X$42)+1),-INDEX('1 Budget annuel'!$I$14:$I$43,COLUMN()-COLUMN($X$42)+1)),0))</x:f>
        <x:v>0</x:v>
      </x:c>
    </x:row>
    <x:row r="330">
      <x:c r="L330" s="114" t="n">
        <x:f>L329+1</x:f>
        <x:v>46524</x:v>
      </x:c>
      <x:c r="M330" s="115" t="b">
        <x:f>AND(L330&gt;=$D$5,L330&lt;=$D$5+363,MOD(L330-$D$5,7)=0)</x:f>
        <x:v>0</x:v>
      </x:c>
      <x:c r="N330" s="116" t="n">
        <x:f>SUM(X330:BA330)</x:f>
        <x:v>0</x:v>
      </x:c>
      <x:c r="O330" s="116" t="n">
        <x:f>IF(M330,$D$10,0)</x:f>
        <x:v>0</x:v>
      </x:c>
      <x:c r="P330" s="116" t="n">
        <x:f>N330-O330</x:f>
        <x:v>0</x:v>
      </x:c>
      <x:c r="Q330" s="116" t="n">
        <x:f>IF(L330&lt;$D$5,0,IF(L330=$D$5,P330,Q329+P330))</x:f>
        <x:v>0</x:v>
      </x:c>
      <x:c r="R330" s="116" t="n">
        <x:f>IF(L330&lt;$D$5,"",$J$10+Q330)</x:f>
        <x:v>0</x:v>
      </x:c>
      <x:c r="S330" s="116" t="n">
        <x:f>IF($L330&lt;$D$5,"",IF($L330=$D$5,$J$10+$N330-IF($M330,IF(INT(($L330-$D$5)/7)&lt;$A$20,$B$20,$D$10),0),S329+$N330-IF($M330,IF(INT(($L330-$D$5)/7)&lt;$A$20,$B$20,$D$10),0)))</x:f>
        <x:v>0</x:v>
      </x:c>
      <x:c r="T330" s="116" t="n">
        <x:f>IF($L330&lt;$D$5,"",IF($L330=$D$5,$J$10+$N330-IF($M330,IF(INT(($L330-$D$5)/7)&lt;$A$21,$B$21,$D$10),0),T329+$N330-IF($M330,IF(INT(($L330-$D$5)/7)&lt;$A$21,$B$21,$D$10),0)))</x:f>
        <x:v>0</x:v>
      </x:c>
      <x:c r="U330" s="116" t="n">
        <x:f>IF($L330&lt;$D$5,"",IF($L330=$D$5,$J$10+$N330-IF($M330,IF(INT(($L330-$D$5)/7)&lt;$A$22,$B$22,$D$10),0),U329+$N330-IF($M330,IF(INT(($L330-$D$5)/7)&lt;$A$22,$B$22,$D$10),0)))</x:f>
        <x:v>0</x:v>
      </x:c>
      <x:c r="V330" s="116" t="n">
        <x:f>IF($L330&lt;$D$5,"",IF($L330=$D$5,$J$10+$N330-IF($M330,IF(INT(($L330-$D$5)/7)&lt;$A$23,$B$23,$D$10),0),V329+$N330-IF($M330,IF(INT(($L330-$D$5)/7)&lt;$A$23,$B$23,$D$10),0)))</x:f>
        <x:v>0</x:v>
      </x:c>
      <x:c r="W330" s="116" t="n">
        <x:f>IF($L330&lt;$D$5,"",IF($L330=$D$5,$J$10+$N330-IF($M330,IF(INT(($L330-$D$5)/7)&lt;$A$24,$B$24,$D$10),0),W329+$N330-IF($M330,IF(INT(($L330-$D$5)/7)&lt;$A$24,$B$24,$D$10),0)))</x:f>
        <x:v>0</x:v>
      </x:c>
      <x:c r="X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Y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Z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A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B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C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D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E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F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G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H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I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J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K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L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M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N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O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P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Q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R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S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T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U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V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W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X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Y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AZ330" s="116"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c r="BA330" s="117" t="n">
        <x:f>IF(OR(INDEX('1 Budget annuel'!$A$14:$A$43,COLUMN()-COLUMN($X$42)+1)&lt;&gt;"Oui",INDEX('1 Budget annuel'!$L$14:$L$43,COLUMN()-COLUMN($X$42)+1)="",AND(INDEX('1 Budget annuel'!$B$14:$B$43,COLUMN()-COLUMN($X$42)+1)="Sortie",INDEX('1 Budget annuel'!$M$14:$M$43,COLUMN()-COLUMN($X$42)+1)="Oui"),$L330&lt;INDEX('1 Budget annuel'!$L$14:$L$43,COLUMN()-COLUMN($X$42)+1),$L330&gt;$D$5+363),0,IF(OR(AND(INDEX('1 Budget annuel'!$E$14:$E$43,COLUMN()-COLUMN($X$42)+1)="Hebdomadaire",MOD($L330-INDEX('1 Budget annuel'!$L$14:$L$43,COLUMN()-COLUMN($X$42)+1),7)=0),AND(INDEX('1 Budget annuel'!$E$14:$E$43,COLUMN()-COLUMN($X$42)+1)="Toutes les 4 semaines",MOD($L330-INDEX('1 Budget annuel'!$L$14:$L$43,COLUMN()-COLUMN($X$42)+1),28)=0),AND(INDEX('1 Budget annuel'!$E$14:$E$43,COLUMN()-COLUMN($X$42)+1)="Mensuelle",DAY($L330)=MIN(DAY(INDEX('1 Budget annuel'!$L$14:$L$43,COLUMN()-COLUMN($X$42)+1)),DAY(EOMONTH($L330,0)))),AND(INDEX('1 Budget annuel'!$E$14:$E$43,COLUMN()-COLUMN($X$42)+1)="Trimestrielle",MOD((YEAR($L330)-YEAR(INDEX('1 Budget annuel'!$L$14:$L$43,COLUMN()-COLUMN($X$42)+1)))*12+MONTH($L330)-MONTH(INDEX('1 Budget annuel'!$L$14:$L$43,COLUMN()-COLUMN($X$42)+1)),3)=0,DAY($L330)=MIN(DAY(INDEX('1 Budget annuel'!$L$14:$L$43,COLUMN()-COLUMN($X$42)+1)),DAY(EOMONTH($L330,0)))),AND(INDEX('1 Budget annuel'!$E$14:$E$43,COLUMN()-COLUMN($X$42)+1)="Semestrielle",MOD((YEAR($L330)-YEAR(INDEX('1 Budget annuel'!$L$14:$L$43,COLUMN()-COLUMN($X$42)+1)))*12+MONTH($L330)-MONTH(INDEX('1 Budget annuel'!$L$14:$L$43,COLUMN()-COLUMN($X$42)+1)),6)=0,DAY($L330)=MIN(DAY(INDEX('1 Budget annuel'!$L$14:$L$43,COLUMN()-COLUMN($X$42)+1)),DAY(EOMONTH($L330,0)))),AND(INDEX('1 Budget annuel'!$E$14:$E$43,COLUMN()-COLUMN($X$42)+1)="Annuelle",MOD((YEAR($L330)-YEAR(INDEX('1 Budget annuel'!$L$14:$L$43,COLUMN()-COLUMN($X$42)+1)))*12+MONTH($L330)-MONTH(INDEX('1 Budget annuel'!$L$14:$L$43,COLUMN()-COLUMN($X$42)+1)),12)=0,DAY($L330)=MIN(DAY(INDEX('1 Budget annuel'!$L$14:$L$43,COLUMN()-COLUMN($X$42)+1)),DAY(EOMONTH($L330,0))))),IF(INDEX('1 Budget annuel'!$B$14:$B$43,COLUMN()-COLUMN($X$42)+1)="Entrée",INDEX('1 Budget annuel'!$I$14:$I$43,COLUMN()-COLUMN($X$42)+1),-INDEX('1 Budget annuel'!$I$14:$I$43,COLUMN()-COLUMN($X$42)+1)),0))</x:f>
        <x:v>0</x:v>
      </x:c>
    </x:row>
    <x:row r="331">
      <x:c r="L331" s="114" t="n">
        <x:f>L330+1</x:f>
        <x:v>46525</x:v>
      </x:c>
      <x:c r="M331" s="115" t="b">
        <x:f>AND(L331&gt;=$D$5,L331&lt;=$D$5+363,MOD(L331-$D$5,7)=0)</x:f>
        <x:v>0</x:v>
      </x:c>
      <x:c r="N331" s="116" t="n">
        <x:f>SUM(X331:BA331)</x:f>
        <x:v>0</x:v>
      </x:c>
      <x:c r="O331" s="116" t="n">
        <x:f>IF(M331,$D$10,0)</x:f>
        <x:v>0</x:v>
      </x:c>
      <x:c r="P331" s="116" t="n">
        <x:f>N331-O331</x:f>
        <x:v>0</x:v>
      </x:c>
      <x:c r="Q331" s="116" t="n">
        <x:f>IF(L331&lt;$D$5,0,IF(L331=$D$5,P331,Q330+P331))</x:f>
        <x:v>0</x:v>
      </x:c>
      <x:c r="R331" s="116" t="n">
        <x:f>IF(L331&lt;$D$5,"",$J$10+Q331)</x:f>
        <x:v>0</x:v>
      </x:c>
      <x:c r="S331" s="116" t="n">
        <x:f>IF($L331&lt;$D$5,"",IF($L331=$D$5,$J$10+$N331-IF($M331,IF(INT(($L331-$D$5)/7)&lt;$A$20,$B$20,$D$10),0),S330+$N331-IF($M331,IF(INT(($L331-$D$5)/7)&lt;$A$20,$B$20,$D$10),0)))</x:f>
        <x:v>0</x:v>
      </x:c>
      <x:c r="T331" s="116" t="n">
        <x:f>IF($L331&lt;$D$5,"",IF($L331=$D$5,$J$10+$N331-IF($M331,IF(INT(($L331-$D$5)/7)&lt;$A$21,$B$21,$D$10),0),T330+$N331-IF($M331,IF(INT(($L331-$D$5)/7)&lt;$A$21,$B$21,$D$10),0)))</x:f>
        <x:v>0</x:v>
      </x:c>
      <x:c r="U331" s="116" t="n">
        <x:f>IF($L331&lt;$D$5,"",IF($L331=$D$5,$J$10+$N331-IF($M331,IF(INT(($L331-$D$5)/7)&lt;$A$22,$B$22,$D$10),0),U330+$N331-IF($M331,IF(INT(($L331-$D$5)/7)&lt;$A$22,$B$22,$D$10),0)))</x:f>
        <x:v>0</x:v>
      </x:c>
      <x:c r="V331" s="116" t="n">
        <x:f>IF($L331&lt;$D$5,"",IF($L331=$D$5,$J$10+$N331-IF($M331,IF(INT(($L331-$D$5)/7)&lt;$A$23,$B$23,$D$10),0),V330+$N331-IF($M331,IF(INT(($L331-$D$5)/7)&lt;$A$23,$B$23,$D$10),0)))</x:f>
        <x:v>0</x:v>
      </x:c>
      <x:c r="W331" s="116" t="n">
        <x:f>IF($L331&lt;$D$5,"",IF($L331=$D$5,$J$10+$N331-IF($M331,IF(INT(($L331-$D$5)/7)&lt;$A$24,$B$24,$D$10),0),W330+$N331-IF($M331,IF(INT(($L331-$D$5)/7)&lt;$A$24,$B$24,$D$10),0)))</x:f>
        <x:v>0</x:v>
      </x:c>
      <x:c r="X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Y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Z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A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B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C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D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E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F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G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H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I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J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K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L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M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N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O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P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Q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R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S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T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U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V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W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X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Y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AZ331" s="116"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c r="BA331" s="117" t="n">
        <x:f>IF(OR(INDEX('1 Budget annuel'!$A$14:$A$43,COLUMN()-COLUMN($X$42)+1)&lt;&gt;"Oui",INDEX('1 Budget annuel'!$L$14:$L$43,COLUMN()-COLUMN($X$42)+1)="",AND(INDEX('1 Budget annuel'!$B$14:$B$43,COLUMN()-COLUMN($X$42)+1)="Sortie",INDEX('1 Budget annuel'!$M$14:$M$43,COLUMN()-COLUMN($X$42)+1)="Oui"),$L331&lt;INDEX('1 Budget annuel'!$L$14:$L$43,COLUMN()-COLUMN($X$42)+1),$L331&gt;$D$5+363),0,IF(OR(AND(INDEX('1 Budget annuel'!$E$14:$E$43,COLUMN()-COLUMN($X$42)+1)="Hebdomadaire",MOD($L331-INDEX('1 Budget annuel'!$L$14:$L$43,COLUMN()-COLUMN($X$42)+1),7)=0),AND(INDEX('1 Budget annuel'!$E$14:$E$43,COLUMN()-COLUMN($X$42)+1)="Toutes les 4 semaines",MOD($L331-INDEX('1 Budget annuel'!$L$14:$L$43,COLUMN()-COLUMN($X$42)+1),28)=0),AND(INDEX('1 Budget annuel'!$E$14:$E$43,COLUMN()-COLUMN($X$42)+1)="Mensuelle",DAY($L331)=MIN(DAY(INDEX('1 Budget annuel'!$L$14:$L$43,COLUMN()-COLUMN($X$42)+1)),DAY(EOMONTH($L331,0)))),AND(INDEX('1 Budget annuel'!$E$14:$E$43,COLUMN()-COLUMN($X$42)+1)="Trimestrielle",MOD((YEAR($L331)-YEAR(INDEX('1 Budget annuel'!$L$14:$L$43,COLUMN()-COLUMN($X$42)+1)))*12+MONTH($L331)-MONTH(INDEX('1 Budget annuel'!$L$14:$L$43,COLUMN()-COLUMN($X$42)+1)),3)=0,DAY($L331)=MIN(DAY(INDEX('1 Budget annuel'!$L$14:$L$43,COLUMN()-COLUMN($X$42)+1)),DAY(EOMONTH($L331,0)))),AND(INDEX('1 Budget annuel'!$E$14:$E$43,COLUMN()-COLUMN($X$42)+1)="Semestrielle",MOD((YEAR($L331)-YEAR(INDEX('1 Budget annuel'!$L$14:$L$43,COLUMN()-COLUMN($X$42)+1)))*12+MONTH($L331)-MONTH(INDEX('1 Budget annuel'!$L$14:$L$43,COLUMN()-COLUMN($X$42)+1)),6)=0,DAY($L331)=MIN(DAY(INDEX('1 Budget annuel'!$L$14:$L$43,COLUMN()-COLUMN($X$42)+1)),DAY(EOMONTH($L331,0)))),AND(INDEX('1 Budget annuel'!$E$14:$E$43,COLUMN()-COLUMN($X$42)+1)="Annuelle",MOD((YEAR($L331)-YEAR(INDEX('1 Budget annuel'!$L$14:$L$43,COLUMN()-COLUMN($X$42)+1)))*12+MONTH($L331)-MONTH(INDEX('1 Budget annuel'!$L$14:$L$43,COLUMN()-COLUMN($X$42)+1)),12)=0,DAY($L331)=MIN(DAY(INDEX('1 Budget annuel'!$L$14:$L$43,COLUMN()-COLUMN($X$42)+1)),DAY(EOMONTH($L331,0))))),IF(INDEX('1 Budget annuel'!$B$14:$B$43,COLUMN()-COLUMN($X$42)+1)="Entrée",INDEX('1 Budget annuel'!$I$14:$I$43,COLUMN()-COLUMN($X$42)+1),-INDEX('1 Budget annuel'!$I$14:$I$43,COLUMN()-COLUMN($X$42)+1)),0))</x:f>
        <x:v>0</x:v>
      </x:c>
    </x:row>
    <x:row r="332">
      <x:c r="L332" s="114" t="n">
        <x:f>L331+1</x:f>
        <x:v>46526</x:v>
      </x:c>
      <x:c r="M332" s="115" t="b">
        <x:f>AND(L332&gt;=$D$5,L332&lt;=$D$5+363,MOD(L332-$D$5,7)=0)</x:f>
        <x:v>0</x:v>
      </x:c>
      <x:c r="N332" s="116" t="n">
        <x:f>SUM(X332:BA332)</x:f>
        <x:v>0</x:v>
      </x:c>
      <x:c r="O332" s="116" t="n">
        <x:f>IF(M332,$D$10,0)</x:f>
        <x:v>0</x:v>
      </x:c>
      <x:c r="P332" s="116" t="n">
        <x:f>N332-O332</x:f>
        <x:v>0</x:v>
      </x:c>
      <x:c r="Q332" s="116" t="n">
        <x:f>IF(L332&lt;$D$5,0,IF(L332=$D$5,P332,Q331+P332))</x:f>
        <x:v>0</x:v>
      </x:c>
      <x:c r="R332" s="116" t="n">
        <x:f>IF(L332&lt;$D$5,"",$J$10+Q332)</x:f>
        <x:v>0</x:v>
      </x:c>
      <x:c r="S332" s="116" t="n">
        <x:f>IF($L332&lt;$D$5,"",IF($L332=$D$5,$J$10+$N332-IF($M332,IF(INT(($L332-$D$5)/7)&lt;$A$20,$B$20,$D$10),0),S331+$N332-IF($M332,IF(INT(($L332-$D$5)/7)&lt;$A$20,$B$20,$D$10),0)))</x:f>
        <x:v>0</x:v>
      </x:c>
      <x:c r="T332" s="116" t="n">
        <x:f>IF($L332&lt;$D$5,"",IF($L332=$D$5,$J$10+$N332-IF($M332,IF(INT(($L332-$D$5)/7)&lt;$A$21,$B$21,$D$10),0),T331+$N332-IF($M332,IF(INT(($L332-$D$5)/7)&lt;$A$21,$B$21,$D$10),0)))</x:f>
        <x:v>0</x:v>
      </x:c>
      <x:c r="U332" s="116" t="n">
        <x:f>IF($L332&lt;$D$5,"",IF($L332=$D$5,$J$10+$N332-IF($M332,IF(INT(($L332-$D$5)/7)&lt;$A$22,$B$22,$D$10),0),U331+$N332-IF($M332,IF(INT(($L332-$D$5)/7)&lt;$A$22,$B$22,$D$10),0)))</x:f>
        <x:v>0</x:v>
      </x:c>
      <x:c r="V332" s="116" t="n">
        <x:f>IF($L332&lt;$D$5,"",IF($L332=$D$5,$J$10+$N332-IF($M332,IF(INT(($L332-$D$5)/7)&lt;$A$23,$B$23,$D$10),0),V331+$N332-IF($M332,IF(INT(($L332-$D$5)/7)&lt;$A$23,$B$23,$D$10),0)))</x:f>
        <x:v>0</x:v>
      </x:c>
      <x:c r="W332" s="116" t="n">
        <x:f>IF($L332&lt;$D$5,"",IF($L332=$D$5,$J$10+$N332-IF($M332,IF(INT(($L332-$D$5)/7)&lt;$A$24,$B$24,$D$10),0),W331+$N332-IF($M332,IF(INT(($L332-$D$5)/7)&lt;$A$24,$B$24,$D$10),0)))</x:f>
        <x:v>0</x:v>
      </x:c>
      <x:c r="X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Y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Z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A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B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C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D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E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F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G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H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I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J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K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L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M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N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O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P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Q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R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S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T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U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V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W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X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Y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AZ332" s="116"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c r="BA332" s="117" t="n">
        <x:f>IF(OR(INDEX('1 Budget annuel'!$A$14:$A$43,COLUMN()-COLUMN($X$42)+1)&lt;&gt;"Oui",INDEX('1 Budget annuel'!$L$14:$L$43,COLUMN()-COLUMN($X$42)+1)="",AND(INDEX('1 Budget annuel'!$B$14:$B$43,COLUMN()-COLUMN($X$42)+1)="Sortie",INDEX('1 Budget annuel'!$M$14:$M$43,COLUMN()-COLUMN($X$42)+1)="Oui"),$L332&lt;INDEX('1 Budget annuel'!$L$14:$L$43,COLUMN()-COLUMN($X$42)+1),$L332&gt;$D$5+363),0,IF(OR(AND(INDEX('1 Budget annuel'!$E$14:$E$43,COLUMN()-COLUMN($X$42)+1)="Hebdomadaire",MOD($L332-INDEX('1 Budget annuel'!$L$14:$L$43,COLUMN()-COLUMN($X$42)+1),7)=0),AND(INDEX('1 Budget annuel'!$E$14:$E$43,COLUMN()-COLUMN($X$42)+1)="Toutes les 4 semaines",MOD($L332-INDEX('1 Budget annuel'!$L$14:$L$43,COLUMN()-COLUMN($X$42)+1),28)=0),AND(INDEX('1 Budget annuel'!$E$14:$E$43,COLUMN()-COLUMN($X$42)+1)="Mensuelle",DAY($L332)=MIN(DAY(INDEX('1 Budget annuel'!$L$14:$L$43,COLUMN()-COLUMN($X$42)+1)),DAY(EOMONTH($L332,0)))),AND(INDEX('1 Budget annuel'!$E$14:$E$43,COLUMN()-COLUMN($X$42)+1)="Trimestrielle",MOD((YEAR($L332)-YEAR(INDEX('1 Budget annuel'!$L$14:$L$43,COLUMN()-COLUMN($X$42)+1)))*12+MONTH($L332)-MONTH(INDEX('1 Budget annuel'!$L$14:$L$43,COLUMN()-COLUMN($X$42)+1)),3)=0,DAY($L332)=MIN(DAY(INDEX('1 Budget annuel'!$L$14:$L$43,COLUMN()-COLUMN($X$42)+1)),DAY(EOMONTH($L332,0)))),AND(INDEX('1 Budget annuel'!$E$14:$E$43,COLUMN()-COLUMN($X$42)+1)="Semestrielle",MOD((YEAR($L332)-YEAR(INDEX('1 Budget annuel'!$L$14:$L$43,COLUMN()-COLUMN($X$42)+1)))*12+MONTH($L332)-MONTH(INDEX('1 Budget annuel'!$L$14:$L$43,COLUMN()-COLUMN($X$42)+1)),6)=0,DAY($L332)=MIN(DAY(INDEX('1 Budget annuel'!$L$14:$L$43,COLUMN()-COLUMN($X$42)+1)),DAY(EOMONTH($L332,0)))),AND(INDEX('1 Budget annuel'!$E$14:$E$43,COLUMN()-COLUMN($X$42)+1)="Annuelle",MOD((YEAR($L332)-YEAR(INDEX('1 Budget annuel'!$L$14:$L$43,COLUMN()-COLUMN($X$42)+1)))*12+MONTH($L332)-MONTH(INDEX('1 Budget annuel'!$L$14:$L$43,COLUMN()-COLUMN($X$42)+1)),12)=0,DAY($L332)=MIN(DAY(INDEX('1 Budget annuel'!$L$14:$L$43,COLUMN()-COLUMN($X$42)+1)),DAY(EOMONTH($L332,0))))),IF(INDEX('1 Budget annuel'!$B$14:$B$43,COLUMN()-COLUMN($X$42)+1)="Entrée",INDEX('1 Budget annuel'!$I$14:$I$43,COLUMN()-COLUMN($X$42)+1),-INDEX('1 Budget annuel'!$I$14:$I$43,COLUMN()-COLUMN($X$42)+1)),0))</x:f>
        <x:v>0</x:v>
      </x:c>
    </x:row>
    <x:row r="333">
      <x:c r="L333" s="114" t="n">
        <x:f>L332+1</x:f>
        <x:v>46527</x:v>
      </x:c>
      <x:c r="M333" s="115" t="b">
        <x:f>AND(L333&gt;=$D$5,L333&lt;=$D$5+363,MOD(L333-$D$5,7)=0)</x:f>
        <x:v>0</x:v>
      </x:c>
      <x:c r="N333" s="116" t="n">
        <x:f>SUM(X333:BA333)</x:f>
        <x:v>0</x:v>
      </x:c>
      <x:c r="O333" s="116" t="n">
        <x:f>IF(M333,$D$10,0)</x:f>
        <x:v>0</x:v>
      </x:c>
      <x:c r="P333" s="116" t="n">
        <x:f>N333-O333</x:f>
        <x:v>0</x:v>
      </x:c>
      <x:c r="Q333" s="116" t="n">
        <x:f>IF(L333&lt;$D$5,0,IF(L333=$D$5,P333,Q332+P333))</x:f>
        <x:v>0</x:v>
      </x:c>
      <x:c r="R333" s="116" t="n">
        <x:f>IF(L333&lt;$D$5,"",$J$10+Q333)</x:f>
        <x:v>0</x:v>
      </x:c>
      <x:c r="S333" s="116" t="n">
        <x:f>IF($L333&lt;$D$5,"",IF($L333=$D$5,$J$10+$N333-IF($M333,IF(INT(($L333-$D$5)/7)&lt;$A$20,$B$20,$D$10),0),S332+$N333-IF($M333,IF(INT(($L333-$D$5)/7)&lt;$A$20,$B$20,$D$10),0)))</x:f>
        <x:v>0</x:v>
      </x:c>
      <x:c r="T333" s="116" t="n">
        <x:f>IF($L333&lt;$D$5,"",IF($L333=$D$5,$J$10+$N333-IF($M333,IF(INT(($L333-$D$5)/7)&lt;$A$21,$B$21,$D$10),0),T332+$N333-IF($M333,IF(INT(($L333-$D$5)/7)&lt;$A$21,$B$21,$D$10),0)))</x:f>
        <x:v>0</x:v>
      </x:c>
      <x:c r="U333" s="116" t="n">
        <x:f>IF($L333&lt;$D$5,"",IF($L333=$D$5,$J$10+$N333-IF($M333,IF(INT(($L333-$D$5)/7)&lt;$A$22,$B$22,$D$10),0),U332+$N333-IF($M333,IF(INT(($L333-$D$5)/7)&lt;$A$22,$B$22,$D$10),0)))</x:f>
        <x:v>0</x:v>
      </x:c>
      <x:c r="V333" s="116" t="n">
        <x:f>IF($L333&lt;$D$5,"",IF($L333=$D$5,$J$10+$N333-IF($M333,IF(INT(($L333-$D$5)/7)&lt;$A$23,$B$23,$D$10),0),V332+$N333-IF($M333,IF(INT(($L333-$D$5)/7)&lt;$A$23,$B$23,$D$10),0)))</x:f>
        <x:v>0</x:v>
      </x:c>
      <x:c r="W333" s="116" t="n">
        <x:f>IF($L333&lt;$D$5,"",IF($L333=$D$5,$J$10+$N333-IF($M333,IF(INT(($L333-$D$5)/7)&lt;$A$24,$B$24,$D$10),0),W332+$N333-IF($M333,IF(INT(($L333-$D$5)/7)&lt;$A$24,$B$24,$D$10),0)))</x:f>
        <x:v>0</x:v>
      </x:c>
      <x:c r="X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Y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Z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A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B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C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D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E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F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G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H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I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J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K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L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M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N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O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P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Q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R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S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T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U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V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W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X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Y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AZ333" s="116"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c r="BA333" s="117" t="n">
        <x:f>IF(OR(INDEX('1 Budget annuel'!$A$14:$A$43,COLUMN()-COLUMN($X$42)+1)&lt;&gt;"Oui",INDEX('1 Budget annuel'!$L$14:$L$43,COLUMN()-COLUMN($X$42)+1)="",AND(INDEX('1 Budget annuel'!$B$14:$B$43,COLUMN()-COLUMN($X$42)+1)="Sortie",INDEX('1 Budget annuel'!$M$14:$M$43,COLUMN()-COLUMN($X$42)+1)="Oui"),$L333&lt;INDEX('1 Budget annuel'!$L$14:$L$43,COLUMN()-COLUMN($X$42)+1),$L333&gt;$D$5+363),0,IF(OR(AND(INDEX('1 Budget annuel'!$E$14:$E$43,COLUMN()-COLUMN($X$42)+1)="Hebdomadaire",MOD($L333-INDEX('1 Budget annuel'!$L$14:$L$43,COLUMN()-COLUMN($X$42)+1),7)=0),AND(INDEX('1 Budget annuel'!$E$14:$E$43,COLUMN()-COLUMN($X$42)+1)="Toutes les 4 semaines",MOD($L333-INDEX('1 Budget annuel'!$L$14:$L$43,COLUMN()-COLUMN($X$42)+1),28)=0),AND(INDEX('1 Budget annuel'!$E$14:$E$43,COLUMN()-COLUMN($X$42)+1)="Mensuelle",DAY($L333)=MIN(DAY(INDEX('1 Budget annuel'!$L$14:$L$43,COLUMN()-COLUMN($X$42)+1)),DAY(EOMONTH($L333,0)))),AND(INDEX('1 Budget annuel'!$E$14:$E$43,COLUMN()-COLUMN($X$42)+1)="Trimestrielle",MOD((YEAR($L333)-YEAR(INDEX('1 Budget annuel'!$L$14:$L$43,COLUMN()-COLUMN($X$42)+1)))*12+MONTH($L333)-MONTH(INDEX('1 Budget annuel'!$L$14:$L$43,COLUMN()-COLUMN($X$42)+1)),3)=0,DAY($L333)=MIN(DAY(INDEX('1 Budget annuel'!$L$14:$L$43,COLUMN()-COLUMN($X$42)+1)),DAY(EOMONTH($L333,0)))),AND(INDEX('1 Budget annuel'!$E$14:$E$43,COLUMN()-COLUMN($X$42)+1)="Semestrielle",MOD((YEAR($L333)-YEAR(INDEX('1 Budget annuel'!$L$14:$L$43,COLUMN()-COLUMN($X$42)+1)))*12+MONTH($L333)-MONTH(INDEX('1 Budget annuel'!$L$14:$L$43,COLUMN()-COLUMN($X$42)+1)),6)=0,DAY($L333)=MIN(DAY(INDEX('1 Budget annuel'!$L$14:$L$43,COLUMN()-COLUMN($X$42)+1)),DAY(EOMONTH($L333,0)))),AND(INDEX('1 Budget annuel'!$E$14:$E$43,COLUMN()-COLUMN($X$42)+1)="Annuelle",MOD((YEAR($L333)-YEAR(INDEX('1 Budget annuel'!$L$14:$L$43,COLUMN()-COLUMN($X$42)+1)))*12+MONTH($L333)-MONTH(INDEX('1 Budget annuel'!$L$14:$L$43,COLUMN()-COLUMN($X$42)+1)),12)=0,DAY($L333)=MIN(DAY(INDEX('1 Budget annuel'!$L$14:$L$43,COLUMN()-COLUMN($X$42)+1)),DAY(EOMONTH($L333,0))))),IF(INDEX('1 Budget annuel'!$B$14:$B$43,COLUMN()-COLUMN($X$42)+1)="Entrée",INDEX('1 Budget annuel'!$I$14:$I$43,COLUMN()-COLUMN($X$42)+1),-INDEX('1 Budget annuel'!$I$14:$I$43,COLUMN()-COLUMN($X$42)+1)),0))</x:f>
        <x:v>0</x:v>
      </x:c>
    </x:row>
    <x:row r="334">
      <x:c r="L334" s="114" t="n">
        <x:f>L333+1</x:f>
        <x:v>46528</x:v>
      </x:c>
      <x:c r="M334" s="115" t="b">
        <x:f>AND(L334&gt;=$D$5,L334&lt;=$D$5+363,MOD(L334-$D$5,7)=0)</x:f>
        <x:v>0</x:v>
      </x:c>
      <x:c r="N334" s="116" t="n">
        <x:f>SUM(X334:BA334)</x:f>
        <x:v>0</x:v>
      </x:c>
      <x:c r="O334" s="116" t="n">
        <x:f>IF(M334,$D$10,0)</x:f>
        <x:v>0</x:v>
      </x:c>
      <x:c r="P334" s="116" t="n">
        <x:f>N334-O334</x:f>
        <x:v>0</x:v>
      </x:c>
      <x:c r="Q334" s="116" t="n">
        <x:f>IF(L334&lt;$D$5,0,IF(L334=$D$5,P334,Q333+P334))</x:f>
        <x:v>0</x:v>
      </x:c>
      <x:c r="R334" s="116" t="n">
        <x:f>IF(L334&lt;$D$5,"",$J$10+Q334)</x:f>
        <x:v>0</x:v>
      </x:c>
      <x:c r="S334" s="116" t="n">
        <x:f>IF($L334&lt;$D$5,"",IF($L334=$D$5,$J$10+$N334-IF($M334,IF(INT(($L334-$D$5)/7)&lt;$A$20,$B$20,$D$10),0),S333+$N334-IF($M334,IF(INT(($L334-$D$5)/7)&lt;$A$20,$B$20,$D$10),0)))</x:f>
        <x:v>0</x:v>
      </x:c>
      <x:c r="T334" s="116" t="n">
        <x:f>IF($L334&lt;$D$5,"",IF($L334=$D$5,$J$10+$N334-IF($M334,IF(INT(($L334-$D$5)/7)&lt;$A$21,$B$21,$D$10),0),T333+$N334-IF($M334,IF(INT(($L334-$D$5)/7)&lt;$A$21,$B$21,$D$10),0)))</x:f>
        <x:v>0</x:v>
      </x:c>
      <x:c r="U334" s="116" t="n">
        <x:f>IF($L334&lt;$D$5,"",IF($L334=$D$5,$J$10+$N334-IF($M334,IF(INT(($L334-$D$5)/7)&lt;$A$22,$B$22,$D$10),0),U333+$N334-IF($M334,IF(INT(($L334-$D$5)/7)&lt;$A$22,$B$22,$D$10),0)))</x:f>
        <x:v>0</x:v>
      </x:c>
      <x:c r="V334" s="116" t="n">
        <x:f>IF($L334&lt;$D$5,"",IF($L334=$D$5,$J$10+$N334-IF($M334,IF(INT(($L334-$D$5)/7)&lt;$A$23,$B$23,$D$10),0),V333+$N334-IF($M334,IF(INT(($L334-$D$5)/7)&lt;$A$23,$B$23,$D$10),0)))</x:f>
        <x:v>0</x:v>
      </x:c>
      <x:c r="W334" s="116" t="n">
        <x:f>IF($L334&lt;$D$5,"",IF($L334=$D$5,$J$10+$N334-IF($M334,IF(INT(($L334-$D$5)/7)&lt;$A$24,$B$24,$D$10),0),W333+$N334-IF($M334,IF(INT(($L334-$D$5)/7)&lt;$A$24,$B$24,$D$10),0)))</x:f>
        <x:v>0</x:v>
      </x:c>
      <x:c r="X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Y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Z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A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B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C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D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E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F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G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H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I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J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K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L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M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N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O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P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Q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R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S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T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U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V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W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X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Y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AZ334" s="116"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c r="BA334" s="117" t="n">
        <x:f>IF(OR(INDEX('1 Budget annuel'!$A$14:$A$43,COLUMN()-COLUMN($X$42)+1)&lt;&gt;"Oui",INDEX('1 Budget annuel'!$L$14:$L$43,COLUMN()-COLUMN($X$42)+1)="",AND(INDEX('1 Budget annuel'!$B$14:$B$43,COLUMN()-COLUMN($X$42)+1)="Sortie",INDEX('1 Budget annuel'!$M$14:$M$43,COLUMN()-COLUMN($X$42)+1)="Oui"),$L334&lt;INDEX('1 Budget annuel'!$L$14:$L$43,COLUMN()-COLUMN($X$42)+1),$L334&gt;$D$5+363),0,IF(OR(AND(INDEX('1 Budget annuel'!$E$14:$E$43,COLUMN()-COLUMN($X$42)+1)="Hebdomadaire",MOD($L334-INDEX('1 Budget annuel'!$L$14:$L$43,COLUMN()-COLUMN($X$42)+1),7)=0),AND(INDEX('1 Budget annuel'!$E$14:$E$43,COLUMN()-COLUMN($X$42)+1)="Toutes les 4 semaines",MOD($L334-INDEX('1 Budget annuel'!$L$14:$L$43,COLUMN()-COLUMN($X$42)+1),28)=0),AND(INDEX('1 Budget annuel'!$E$14:$E$43,COLUMN()-COLUMN($X$42)+1)="Mensuelle",DAY($L334)=MIN(DAY(INDEX('1 Budget annuel'!$L$14:$L$43,COLUMN()-COLUMN($X$42)+1)),DAY(EOMONTH($L334,0)))),AND(INDEX('1 Budget annuel'!$E$14:$E$43,COLUMN()-COLUMN($X$42)+1)="Trimestrielle",MOD((YEAR($L334)-YEAR(INDEX('1 Budget annuel'!$L$14:$L$43,COLUMN()-COLUMN($X$42)+1)))*12+MONTH($L334)-MONTH(INDEX('1 Budget annuel'!$L$14:$L$43,COLUMN()-COLUMN($X$42)+1)),3)=0,DAY($L334)=MIN(DAY(INDEX('1 Budget annuel'!$L$14:$L$43,COLUMN()-COLUMN($X$42)+1)),DAY(EOMONTH($L334,0)))),AND(INDEX('1 Budget annuel'!$E$14:$E$43,COLUMN()-COLUMN($X$42)+1)="Semestrielle",MOD((YEAR($L334)-YEAR(INDEX('1 Budget annuel'!$L$14:$L$43,COLUMN()-COLUMN($X$42)+1)))*12+MONTH($L334)-MONTH(INDEX('1 Budget annuel'!$L$14:$L$43,COLUMN()-COLUMN($X$42)+1)),6)=0,DAY($L334)=MIN(DAY(INDEX('1 Budget annuel'!$L$14:$L$43,COLUMN()-COLUMN($X$42)+1)),DAY(EOMONTH($L334,0)))),AND(INDEX('1 Budget annuel'!$E$14:$E$43,COLUMN()-COLUMN($X$42)+1)="Annuelle",MOD((YEAR($L334)-YEAR(INDEX('1 Budget annuel'!$L$14:$L$43,COLUMN()-COLUMN($X$42)+1)))*12+MONTH($L334)-MONTH(INDEX('1 Budget annuel'!$L$14:$L$43,COLUMN()-COLUMN($X$42)+1)),12)=0,DAY($L334)=MIN(DAY(INDEX('1 Budget annuel'!$L$14:$L$43,COLUMN()-COLUMN($X$42)+1)),DAY(EOMONTH($L334,0))))),IF(INDEX('1 Budget annuel'!$B$14:$B$43,COLUMN()-COLUMN($X$42)+1)="Entrée",INDEX('1 Budget annuel'!$I$14:$I$43,COLUMN()-COLUMN($X$42)+1),-INDEX('1 Budget annuel'!$I$14:$I$43,COLUMN()-COLUMN($X$42)+1)),0))</x:f>
        <x:v>0</x:v>
      </x:c>
    </x:row>
    <x:row r="335">
      <x:c r="L335" s="114" t="n">
        <x:f>L334+1</x:f>
        <x:v>46529</x:v>
      </x:c>
      <x:c r="M335" s="115" t="b">
        <x:f>AND(L335&gt;=$D$5,L335&lt;=$D$5+363,MOD(L335-$D$5,7)=0)</x:f>
        <x:v>1</x:v>
      </x:c>
      <x:c r="N335" s="116" t="n">
        <x:f>SUM(X335:BA335)</x:f>
        <x:v>0</x:v>
      </x:c>
      <x:c r="O335" s="116" t="n">
        <x:f>IF(M335,$D$10,0)</x:f>
        <x:v>0</x:v>
      </x:c>
      <x:c r="P335" s="116" t="n">
        <x:f>N335-O335</x:f>
        <x:v>0</x:v>
      </x:c>
      <x:c r="Q335" s="116" t="n">
        <x:f>IF(L335&lt;$D$5,0,IF(L335=$D$5,P335,Q334+P335))</x:f>
        <x:v>0</x:v>
      </x:c>
      <x:c r="R335" s="116" t="n">
        <x:f>IF(L335&lt;$D$5,"",$J$10+Q335)</x:f>
        <x:v>0</x:v>
      </x:c>
      <x:c r="S335" s="116" t="n">
        <x:f>IF($L335&lt;$D$5,"",IF($L335=$D$5,$J$10+$N335-IF($M335,IF(INT(($L335-$D$5)/7)&lt;$A$20,$B$20,$D$10),0),S334+$N335-IF($M335,IF(INT(($L335-$D$5)/7)&lt;$A$20,$B$20,$D$10),0)))</x:f>
        <x:v>0</x:v>
      </x:c>
      <x:c r="T335" s="116" t="n">
        <x:f>IF($L335&lt;$D$5,"",IF($L335=$D$5,$J$10+$N335-IF($M335,IF(INT(($L335-$D$5)/7)&lt;$A$21,$B$21,$D$10),0),T334+$N335-IF($M335,IF(INT(($L335-$D$5)/7)&lt;$A$21,$B$21,$D$10),0)))</x:f>
        <x:v>0</x:v>
      </x:c>
      <x:c r="U335" s="116" t="n">
        <x:f>IF($L335&lt;$D$5,"",IF($L335=$D$5,$J$10+$N335-IF($M335,IF(INT(($L335-$D$5)/7)&lt;$A$22,$B$22,$D$10),0),U334+$N335-IF($M335,IF(INT(($L335-$D$5)/7)&lt;$A$22,$B$22,$D$10),0)))</x:f>
        <x:v>0</x:v>
      </x:c>
      <x:c r="V335" s="116" t="n">
        <x:f>IF($L335&lt;$D$5,"",IF($L335=$D$5,$J$10+$N335-IF($M335,IF(INT(($L335-$D$5)/7)&lt;$A$23,$B$23,$D$10),0),V334+$N335-IF($M335,IF(INT(($L335-$D$5)/7)&lt;$A$23,$B$23,$D$10),0)))</x:f>
        <x:v>0</x:v>
      </x:c>
      <x:c r="W335" s="116" t="n">
        <x:f>IF($L335&lt;$D$5,"",IF($L335=$D$5,$J$10+$N335-IF($M335,IF(INT(($L335-$D$5)/7)&lt;$A$24,$B$24,$D$10),0),W334+$N335-IF($M335,IF(INT(($L335-$D$5)/7)&lt;$A$24,$B$24,$D$10),0)))</x:f>
        <x:v>0</x:v>
      </x:c>
      <x:c r="X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Y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Z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A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B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C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D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E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F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G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H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I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J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K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L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M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N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O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P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Q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R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S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T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U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V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W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X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Y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AZ335" s="116"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c r="BA335" s="117" t="n">
        <x:f>IF(OR(INDEX('1 Budget annuel'!$A$14:$A$43,COLUMN()-COLUMN($X$42)+1)&lt;&gt;"Oui",INDEX('1 Budget annuel'!$L$14:$L$43,COLUMN()-COLUMN($X$42)+1)="",AND(INDEX('1 Budget annuel'!$B$14:$B$43,COLUMN()-COLUMN($X$42)+1)="Sortie",INDEX('1 Budget annuel'!$M$14:$M$43,COLUMN()-COLUMN($X$42)+1)="Oui"),$L335&lt;INDEX('1 Budget annuel'!$L$14:$L$43,COLUMN()-COLUMN($X$42)+1),$L335&gt;$D$5+363),0,IF(OR(AND(INDEX('1 Budget annuel'!$E$14:$E$43,COLUMN()-COLUMN($X$42)+1)="Hebdomadaire",MOD($L335-INDEX('1 Budget annuel'!$L$14:$L$43,COLUMN()-COLUMN($X$42)+1),7)=0),AND(INDEX('1 Budget annuel'!$E$14:$E$43,COLUMN()-COLUMN($X$42)+1)="Toutes les 4 semaines",MOD($L335-INDEX('1 Budget annuel'!$L$14:$L$43,COLUMN()-COLUMN($X$42)+1),28)=0),AND(INDEX('1 Budget annuel'!$E$14:$E$43,COLUMN()-COLUMN($X$42)+1)="Mensuelle",DAY($L335)=MIN(DAY(INDEX('1 Budget annuel'!$L$14:$L$43,COLUMN()-COLUMN($X$42)+1)),DAY(EOMONTH($L335,0)))),AND(INDEX('1 Budget annuel'!$E$14:$E$43,COLUMN()-COLUMN($X$42)+1)="Trimestrielle",MOD((YEAR($L335)-YEAR(INDEX('1 Budget annuel'!$L$14:$L$43,COLUMN()-COLUMN($X$42)+1)))*12+MONTH($L335)-MONTH(INDEX('1 Budget annuel'!$L$14:$L$43,COLUMN()-COLUMN($X$42)+1)),3)=0,DAY($L335)=MIN(DAY(INDEX('1 Budget annuel'!$L$14:$L$43,COLUMN()-COLUMN($X$42)+1)),DAY(EOMONTH($L335,0)))),AND(INDEX('1 Budget annuel'!$E$14:$E$43,COLUMN()-COLUMN($X$42)+1)="Semestrielle",MOD((YEAR($L335)-YEAR(INDEX('1 Budget annuel'!$L$14:$L$43,COLUMN()-COLUMN($X$42)+1)))*12+MONTH($L335)-MONTH(INDEX('1 Budget annuel'!$L$14:$L$43,COLUMN()-COLUMN($X$42)+1)),6)=0,DAY($L335)=MIN(DAY(INDEX('1 Budget annuel'!$L$14:$L$43,COLUMN()-COLUMN($X$42)+1)),DAY(EOMONTH($L335,0)))),AND(INDEX('1 Budget annuel'!$E$14:$E$43,COLUMN()-COLUMN($X$42)+1)="Annuelle",MOD((YEAR($L335)-YEAR(INDEX('1 Budget annuel'!$L$14:$L$43,COLUMN()-COLUMN($X$42)+1)))*12+MONTH($L335)-MONTH(INDEX('1 Budget annuel'!$L$14:$L$43,COLUMN()-COLUMN($X$42)+1)),12)=0,DAY($L335)=MIN(DAY(INDEX('1 Budget annuel'!$L$14:$L$43,COLUMN()-COLUMN($X$42)+1)),DAY(EOMONTH($L335,0))))),IF(INDEX('1 Budget annuel'!$B$14:$B$43,COLUMN()-COLUMN($X$42)+1)="Entrée",INDEX('1 Budget annuel'!$I$14:$I$43,COLUMN()-COLUMN($X$42)+1),-INDEX('1 Budget annuel'!$I$14:$I$43,COLUMN()-COLUMN($X$42)+1)),0))</x:f>
        <x:v>0</x:v>
      </x:c>
    </x:row>
    <x:row r="336">
      <x:c r="L336" s="114" t="n">
        <x:f>L335+1</x:f>
        <x:v>46530</x:v>
      </x:c>
      <x:c r="M336" s="115" t="b">
        <x:f>AND(L336&gt;=$D$5,L336&lt;=$D$5+363,MOD(L336-$D$5,7)=0)</x:f>
        <x:v>0</x:v>
      </x:c>
      <x:c r="N336" s="116" t="n">
        <x:f>SUM(X336:BA336)</x:f>
        <x:v>0</x:v>
      </x:c>
      <x:c r="O336" s="116" t="n">
        <x:f>IF(M336,$D$10,0)</x:f>
        <x:v>0</x:v>
      </x:c>
      <x:c r="P336" s="116" t="n">
        <x:f>N336-O336</x:f>
        <x:v>0</x:v>
      </x:c>
      <x:c r="Q336" s="116" t="n">
        <x:f>IF(L336&lt;$D$5,0,IF(L336=$D$5,P336,Q335+P336))</x:f>
        <x:v>0</x:v>
      </x:c>
      <x:c r="R336" s="116" t="n">
        <x:f>IF(L336&lt;$D$5,"",$J$10+Q336)</x:f>
        <x:v>0</x:v>
      </x:c>
      <x:c r="S336" s="116" t="n">
        <x:f>IF($L336&lt;$D$5,"",IF($L336=$D$5,$J$10+$N336-IF($M336,IF(INT(($L336-$D$5)/7)&lt;$A$20,$B$20,$D$10),0),S335+$N336-IF($M336,IF(INT(($L336-$D$5)/7)&lt;$A$20,$B$20,$D$10),0)))</x:f>
        <x:v>0</x:v>
      </x:c>
      <x:c r="T336" s="116" t="n">
        <x:f>IF($L336&lt;$D$5,"",IF($L336=$D$5,$J$10+$N336-IF($M336,IF(INT(($L336-$D$5)/7)&lt;$A$21,$B$21,$D$10),0),T335+$N336-IF($M336,IF(INT(($L336-$D$5)/7)&lt;$A$21,$B$21,$D$10),0)))</x:f>
        <x:v>0</x:v>
      </x:c>
      <x:c r="U336" s="116" t="n">
        <x:f>IF($L336&lt;$D$5,"",IF($L336=$D$5,$J$10+$N336-IF($M336,IF(INT(($L336-$D$5)/7)&lt;$A$22,$B$22,$D$10),0),U335+$N336-IF($M336,IF(INT(($L336-$D$5)/7)&lt;$A$22,$B$22,$D$10),0)))</x:f>
        <x:v>0</x:v>
      </x:c>
      <x:c r="V336" s="116" t="n">
        <x:f>IF($L336&lt;$D$5,"",IF($L336=$D$5,$J$10+$N336-IF($M336,IF(INT(($L336-$D$5)/7)&lt;$A$23,$B$23,$D$10),0),V335+$N336-IF($M336,IF(INT(($L336-$D$5)/7)&lt;$A$23,$B$23,$D$10),0)))</x:f>
        <x:v>0</x:v>
      </x:c>
      <x:c r="W336" s="116" t="n">
        <x:f>IF($L336&lt;$D$5,"",IF($L336=$D$5,$J$10+$N336-IF($M336,IF(INT(($L336-$D$5)/7)&lt;$A$24,$B$24,$D$10),0),W335+$N336-IF($M336,IF(INT(($L336-$D$5)/7)&lt;$A$24,$B$24,$D$10),0)))</x:f>
        <x:v>0</x:v>
      </x:c>
      <x:c r="X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Y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Z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A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B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C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D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E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F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G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H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I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J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K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L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M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N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O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P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Q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R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S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T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U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V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W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X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Y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AZ336" s="116"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c r="BA336" s="117" t="n">
        <x:f>IF(OR(INDEX('1 Budget annuel'!$A$14:$A$43,COLUMN()-COLUMN($X$42)+1)&lt;&gt;"Oui",INDEX('1 Budget annuel'!$L$14:$L$43,COLUMN()-COLUMN($X$42)+1)="",AND(INDEX('1 Budget annuel'!$B$14:$B$43,COLUMN()-COLUMN($X$42)+1)="Sortie",INDEX('1 Budget annuel'!$M$14:$M$43,COLUMN()-COLUMN($X$42)+1)="Oui"),$L336&lt;INDEX('1 Budget annuel'!$L$14:$L$43,COLUMN()-COLUMN($X$42)+1),$L336&gt;$D$5+363),0,IF(OR(AND(INDEX('1 Budget annuel'!$E$14:$E$43,COLUMN()-COLUMN($X$42)+1)="Hebdomadaire",MOD($L336-INDEX('1 Budget annuel'!$L$14:$L$43,COLUMN()-COLUMN($X$42)+1),7)=0),AND(INDEX('1 Budget annuel'!$E$14:$E$43,COLUMN()-COLUMN($X$42)+1)="Toutes les 4 semaines",MOD($L336-INDEX('1 Budget annuel'!$L$14:$L$43,COLUMN()-COLUMN($X$42)+1),28)=0),AND(INDEX('1 Budget annuel'!$E$14:$E$43,COLUMN()-COLUMN($X$42)+1)="Mensuelle",DAY($L336)=MIN(DAY(INDEX('1 Budget annuel'!$L$14:$L$43,COLUMN()-COLUMN($X$42)+1)),DAY(EOMONTH($L336,0)))),AND(INDEX('1 Budget annuel'!$E$14:$E$43,COLUMN()-COLUMN($X$42)+1)="Trimestrielle",MOD((YEAR($L336)-YEAR(INDEX('1 Budget annuel'!$L$14:$L$43,COLUMN()-COLUMN($X$42)+1)))*12+MONTH($L336)-MONTH(INDEX('1 Budget annuel'!$L$14:$L$43,COLUMN()-COLUMN($X$42)+1)),3)=0,DAY($L336)=MIN(DAY(INDEX('1 Budget annuel'!$L$14:$L$43,COLUMN()-COLUMN($X$42)+1)),DAY(EOMONTH($L336,0)))),AND(INDEX('1 Budget annuel'!$E$14:$E$43,COLUMN()-COLUMN($X$42)+1)="Semestrielle",MOD((YEAR($L336)-YEAR(INDEX('1 Budget annuel'!$L$14:$L$43,COLUMN()-COLUMN($X$42)+1)))*12+MONTH($L336)-MONTH(INDEX('1 Budget annuel'!$L$14:$L$43,COLUMN()-COLUMN($X$42)+1)),6)=0,DAY($L336)=MIN(DAY(INDEX('1 Budget annuel'!$L$14:$L$43,COLUMN()-COLUMN($X$42)+1)),DAY(EOMONTH($L336,0)))),AND(INDEX('1 Budget annuel'!$E$14:$E$43,COLUMN()-COLUMN($X$42)+1)="Annuelle",MOD((YEAR($L336)-YEAR(INDEX('1 Budget annuel'!$L$14:$L$43,COLUMN()-COLUMN($X$42)+1)))*12+MONTH($L336)-MONTH(INDEX('1 Budget annuel'!$L$14:$L$43,COLUMN()-COLUMN($X$42)+1)),12)=0,DAY($L336)=MIN(DAY(INDEX('1 Budget annuel'!$L$14:$L$43,COLUMN()-COLUMN($X$42)+1)),DAY(EOMONTH($L336,0))))),IF(INDEX('1 Budget annuel'!$B$14:$B$43,COLUMN()-COLUMN($X$42)+1)="Entrée",INDEX('1 Budget annuel'!$I$14:$I$43,COLUMN()-COLUMN($X$42)+1),-INDEX('1 Budget annuel'!$I$14:$I$43,COLUMN()-COLUMN($X$42)+1)),0))</x:f>
        <x:v>0</x:v>
      </x:c>
    </x:row>
    <x:row r="337">
      <x:c r="L337" s="114" t="n">
        <x:f>L336+1</x:f>
        <x:v>46531</x:v>
      </x:c>
      <x:c r="M337" s="115" t="b">
        <x:f>AND(L337&gt;=$D$5,L337&lt;=$D$5+363,MOD(L337-$D$5,7)=0)</x:f>
        <x:v>0</x:v>
      </x:c>
      <x:c r="N337" s="116" t="n">
        <x:f>SUM(X337:BA337)</x:f>
        <x:v>0</x:v>
      </x:c>
      <x:c r="O337" s="116" t="n">
        <x:f>IF(M337,$D$10,0)</x:f>
        <x:v>0</x:v>
      </x:c>
      <x:c r="P337" s="116" t="n">
        <x:f>N337-O337</x:f>
        <x:v>0</x:v>
      </x:c>
      <x:c r="Q337" s="116" t="n">
        <x:f>IF(L337&lt;$D$5,0,IF(L337=$D$5,P337,Q336+P337))</x:f>
        <x:v>0</x:v>
      </x:c>
      <x:c r="R337" s="116" t="n">
        <x:f>IF(L337&lt;$D$5,"",$J$10+Q337)</x:f>
        <x:v>0</x:v>
      </x:c>
      <x:c r="S337" s="116" t="n">
        <x:f>IF($L337&lt;$D$5,"",IF($L337=$D$5,$J$10+$N337-IF($M337,IF(INT(($L337-$D$5)/7)&lt;$A$20,$B$20,$D$10),0),S336+$N337-IF($M337,IF(INT(($L337-$D$5)/7)&lt;$A$20,$B$20,$D$10),0)))</x:f>
        <x:v>0</x:v>
      </x:c>
      <x:c r="T337" s="116" t="n">
        <x:f>IF($L337&lt;$D$5,"",IF($L337=$D$5,$J$10+$N337-IF($M337,IF(INT(($L337-$D$5)/7)&lt;$A$21,$B$21,$D$10),0),T336+$N337-IF($M337,IF(INT(($L337-$D$5)/7)&lt;$A$21,$B$21,$D$10),0)))</x:f>
        <x:v>0</x:v>
      </x:c>
      <x:c r="U337" s="116" t="n">
        <x:f>IF($L337&lt;$D$5,"",IF($L337=$D$5,$J$10+$N337-IF($M337,IF(INT(($L337-$D$5)/7)&lt;$A$22,$B$22,$D$10),0),U336+$N337-IF($M337,IF(INT(($L337-$D$5)/7)&lt;$A$22,$B$22,$D$10),0)))</x:f>
        <x:v>0</x:v>
      </x:c>
      <x:c r="V337" s="116" t="n">
        <x:f>IF($L337&lt;$D$5,"",IF($L337=$D$5,$J$10+$N337-IF($M337,IF(INT(($L337-$D$5)/7)&lt;$A$23,$B$23,$D$10),0),V336+$N337-IF($M337,IF(INT(($L337-$D$5)/7)&lt;$A$23,$B$23,$D$10),0)))</x:f>
        <x:v>0</x:v>
      </x:c>
      <x:c r="W337" s="116" t="n">
        <x:f>IF($L337&lt;$D$5,"",IF($L337=$D$5,$J$10+$N337-IF($M337,IF(INT(($L337-$D$5)/7)&lt;$A$24,$B$24,$D$10),0),W336+$N337-IF($M337,IF(INT(($L337-$D$5)/7)&lt;$A$24,$B$24,$D$10),0)))</x:f>
        <x:v>0</x:v>
      </x:c>
      <x:c r="X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Y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Z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A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B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C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D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E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F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G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H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I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J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K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L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M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N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O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P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Q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R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S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T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U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V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W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X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Y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AZ337" s="116"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c r="BA337" s="117" t="n">
        <x:f>IF(OR(INDEX('1 Budget annuel'!$A$14:$A$43,COLUMN()-COLUMN($X$42)+1)&lt;&gt;"Oui",INDEX('1 Budget annuel'!$L$14:$L$43,COLUMN()-COLUMN($X$42)+1)="",AND(INDEX('1 Budget annuel'!$B$14:$B$43,COLUMN()-COLUMN($X$42)+1)="Sortie",INDEX('1 Budget annuel'!$M$14:$M$43,COLUMN()-COLUMN($X$42)+1)="Oui"),$L337&lt;INDEX('1 Budget annuel'!$L$14:$L$43,COLUMN()-COLUMN($X$42)+1),$L337&gt;$D$5+363),0,IF(OR(AND(INDEX('1 Budget annuel'!$E$14:$E$43,COLUMN()-COLUMN($X$42)+1)="Hebdomadaire",MOD($L337-INDEX('1 Budget annuel'!$L$14:$L$43,COLUMN()-COLUMN($X$42)+1),7)=0),AND(INDEX('1 Budget annuel'!$E$14:$E$43,COLUMN()-COLUMN($X$42)+1)="Toutes les 4 semaines",MOD($L337-INDEX('1 Budget annuel'!$L$14:$L$43,COLUMN()-COLUMN($X$42)+1),28)=0),AND(INDEX('1 Budget annuel'!$E$14:$E$43,COLUMN()-COLUMN($X$42)+1)="Mensuelle",DAY($L337)=MIN(DAY(INDEX('1 Budget annuel'!$L$14:$L$43,COLUMN()-COLUMN($X$42)+1)),DAY(EOMONTH($L337,0)))),AND(INDEX('1 Budget annuel'!$E$14:$E$43,COLUMN()-COLUMN($X$42)+1)="Trimestrielle",MOD((YEAR($L337)-YEAR(INDEX('1 Budget annuel'!$L$14:$L$43,COLUMN()-COLUMN($X$42)+1)))*12+MONTH($L337)-MONTH(INDEX('1 Budget annuel'!$L$14:$L$43,COLUMN()-COLUMN($X$42)+1)),3)=0,DAY($L337)=MIN(DAY(INDEX('1 Budget annuel'!$L$14:$L$43,COLUMN()-COLUMN($X$42)+1)),DAY(EOMONTH($L337,0)))),AND(INDEX('1 Budget annuel'!$E$14:$E$43,COLUMN()-COLUMN($X$42)+1)="Semestrielle",MOD((YEAR($L337)-YEAR(INDEX('1 Budget annuel'!$L$14:$L$43,COLUMN()-COLUMN($X$42)+1)))*12+MONTH($L337)-MONTH(INDEX('1 Budget annuel'!$L$14:$L$43,COLUMN()-COLUMN($X$42)+1)),6)=0,DAY($L337)=MIN(DAY(INDEX('1 Budget annuel'!$L$14:$L$43,COLUMN()-COLUMN($X$42)+1)),DAY(EOMONTH($L337,0)))),AND(INDEX('1 Budget annuel'!$E$14:$E$43,COLUMN()-COLUMN($X$42)+1)="Annuelle",MOD((YEAR($L337)-YEAR(INDEX('1 Budget annuel'!$L$14:$L$43,COLUMN()-COLUMN($X$42)+1)))*12+MONTH($L337)-MONTH(INDEX('1 Budget annuel'!$L$14:$L$43,COLUMN()-COLUMN($X$42)+1)),12)=0,DAY($L337)=MIN(DAY(INDEX('1 Budget annuel'!$L$14:$L$43,COLUMN()-COLUMN($X$42)+1)),DAY(EOMONTH($L337,0))))),IF(INDEX('1 Budget annuel'!$B$14:$B$43,COLUMN()-COLUMN($X$42)+1)="Entrée",INDEX('1 Budget annuel'!$I$14:$I$43,COLUMN()-COLUMN($X$42)+1),-INDEX('1 Budget annuel'!$I$14:$I$43,COLUMN()-COLUMN($X$42)+1)),0))</x:f>
        <x:v>0</x:v>
      </x:c>
    </x:row>
    <x:row r="338">
      <x:c r="L338" s="114" t="n">
        <x:f>L337+1</x:f>
        <x:v>46532</x:v>
      </x:c>
      <x:c r="M338" s="115" t="b">
        <x:f>AND(L338&gt;=$D$5,L338&lt;=$D$5+363,MOD(L338-$D$5,7)=0)</x:f>
        <x:v>0</x:v>
      </x:c>
      <x:c r="N338" s="116" t="n">
        <x:f>SUM(X338:BA338)</x:f>
        <x:v>0</x:v>
      </x:c>
      <x:c r="O338" s="116" t="n">
        <x:f>IF(M338,$D$10,0)</x:f>
        <x:v>0</x:v>
      </x:c>
      <x:c r="P338" s="116" t="n">
        <x:f>N338-O338</x:f>
        <x:v>0</x:v>
      </x:c>
      <x:c r="Q338" s="116" t="n">
        <x:f>IF(L338&lt;$D$5,0,IF(L338=$D$5,P338,Q337+P338))</x:f>
        <x:v>0</x:v>
      </x:c>
      <x:c r="R338" s="116" t="n">
        <x:f>IF(L338&lt;$D$5,"",$J$10+Q338)</x:f>
        <x:v>0</x:v>
      </x:c>
      <x:c r="S338" s="116" t="n">
        <x:f>IF($L338&lt;$D$5,"",IF($L338=$D$5,$J$10+$N338-IF($M338,IF(INT(($L338-$D$5)/7)&lt;$A$20,$B$20,$D$10),0),S337+$N338-IF($M338,IF(INT(($L338-$D$5)/7)&lt;$A$20,$B$20,$D$10),0)))</x:f>
        <x:v>0</x:v>
      </x:c>
      <x:c r="T338" s="116" t="n">
        <x:f>IF($L338&lt;$D$5,"",IF($L338=$D$5,$J$10+$N338-IF($M338,IF(INT(($L338-$D$5)/7)&lt;$A$21,$B$21,$D$10),0),T337+$N338-IF($M338,IF(INT(($L338-$D$5)/7)&lt;$A$21,$B$21,$D$10),0)))</x:f>
        <x:v>0</x:v>
      </x:c>
      <x:c r="U338" s="116" t="n">
        <x:f>IF($L338&lt;$D$5,"",IF($L338=$D$5,$J$10+$N338-IF($M338,IF(INT(($L338-$D$5)/7)&lt;$A$22,$B$22,$D$10),0),U337+$N338-IF($M338,IF(INT(($L338-$D$5)/7)&lt;$A$22,$B$22,$D$10),0)))</x:f>
        <x:v>0</x:v>
      </x:c>
      <x:c r="V338" s="116" t="n">
        <x:f>IF($L338&lt;$D$5,"",IF($L338=$D$5,$J$10+$N338-IF($M338,IF(INT(($L338-$D$5)/7)&lt;$A$23,$B$23,$D$10),0),V337+$N338-IF($M338,IF(INT(($L338-$D$5)/7)&lt;$A$23,$B$23,$D$10),0)))</x:f>
        <x:v>0</x:v>
      </x:c>
      <x:c r="W338" s="116" t="n">
        <x:f>IF($L338&lt;$D$5,"",IF($L338=$D$5,$J$10+$N338-IF($M338,IF(INT(($L338-$D$5)/7)&lt;$A$24,$B$24,$D$10),0),W337+$N338-IF($M338,IF(INT(($L338-$D$5)/7)&lt;$A$24,$B$24,$D$10),0)))</x:f>
        <x:v>0</x:v>
      </x:c>
      <x:c r="X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Y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Z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A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B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C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D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E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F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G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H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I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J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K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L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M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N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O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P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Q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R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S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T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U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V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W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X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Y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AZ338" s="116"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c r="BA338" s="117" t="n">
        <x:f>IF(OR(INDEX('1 Budget annuel'!$A$14:$A$43,COLUMN()-COLUMN($X$42)+1)&lt;&gt;"Oui",INDEX('1 Budget annuel'!$L$14:$L$43,COLUMN()-COLUMN($X$42)+1)="",AND(INDEX('1 Budget annuel'!$B$14:$B$43,COLUMN()-COLUMN($X$42)+1)="Sortie",INDEX('1 Budget annuel'!$M$14:$M$43,COLUMN()-COLUMN($X$42)+1)="Oui"),$L338&lt;INDEX('1 Budget annuel'!$L$14:$L$43,COLUMN()-COLUMN($X$42)+1),$L338&gt;$D$5+363),0,IF(OR(AND(INDEX('1 Budget annuel'!$E$14:$E$43,COLUMN()-COLUMN($X$42)+1)="Hebdomadaire",MOD($L338-INDEX('1 Budget annuel'!$L$14:$L$43,COLUMN()-COLUMN($X$42)+1),7)=0),AND(INDEX('1 Budget annuel'!$E$14:$E$43,COLUMN()-COLUMN($X$42)+1)="Toutes les 4 semaines",MOD($L338-INDEX('1 Budget annuel'!$L$14:$L$43,COLUMN()-COLUMN($X$42)+1),28)=0),AND(INDEX('1 Budget annuel'!$E$14:$E$43,COLUMN()-COLUMN($X$42)+1)="Mensuelle",DAY($L338)=MIN(DAY(INDEX('1 Budget annuel'!$L$14:$L$43,COLUMN()-COLUMN($X$42)+1)),DAY(EOMONTH($L338,0)))),AND(INDEX('1 Budget annuel'!$E$14:$E$43,COLUMN()-COLUMN($X$42)+1)="Trimestrielle",MOD((YEAR($L338)-YEAR(INDEX('1 Budget annuel'!$L$14:$L$43,COLUMN()-COLUMN($X$42)+1)))*12+MONTH($L338)-MONTH(INDEX('1 Budget annuel'!$L$14:$L$43,COLUMN()-COLUMN($X$42)+1)),3)=0,DAY($L338)=MIN(DAY(INDEX('1 Budget annuel'!$L$14:$L$43,COLUMN()-COLUMN($X$42)+1)),DAY(EOMONTH($L338,0)))),AND(INDEX('1 Budget annuel'!$E$14:$E$43,COLUMN()-COLUMN($X$42)+1)="Semestrielle",MOD((YEAR($L338)-YEAR(INDEX('1 Budget annuel'!$L$14:$L$43,COLUMN()-COLUMN($X$42)+1)))*12+MONTH($L338)-MONTH(INDEX('1 Budget annuel'!$L$14:$L$43,COLUMN()-COLUMN($X$42)+1)),6)=0,DAY($L338)=MIN(DAY(INDEX('1 Budget annuel'!$L$14:$L$43,COLUMN()-COLUMN($X$42)+1)),DAY(EOMONTH($L338,0)))),AND(INDEX('1 Budget annuel'!$E$14:$E$43,COLUMN()-COLUMN($X$42)+1)="Annuelle",MOD((YEAR($L338)-YEAR(INDEX('1 Budget annuel'!$L$14:$L$43,COLUMN()-COLUMN($X$42)+1)))*12+MONTH($L338)-MONTH(INDEX('1 Budget annuel'!$L$14:$L$43,COLUMN()-COLUMN($X$42)+1)),12)=0,DAY($L338)=MIN(DAY(INDEX('1 Budget annuel'!$L$14:$L$43,COLUMN()-COLUMN($X$42)+1)),DAY(EOMONTH($L338,0))))),IF(INDEX('1 Budget annuel'!$B$14:$B$43,COLUMN()-COLUMN($X$42)+1)="Entrée",INDEX('1 Budget annuel'!$I$14:$I$43,COLUMN()-COLUMN($X$42)+1),-INDEX('1 Budget annuel'!$I$14:$I$43,COLUMN()-COLUMN($X$42)+1)),0))</x:f>
        <x:v>0</x:v>
      </x:c>
    </x:row>
    <x:row r="339">
      <x:c r="L339" s="114" t="n">
        <x:f>L338+1</x:f>
        <x:v>46533</x:v>
      </x:c>
      <x:c r="M339" s="115" t="b">
        <x:f>AND(L339&gt;=$D$5,L339&lt;=$D$5+363,MOD(L339-$D$5,7)=0)</x:f>
        <x:v>0</x:v>
      </x:c>
      <x:c r="N339" s="116" t="n">
        <x:f>SUM(X339:BA339)</x:f>
        <x:v>0</x:v>
      </x:c>
      <x:c r="O339" s="116" t="n">
        <x:f>IF(M339,$D$10,0)</x:f>
        <x:v>0</x:v>
      </x:c>
      <x:c r="P339" s="116" t="n">
        <x:f>N339-O339</x:f>
        <x:v>0</x:v>
      </x:c>
      <x:c r="Q339" s="116" t="n">
        <x:f>IF(L339&lt;$D$5,0,IF(L339=$D$5,P339,Q338+P339))</x:f>
        <x:v>0</x:v>
      </x:c>
      <x:c r="R339" s="116" t="n">
        <x:f>IF(L339&lt;$D$5,"",$J$10+Q339)</x:f>
        <x:v>0</x:v>
      </x:c>
      <x:c r="S339" s="116" t="n">
        <x:f>IF($L339&lt;$D$5,"",IF($L339=$D$5,$J$10+$N339-IF($M339,IF(INT(($L339-$D$5)/7)&lt;$A$20,$B$20,$D$10),0),S338+$N339-IF($M339,IF(INT(($L339-$D$5)/7)&lt;$A$20,$B$20,$D$10),0)))</x:f>
        <x:v>0</x:v>
      </x:c>
      <x:c r="T339" s="116" t="n">
        <x:f>IF($L339&lt;$D$5,"",IF($L339=$D$5,$J$10+$N339-IF($M339,IF(INT(($L339-$D$5)/7)&lt;$A$21,$B$21,$D$10),0),T338+$N339-IF($M339,IF(INT(($L339-$D$5)/7)&lt;$A$21,$B$21,$D$10),0)))</x:f>
        <x:v>0</x:v>
      </x:c>
      <x:c r="U339" s="116" t="n">
        <x:f>IF($L339&lt;$D$5,"",IF($L339=$D$5,$J$10+$N339-IF($M339,IF(INT(($L339-$D$5)/7)&lt;$A$22,$B$22,$D$10),0),U338+$N339-IF($M339,IF(INT(($L339-$D$5)/7)&lt;$A$22,$B$22,$D$10),0)))</x:f>
        <x:v>0</x:v>
      </x:c>
      <x:c r="V339" s="116" t="n">
        <x:f>IF($L339&lt;$D$5,"",IF($L339=$D$5,$J$10+$N339-IF($M339,IF(INT(($L339-$D$5)/7)&lt;$A$23,$B$23,$D$10),0),V338+$N339-IF($M339,IF(INT(($L339-$D$5)/7)&lt;$A$23,$B$23,$D$10),0)))</x:f>
        <x:v>0</x:v>
      </x:c>
      <x:c r="W339" s="116" t="n">
        <x:f>IF($L339&lt;$D$5,"",IF($L339=$D$5,$J$10+$N339-IF($M339,IF(INT(($L339-$D$5)/7)&lt;$A$24,$B$24,$D$10),0),W338+$N339-IF($M339,IF(INT(($L339-$D$5)/7)&lt;$A$24,$B$24,$D$10),0)))</x:f>
        <x:v>0</x:v>
      </x:c>
      <x:c r="X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Y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Z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A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B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C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D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E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F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G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H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I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J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K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L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M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N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O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P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Q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R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S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T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U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V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W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X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Y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AZ339" s="116"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c r="BA339" s="117" t="n">
        <x:f>IF(OR(INDEX('1 Budget annuel'!$A$14:$A$43,COLUMN()-COLUMN($X$42)+1)&lt;&gt;"Oui",INDEX('1 Budget annuel'!$L$14:$L$43,COLUMN()-COLUMN($X$42)+1)="",AND(INDEX('1 Budget annuel'!$B$14:$B$43,COLUMN()-COLUMN($X$42)+1)="Sortie",INDEX('1 Budget annuel'!$M$14:$M$43,COLUMN()-COLUMN($X$42)+1)="Oui"),$L339&lt;INDEX('1 Budget annuel'!$L$14:$L$43,COLUMN()-COLUMN($X$42)+1),$L339&gt;$D$5+363),0,IF(OR(AND(INDEX('1 Budget annuel'!$E$14:$E$43,COLUMN()-COLUMN($X$42)+1)="Hebdomadaire",MOD($L339-INDEX('1 Budget annuel'!$L$14:$L$43,COLUMN()-COLUMN($X$42)+1),7)=0),AND(INDEX('1 Budget annuel'!$E$14:$E$43,COLUMN()-COLUMN($X$42)+1)="Toutes les 4 semaines",MOD($L339-INDEX('1 Budget annuel'!$L$14:$L$43,COLUMN()-COLUMN($X$42)+1),28)=0),AND(INDEX('1 Budget annuel'!$E$14:$E$43,COLUMN()-COLUMN($X$42)+1)="Mensuelle",DAY($L339)=MIN(DAY(INDEX('1 Budget annuel'!$L$14:$L$43,COLUMN()-COLUMN($X$42)+1)),DAY(EOMONTH($L339,0)))),AND(INDEX('1 Budget annuel'!$E$14:$E$43,COLUMN()-COLUMN($X$42)+1)="Trimestrielle",MOD((YEAR($L339)-YEAR(INDEX('1 Budget annuel'!$L$14:$L$43,COLUMN()-COLUMN($X$42)+1)))*12+MONTH($L339)-MONTH(INDEX('1 Budget annuel'!$L$14:$L$43,COLUMN()-COLUMN($X$42)+1)),3)=0,DAY($L339)=MIN(DAY(INDEX('1 Budget annuel'!$L$14:$L$43,COLUMN()-COLUMN($X$42)+1)),DAY(EOMONTH($L339,0)))),AND(INDEX('1 Budget annuel'!$E$14:$E$43,COLUMN()-COLUMN($X$42)+1)="Semestrielle",MOD((YEAR($L339)-YEAR(INDEX('1 Budget annuel'!$L$14:$L$43,COLUMN()-COLUMN($X$42)+1)))*12+MONTH($L339)-MONTH(INDEX('1 Budget annuel'!$L$14:$L$43,COLUMN()-COLUMN($X$42)+1)),6)=0,DAY($L339)=MIN(DAY(INDEX('1 Budget annuel'!$L$14:$L$43,COLUMN()-COLUMN($X$42)+1)),DAY(EOMONTH($L339,0)))),AND(INDEX('1 Budget annuel'!$E$14:$E$43,COLUMN()-COLUMN($X$42)+1)="Annuelle",MOD((YEAR($L339)-YEAR(INDEX('1 Budget annuel'!$L$14:$L$43,COLUMN()-COLUMN($X$42)+1)))*12+MONTH($L339)-MONTH(INDEX('1 Budget annuel'!$L$14:$L$43,COLUMN()-COLUMN($X$42)+1)),12)=0,DAY($L339)=MIN(DAY(INDEX('1 Budget annuel'!$L$14:$L$43,COLUMN()-COLUMN($X$42)+1)),DAY(EOMONTH($L339,0))))),IF(INDEX('1 Budget annuel'!$B$14:$B$43,COLUMN()-COLUMN($X$42)+1)="Entrée",INDEX('1 Budget annuel'!$I$14:$I$43,COLUMN()-COLUMN($X$42)+1),-INDEX('1 Budget annuel'!$I$14:$I$43,COLUMN()-COLUMN($X$42)+1)),0))</x:f>
        <x:v>0</x:v>
      </x:c>
    </x:row>
    <x:row r="340">
      <x:c r="L340" s="114" t="n">
        <x:f>L339+1</x:f>
        <x:v>46534</x:v>
      </x:c>
      <x:c r="M340" s="115" t="b">
        <x:f>AND(L340&gt;=$D$5,L340&lt;=$D$5+363,MOD(L340-$D$5,7)=0)</x:f>
        <x:v>0</x:v>
      </x:c>
      <x:c r="N340" s="116" t="n">
        <x:f>SUM(X340:BA340)</x:f>
        <x:v>0</x:v>
      </x:c>
      <x:c r="O340" s="116" t="n">
        <x:f>IF(M340,$D$10,0)</x:f>
        <x:v>0</x:v>
      </x:c>
      <x:c r="P340" s="116" t="n">
        <x:f>N340-O340</x:f>
        <x:v>0</x:v>
      </x:c>
      <x:c r="Q340" s="116" t="n">
        <x:f>IF(L340&lt;$D$5,0,IF(L340=$D$5,P340,Q339+P340))</x:f>
        <x:v>0</x:v>
      </x:c>
      <x:c r="R340" s="116" t="n">
        <x:f>IF(L340&lt;$D$5,"",$J$10+Q340)</x:f>
        <x:v>0</x:v>
      </x:c>
      <x:c r="S340" s="116" t="n">
        <x:f>IF($L340&lt;$D$5,"",IF($L340=$D$5,$J$10+$N340-IF($M340,IF(INT(($L340-$D$5)/7)&lt;$A$20,$B$20,$D$10),0),S339+$N340-IF($M340,IF(INT(($L340-$D$5)/7)&lt;$A$20,$B$20,$D$10),0)))</x:f>
        <x:v>0</x:v>
      </x:c>
      <x:c r="T340" s="116" t="n">
        <x:f>IF($L340&lt;$D$5,"",IF($L340=$D$5,$J$10+$N340-IF($M340,IF(INT(($L340-$D$5)/7)&lt;$A$21,$B$21,$D$10),0),T339+$N340-IF($M340,IF(INT(($L340-$D$5)/7)&lt;$A$21,$B$21,$D$10),0)))</x:f>
        <x:v>0</x:v>
      </x:c>
      <x:c r="U340" s="116" t="n">
        <x:f>IF($L340&lt;$D$5,"",IF($L340=$D$5,$J$10+$N340-IF($M340,IF(INT(($L340-$D$5)/7)&lt;$A$22,$B$22,$D$10),0),U339+$N340-IF($M340,IF(INT(($L340-$D$5)/7)&lt;$A$22,$B$22,$D$10),0)))</x:f>
        <x:v>0</x:v>
      </x:c>
      <x:c r="V340" s="116" t="n">
        <x:f>IF($L340&lt;$D$5,"",IF($L340=$D$5,$J$10+$N340-IF($M340,IF(INT(($L340-$D$5)/7)&lt;$A$23,$B$23,$D$10),0),V339+$N340-IF($M340,IF(INT(($L340-$D$5)/7)&lt;$A$23,$B$23,$D$10),0)))</x:f>
        <x:v>0</x:v>
      </x:c>
      <x:c r="W340" s="116" t="n">
        <x:f>IF($L340&lt;$D$5,"",IF($L340=$D$5,$J$10+$N340-IF($M340,IF(INT(($L340-$D$5)/7)&lt;$A$24,$B$24,$D$10),0),W339+$N340-IF($M340,IF(INT(($L340-$D$5)/7)&lt;$A$24,$B$24,$D$10),0)))</x:f>
        <x:v>0</x:v>
      </x:c>
      <x:c r="X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Y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Z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A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B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C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D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E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F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G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H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I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J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K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L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M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N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O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P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Q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R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S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T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U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V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W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X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Y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AZ340" s="116"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c r="BA340" s="117" t="n">
        <x:f>IF(OR(INDEX('1 Budget annuel'!$A$14:$A$43,COLUMN()-COLUMN($X$42)+1)&lt;&gt;"Oui",INDEX('1 Budget annuel'!$L$14:$L$43,COLUMN()-COLUMN($X$42)+1)="",AND(INDEX('1 Budget annuel'!$B$14:$B$43,COLUMN()-COLUMN($X$42)+1)="Sortie",INDEX('1 Budget annuel'!$M$14:$M$43,COLUMN()-COLUMN($X$42)+1)="Oui"),$L340&lt;INDEX('1 Budget annuel'!$L$14:$L$43,COLUMN()-COLUMN($X$42)+1),$L340&gt;$D$5+363),0,IF(OR(AND(INDEX('1 Budget annuel'!$E$14:$E$43,COLUMN()-COLUMN($X$42)+1)="Hebdomadaire",MOD($L340-INDEX('1 Budget annuel'!$L$14:$L$43,COLUMN()-COLUMN($X$42)+1),7)=0),AND(INDEX('1 Budget annuel'!$E$14:$E$43,COLUMN()-COLUMN($X$42)+1)="Toutes les 4 semaines",MOD($L340-INDEX('1 Budget annuel'!$L$14:$L$43,COLUMN()-COLUMN($X$42)+1),28)=0),AND(INDEX('1 Budget annuel'!$E$14:$E$43,COLUMN()-COLUMN($X$42)+1)="Mensuelle",DAY($L340)=MIN(DAY(INDEX('1 Budget annuel'!$L$14:$L$43,COLUMN()-COLUMN($X$42)+1)),DAY(EOMONTH($L340,0)))),AND(INDEX('1 Budget annuel'!$E$14:$E$43,COLUMN()-COLUMN($X$42)+1)="Trimestrielle",MOD((YEAR($L340)-YEAR(INDEX('1 Budget annuel'!$L$14:$L$43,COLUMN()-COLUMN($X$42)+1)))*12+MONTH($L340)-MONTH(INDEX('1 Budget annuel'!$L$14:$L$43,COLUMN()-COLUMN($X$42)+1)),3)=0,DAY($L340)=MIN(DAY(INDEX('1 Budget annuel'!$L$14:$L$43,COLUMN()-COLUMN($X$42)+1)),DAY(EOMONTH($L340,0)))),AND(INDEX('1 Budget annuel'!$E$14:$E$43,COLUMN()-COLUMN($X$42)+1)="Semestrielle",MOD((YEAR($L340)-YEAR(INDEX('1 Budget annuel'!$L$14:$L$43,COLUMN()-COLUMN($X$42)+1)))*12+MONTH($L340)-MONTH(INDEX('1 Budget annuel'!$L$14:$L$43,COLUMN()-COLUMN($X$42)+1)),6)=0,DAY($L340)=MIN(DAY(INDEX('1 Budget annuel'!$L$14:$L$43,COLUMN()-COLUMN($X$42)+1)),DAY(EOMONTH($L340,0)))),AND(INDEX('1 Budget annuel'!$E$14:$E$43,COLUMN()-COLUMN($X$42)+1)="Annuelle",MOD((YEAR($L340)-YEAR(INDEX('1 Budget annuel'!$L$14:$L$43,COLUMN()-COLUMN($X$42)+1)))*12+MONTH($L340)-MONTH(INDEX('1 Budget annuel'!$L$14:$L$43,COLUMN()-COLUMN($X$42)+1)),12)=0,DAY($L340)=MIN(DAY(INDEX('1 Budget annuel'!$L$14:$L$43,COLUMN()-COLUMN($X$42)+1)),DAY(EOMONTH($L340,0))))),IF(INDEX('1 Budget annuel'!$B$14:$B$43,COLUMN()-COLUMN($X$42)+1)="Entrée",INDEX('1 Budget annuel'!$I$14:$I$43,COLUMN()-COLUMN($X$42)+1),-INDEX('1 Budget annuel'!$I$14:$I$43,COLUMN()-COLUMN($X$42)+1)),0))</x:f>
        <x:v>0</x:v>
      </x:c>
    </x:row>
    <x:row r="341">
      <x:c r="L341" s="114" t="n">
        <x:f>L340+1</x:f>
        <x:v>46535</x:v>
      </x:c>
      <x:c r="M341" s="115" t="b">
        <x:f>AND(L341&gt;=$D$5,L341&lt;=$D$5+363,MOD(L341-$D$5,7)=0)</x:f>
        <x:v>0</x:v>
      </x:c>
      <x:c r="N341" s="116" t="n">
        <x:f>SUM(X341:BA341)</x:f>
        <x:v>0</x:v>
      </x:c>
      <x:c r="O341" s="116" t="n">
        <x:f>IF(M341,$D$10,0)</x:f>
        <x:v>0</x:v>
      </x:c>
      <x:c r="P341" s="116" t="n">
        <x:f>N341-O341</x:f>
        <x:v>0</x:v>
      </x:c>
      <x:c r="Q341" s="116" t="n">
        <x:f>IF(L341&lt;$D$5,0,IF(L341=$D$5,P341,Q340+P341))</x:f>
        <x:v>0</x:v>
      </x:c>
      <x:c r="R341" s="116" t="n">
        <x:f>IF(L341&lt;$D$5,"",$J$10+Q341)</x:f>
        <x:v>0</x:v>
      </x:c>
      <x:c r="S341" s="116" t="n">
        <x:f>IF($L341&lt;$D$5,"",IF($L341=$D$5,$J$10+$N341-IF($M341,IF(INT(($L341-$D$5)/7)&lt;$A$20,$B$20,$D$10),0),S340+$N341-IF($M341,IF(INT(($L341-$D$5)/7)&lt;$A$20,$B$20,$D$10),0)))</x:f>
        <x:v>0</x:v>
      </x:c>
      <x:c r="T341" s="116" t="n">
        <x:f>IF($L341&lt;$D$5,"",IF($L341=$D$5,$J$10+$N341-IF($M341,IF(INT(($L341-$D$5)/7)&lt;$A$21,$B$21,$D$10),0),T340+$N341-IF($M341,IF(INT(($L341-$D$5)/7)&lt;$A$21,$B$21,$D$10),0)))</x:f>
        <x:v>0</x:v>
      </x:c>
      <x:c r="U341" s="116" t="n">
        <x:f>IF($L341&lt;$D$5,"",IF($L341=$D$5,$J$10+$N341-IF($M341,IF(INT(($L341-$D$5)/7)&lt;$A$22,$B$22,$D$10),0),U340+$N341-IF($M341,IF(INT(($L341-$D$5)/7)&lt;$A$22,$B$22,$D$10),0)))</x:f>
        <x:v>0</x:v>
      </x:c>
      <x:c r="V341" s="116" t="n">
        <x:f>IF($L341&lt;$D$5,"",IF($L341=$D$5,$J$10+$N341-IF($M341,IF(INT(($L341-$D$5)/7)&lt;$A$23,$B$23,$D$10),0),V340+$N341-IF($M341,IF(INT(($L341-$D$5)/7)&lt;$A$23,$B$23,$D$10),0)))</x:f>
        <x:v>0</x:v>
      </x:c>
      <x:c r="W341" s="116" t="n">
        <x:f>IF($L341&lt;$D$5,"",IF($L341=$D$5,$J$10+$N341-IF($M341,IF(INT(($L341-$D$5)/7)&lt;$A$24,$B$24,$D$10),0),W340+$N341-IF($M341,IF(INT(($L341-$D$5)/7)&lt;$A$24,$B$24,$D$10),0)))</x:f>
        <x:v>0</x:v>
      </x:c>
      <x:c r="X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Y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Z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A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B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C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D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E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F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G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H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I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J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K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L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M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N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O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P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Q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R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S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T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U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V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W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X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Y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AZ341" s="116"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c r="BA341" s="117" t="n">
        <x:f>IF(OR(INDEX('1 Budget annuel'!$A$14:$A$43,COLUMN()-COLUMN($X$42)+1)&lt;&gt;"Oui",INDEX('1 Budget annuel'!$L$14:$L$43,COLUMN()-COLUMN($X$42)+1)="",AND(INDEX('1 Budget annuel'!$B$14:$B$43,COLUMN()-COLUMN($X$42)+1)="Sortie",INDEX('1 Budget annuel'!$M$14:$M$43,COLUMN()-COLUMN($X$42)+1)="Oui"),$L341&lt;INDEX('1 Budget annuel'!$L$14:$L$43,COLUMN()-COLUMN($X$42)+1),$L341&gt;$D$5+363),0,IF(OR(AND(INDEX('1 Budget annuel'!$E$14:$E$43,COLUMN()-COLUMN($X$42)+1)="Hebdomadaire",MOD($L341-INDEX('1 Budget annuel'!$L$14:$L$43,COLUMN()-COLUMN($X$42)+1),7)=0),AND(INDEX('1 Budget annuel'!$E$14:$E$43,COLUMN()-COLUMN($X$42)+1)="Toutes les 4 semaines",MOD($L341-INDEX('1 Budget annuel'!$L$14:$L$43,COLUMN()-COLUMN($X$42)+1),28)=0),AND(INDEX('1 Budget annuel'!$E$14:$E$43,COLUMN()-COLUMN($X$42)+1)="Mensuelle",DAY($L341)=MIN(DAY(INDEX('1 Budget annuel'!$L$14:$L$43,COLUMN()-COLUMN($X$42)+1)),DAY(EOMONTH($L341,0)))),AND(INDEX('1 Budget annuel'!$E$14:$E$43,COLUMN()-COLUMN($X$42)+1)="Trimestrielle",MOD((YEAR($L341)-YEAR(INDEX('1 Budget annuel'!$L$14:$L$43,COLUMN()-COLUMN($X$42)+1)))*12+MONTH($L341)-MONTH(INDEX('1 Budget annuel'!$L$14:$L$43,COLUMN()-COLUMN($X$42)+1)),3)=0,DAY($L341)=MIN(DAY(INDEX('1 Budget annuel'!$L$14:$L$43,COLUMN()-COLUMN($X$42)+1)),DAY(EOMONTH($L341,0)))),AND(INDEX('1 Budget annuel'!$E$14:$E$43,COLUMN()-COLUMN($X$42)+1)="Semestrielle",MOD((YEAR($L341)-YEAR(INDEX('1 Budget annuel'!$L$14:$L$43,COLUMN()-COLUMN($X$42)+1)))*12+MONTH($L341)-MONTH(INDEX('1 Budget annuel'!$L$14:$L$43,COLUMN()-COLUMN($X$42)+1)),6)=0,DAY($L341)=MIN(DAY(INDEX('1 Budget annuel'!$L$14:$L$43,COLUMN()-COLUMN($X$42)+1)),DAY(EOMONTH($L341,0)))),AND(INDEX('1 Budget annuel'!$E$14:$E$43,COLUMN()-COLUMN($X$42)+1)="Annuelle",MOD((YEAR($L341)-YEAR(INDEX('1 Budget annuel'!$L$14:$L$43,COLUMN()-COLUMN($X$42)+1)))*12+MONTH($L341)-MONTH(INDEX('1 Budget annuel'!$L$14:$L$43,COLUMN()-COLUMN($X$42)+1)),12)=0,DAY($L341)=MIN(DAY(INDEX('1 Budget annuel'!$L$14:$L$43,COLUMN()-COLUMN($X$42)+1)),DAY(EOMONTH($L341,0))))),IF(INDEX('1 Budget annuel'!$B$14:$B$43,COLUMN()-COLUMN($X$42)+1)="Entrée",INDEX('1 Budget annuel'!$I$14:$I$43,COLUMN()-COLUMN($X$42)+1),-INDEX('1 Budget annuel'!$I$14:$I$43,COLUMN()-COLUMN($X$42)+1)),0))</x:f>
        <x:v>0</x:v>
      </x:c>
    </x:row>
    <x:row r="342">
      <x:c r="L342" s="114" t="n">
        <x:f>L341+1</x:f>
        <x:v>46536</x:v>
      </x:c>
      <x:c r="M342" s="115" t="b">
        <x:f>AND(L342&gt;=$D$5,L342&lt;=$D$5+363,MOD(L342-$D$5,7)=0)</x:f>
        <x:v>1</x:v>
      </x:c>
      <x:c r="N342" s="116" t="n">
        <x:f>SUM(X342:BA342)</x:f>
        <x:v>0</x:v>
      </x:c>
      <x:c r="O342" s="116" t="n">
        <x:f>IF(M342,$D$10,0)</x:f>
        <x:v>0</x:v>
      </x:c>
      <x:c r="P342" s="116" t="n">
        <x:f>N342-O342</x:f>
        <x:v>0</x:v>
      </x:c>
      <x:c r="Q342" s="116" t="n">
        <x:f>IF(L342&lt;$D$5,0,IF(L342=$D$5,P342,Q341+P342))</x:f>
        <x:v>0</x:v>
      </x:c>
      <x:c r="R342" s="116" t="n">
        <x:f>IF(L342&lt;$D$5,"",$J$10+Q342)</x:f>
        <x:v>0</x:v>
      </x:c>
      <x:c r="S342" s="116" t="n">
        <x:f>IF($L342&lt;$D$5,"",IF($L342=$D$5,$J$10+$N342-IF($M342,IF(INT(($L342-$D$5)/7)&lt;$A$20,$B$20,$D$10),0),S341+$N342-IF($M342,IF(INT(($L342-$D$5)/7)&lt;$A$20,$B$20,$D$10),0)))</x:f>
        <x:v>0</x:v>
      </x:c>
      <x:c r="T342" s="116" t="n">
        <x:f>IF($L342&lt;$D$5,"",IF($L342=$D$5,$J$10+$N342-IF($M342,IF(INT(($L342-$D$5)/7)&lt;$A$21,$B$21,$D$10),0),T341+$N342-IF($M342,IF(INT(($L342-$D$5)/7)&lt;$A$21,$B$21,$D$10),0)))</x:f>
        <x:v>0</x:v>
      </x:c>
      <x:c r="U342" s="116" t="n">
        <x:f>IF($L342&lt;$D$5,"",IF($L342=$D$5,$J$10+$N342-IF($M342,IF(INT(($L342-$D$5)/7)&lt;$A$22,$B$22,$D$10),0),U341+$N342-IF($M342,IF(INT(($L342-$D$5)/7)&lt;$A$22,$B$22,$D$10),0)))</x:f>
        <x:v>0</x:v>
      </x:c>
      <x:c r="V342" s="116" t="n">
        <x:f>IF($L342&lt;$D$5,"",IF($L342=$D$5,$J$10+$N342-IF($M342,IF(INT(($L342-$D$5)/7)&lt;$A$23,$B$23,$D$10),0),V341+$N342-IF($M342,IF(INT(($L342-$D$5)/7)&lt;$A$23,$B$23,$D$10),0)))</x:f>
        <x:v>0</x:v>
      </x:c>
      <x:c r="W342" s="116" t="n">
        <x:f>IF($L342&lt;$D$5,"",IF($L342=$D$5,$J$10+$N342-IF($M342,IF(INT(($L342-$D$5)/7)&lt;$A$24,$B$24,$D$10),0),W341+$N342-IF($M342,IF(INT(($L342-$D$5)/7)&lt;$A$24,$B$24,$D$10),0)))</x:f>
        <x:v>0</x:v>
      </x:c>
      <x:c r="X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Y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Z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A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B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C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D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E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F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G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H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I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J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K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L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M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N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O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P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Q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R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S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T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U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V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W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X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Y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AZ342" s="116"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c r="BA342" s="117" t="n">
        <x:f>IF(OR(INDEX('1 Budget annuel'!$A$14:$A$43,COLUMN()-COLUMN($X$42)+1)&lt;&gt;"Oui",INDEX('1 Budget annuel'!$L$14:$L$43,COLUMN()-COLUMN($X$42)+1)="",AND(INDEX('1 Budget annuel'!$B$14:$B$43,COLUMN()-COLUMN($X$42)+1)="Sortie",INDEX('1 Budget annuel'!$M$14:$M$43,COLUMN()-COLUMN($X$42)+1)="Oui"),$L342&lt;INDEX('1 Budget annuel'!$L$14:$L$43,COLUMN()-COLUMN($X$42)+1),$L342&gt;$D$5+363),0,IF(OR(AND(INDEX('1 Budget annuel'!$E$14:$E$43,COLUMN()-COLUMN($X$42)+1)="Hebdomadaire",MOD($L342-INDEX('1 Budget annuel'!$L$14:$L$43,COLUMN()-COLUMN($X$42)+1),7)=0),AND(INDEX('1 Budget annuel'!$E$14:$E$43,COLUMN()-COLUMN($X$42)+1)="Toutes les 4 semaines",MOD($L342-INDEX('1 Budget annuel'!$L$14:$L$43,COLUMN()-COLUMN($X$42)+1),28)=0),AND(INDEX('1 Budget annuel'!$E$14:$E$43,COLUMN()-COLUMN($X$42)+1)="Mensuelle",DAY($L342)=MIN(DAY(INDEX('1 Budget annuel'!$L$14:$L$43,COLUMN()-COLUMN($X$42)+1)),DAY(EOMONTH($L342,0)))),AND(INDEX('1 Budget annuel'!$E$14:$E$43,COLUMN()-COLUMN($X$42)+1)="Trimestrielle",MOD((YEAR($L342)-YEAR(INDEX('1 Budget annuel'!$L$14:$L$43,COLUMN()-COLUMN($X$42)+1)))*12+MONTH($L342)-MONTH(INDEX('1 Budget annuel'!$L$14:$L$43,COLUMN()-COLUMN($X$42)+1)),3)=0,DAY($L342)=MIN(DAY(INDEX('1 Budget annuel'!$L$14:$L$43,COLUMN()-COLUMN($X$42)+1)),DAY(EOMONTH($L342,0)))),AND(INDEX('1 Budget annuel'!$E$14:$E$43,COLUMN()-COLUMN($X$42)+1)="Semestrielle",MOD((YEAR($L342)-YEAR(INDEX('1 Budget annuel'!$L$14:$L$43,COLUMN()-COLUMN($X$42)+1)))*12+MONTH($L342)-MONTH(INDEX('1 Budget annuel'!$L$14:$L$43,COLUMN()-COLUMN($X$42)+1)),6)=0,DAY($L342)=MIN(DAY(INDEX('1 Budget annuel'!$L$14:$L$43,COLUMN()-COLUMN($X$42)+1)),DAY(EOMONTH($L342,0)))),AND(INDEX('1 Budget annuel'!$E$14:$E$43,COLUMN()-COLUMN($X$42)+1)="Annuelle",MOD((YEAR($L342)-YEAR(INDEX('1 Budget annuel'!$L$14:$L$43,COLUMN()-COLUMN($X$42)+1)))*12+MONTH($L342)-MONTH(INDEX('1 Budget annuel'!$L$14:$L$43,COLUMN()-COLUMN($X$42)+1)),12)=0,DAY($L342)=MIN(DAY(INDEX('1 Budget annuel'!$L$14:$L$43,COLUMN()-COLUMN($X$42)+1)),DAY(EOMONTH($L342,0))))),IF(INDEX('1 Budget annuel'!$B$14:$B$43,COLUMN()-COLUMN($X$42)+1)="Entrée",INDEX('1 Budget annuel'!$I$14:$I$43,COLUMN()-COLUMN($X$42)+1),-INDEX('1 Budget annuel'!$I$14:$I$43,COLUMN()-COLUMN($X$42)+1)),0))</x:f>
        <x:v>0</x:v>
      </x:c>
    </x:row>
    <x:row r="343">
      <x:c r="L343" s="114" t="n">
        <x:f>L342+1</x:f>
        <x:v>46537</x:v>
      </x:c>
      <x:c r="M343" s="115" t="b">
        <x:f>AND(L343&gt;=$D$5,L343&lt;=$D$5+363,MOD(L343-$D$5,7)=0)</x:f>
        <x:v>0</x:v>
      </x:c>
      <x:c r="N343" s="116" t="n">
        <x:f>SUM(X343:BA343)</x:f>
        <x:v>0</x:v>
      </x:c>
      <x:c r="O343" s="116" t="n">
        <x:f>IF(M343,$D$10,0)</x:f>
        <x:v>0</x:v>
      </x:c>
      <x:c r="P343" s="116" t="n">
        <x:f>N343-O343</x:f>
        <x:v>0</x:v>
      </x:c>
      <x:c r="Q343" s="116" t="n">
        <x:f>IF(L343&lt;$D$5,0,IF(L343=$D$5,P343,Q342+P343))</x:f>
        <x:v>0</x:v>
      </x:c>
      <x:c r="R343" s="116" t="n">
        <x:f>IF(L343&lt;$D$5,"",$J$10+Q343)</x:f>
        <x:v>0</x:v>
      </x:c>
      <x:c r="S343" s="116" t="n">
        <x:f>IF($L343&lt;$D$5,"",IF($L343=$D$5,$J$10+$N343-IF($M343,IF(INT(($L343-$D$5)/7)&lt;$A$20,$B$20,$D$10),0),S342+$N343-IF($M343,IF(INT(($L343-$D$5)/7)&lt;$A$20,$B$20,$D$10),0)))</x:f>
        <x:v>0</x:v>
      </x:c>
      <x:c r="T343" s="116" t="n">
        <x:f>IF($L343&lt;$D$5,"",IF($L343=$D$5,$J$10+$N343-IF($M343,IF(INT(($L343-$D$5)/7)&lt;$A$21,$B$21,$D$10),0),T342+$N343-IF($M343,IF(INT(($L343-$D$5)/7)&lt;$A$21,$B$21,$D$10),0)))</x:f>
        <x:v>0</x:v>
      </x:c>
      <x:c r="U343" s="116" t="n">
        <x:f>IF($L343&lt;$D$5,"",IF($L343=$D$5,$J$10+$N343-IF($M343,IF(INT(($L343-$D$5)/7)&lt;$A$22,$B$22,$D$10),0),U342+$N343-IF($M343,IF(INT(($L343-$D$5)/7)&lt;$A$22,$B$22,$D$10),0)))</x:f>
        <x:v>0</x:v>
      </x:c>
      <x:c r="V343" s="116" t="n">
        <x:f>IF($L343&lt;$D$5,"",IF($L343=$D$5,$J$10+$N343-IF($M343,IF(INT(($L343-$D$5)/7)&lt;$A$23,$B$23,$D$10),0),V342+$N343-IF($M343,IF(INT(($L343-$D$5)/7)&lt;$A$23,$B$23,$D$10),0)))</x:f>
        <x:v>0</x:v>
      </x:c>
      <x:c r="W343" s="116" t="n">
        <x:f>IF($L343&lt;$D$5,"",IF($L343=$D$5,$J$10+$N343-IF($M343,IF(INT(($L343-$D$5)/7)&lt;$A$24,$B$24,$D$10),0),W342+$N343-IF($M343,IF(INT(($L343-$D$5)/7)&lt;$A$24,$B$24,$D$10),0)))</x:f>
        <x:v>0</x:v>
      </x:c>
      <x:c r="X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Y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Z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A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B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C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D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E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F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G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H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I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J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K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L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M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N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O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P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Q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R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S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T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U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V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W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X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Y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AZ343" s="116"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c r="BA343" s="117" t="n">
        <x:f>IF(OR(INDEX('1 Budget annuel'!$A$14:$A$43,COLUMN()-COLUMN($X$42)+1)&lt;&gt;"Oui",INDEX('1 Budget annuel'!$L$14:$L$43,COLUMN()-COLUMN($X$42)+1)="",AND(INDEX('1 Budget annuel'!$B$14:$B$43,COLUMN()-COLUMN($X$42)+1)="Sortie",INDEX('1 Budget annuel'!$M$14:$M$43,COLUMN()-COLUMN($X$42)+1)="Oui"),$L343&lt;INDEX('1 Budget annuel'!$L$14:$L$43,COLUMN()-COLUMN($X$42)+1),$L343&gt;$D$5+363),0,IF(OR(AND(INDEX('1 Budget annuel'!$E$14:$E$43,COLUMN()-COLUMN($X$42)+1)="Hebdomadaire",MOD($L343-INDEX('1 Budget annuel'!$L$14:$L$43,COLUMN()-COLUMN($X$42)+1),7)=0),AND(INDEX('1 Budget annuel'!$E$14:$E$43,COLUMN()-COLUMN($X$42)+1)="Toutes les 4 semaines",MOD($L343-INDEX('1 Budget annuel'!$L$14:$L$43,COLUMN()-COLUMN($X$42)+1),28)=0),AND(INDEX('1 Budget annuel'!$E$14:$E$43,COLUMN()-COLUMN($X$42)+1)="Mensuelle",DAY($L343)=MIN(DAY(INDEX('1 Budget annuel'!$L$14:$L$43,COLUMN()-COLUMN($X$42)+1)),DAY(EOMONTH($L343,0)))),AND(INDEX('1 Budget annuel'!$E$14:$E$43,COLUMN()-COLUMN($X$42)+1)="Trimestrielle",MOD((YEAR($L343)-YEAR(INDEX('1 Budget annuel'!$L$14:$L$43,COLUMN()-COLUMN($X$42)+1)))*12+MONTH($L343)-MONTH(INDEX('1 Budget annuel'!$L$14:$L$43,COLUMN()-COLUMN($X$42)+1)),3)=0,DAY($L343)=MIN(DAY(INDEX('1 Budget annuel'!$L$14:$L$43,COLUMN()-COLUMN($X$42)+1)),DAY(EOMONTH($L343,0)))),AND(INDEX('1 Budget annuel'!$E$14:$E$43,COLUMN()-COLUMN($X$42)+1)="Semestrielle",MOD((YEAR($L343)-YEAR(INDEX('1 Budget annuel'!$L$14:$L$43,COLUMN()-COLUMN($X$42)+1)))*12+MONTH($L343)-MONTH(INDEX('1 Budget annuel'!$L$14:$L$43,COLUMN()-COLUMN($X$42)+1)),6)=0,DAY($L343)=MIN(DAY(INDEX('1 Budget annuel'!$L$14:$L$43,COLUMN()-COLUMN($X$42)+1)),DAY(EOMONTH($L343,0)))),AND(INDEX('1 Budget annuel'!$E$14:$E$43,COLUMN()-COLUMN($X$42)+1)="Annuelle",MOD((YEAR($L343)-YEAR(INDEX('1 Budget annuel'!$L$14:$L$43,COLUMN()-COLUMN($X$42)+1)))*12+MONTH($L343)-MONTH(INDEX('1 Budget annuel'!$L$14:$L$43,COLUMN()-COLUMN($X$42)+1)),12)=0,DAY($L343)=MIN(DAY(INDEX('1 Budget annuel'!$L$14:$L$43,COLUMN()-COLUMN($X$42)+1)),DAY(EOMONTH($L343,0))))),IF(INDEX('1 Budget annuel'!$B$14:$B$43,COLUMN()-COLUMN($X$42)+1)="Entrée",INDEX('1 Budget annuel'!$I$14:$I$43,COLUMN()-COLUMN($X$42)+1),-INDEX('1 Budget annuel'!$I$14:$I$43,COLUMN()-COLUMN($X$42)+1)),0))</x:f>
        <x:v>0</x:v>
      </x:c>
    </x:row>
    <x:row r="344">
      <x:c r="L344" s="114" t="n">
        <x:f>L343+1</x:f>
        <x:v>46538</x:v>
      </x:c>
      <x:c r="M344" s="115" t="b">
        <x:f>AND(L344&gt;=$D$5,L344&lt;=$D$5+363,MOD(L344-$D$5,7)=0)</x:f>
        <x:v>0</x:v>
      </x:c>
      <x:c r="N344" s="116" t="n">
        <x:f>SUM(X344:BA344)</x:f>
        <x:v>0</x:v>
      </x:c>
      <x:c r="O344" s="116" t="n">
        <x:f>IF(M344,$D$10,0)</x:f>
        <x:v>0</x:v>
      </x:c>
      <x:c r="P344" s="116" t="n">
        <x:f>N344-O344</x:f>
        <x:v>0</x:v>
      </x:c>
      <x:c r="Q344" s="116" t="n">
        <x:f>IF(L344&lt;$D$5,0,IF(L344=$D$5,P344,Q343+P344))</x:f>
        <x:v>0</x:v>
      </x:c>
      <x:c r="R344" s="116" t="n">
        <x:f>IF(L344&lt;$D$5,"",$J$10+Q344)</x:f>
        <x:v>0</x:v>
      </x:c>
      <x:c r="S344" s="116" t="n">
        <x:f>IF($L344&lt;$D$5,"",IF($L344=$D$5,$J$10+$N344-IF($M344,IF(INT(($L344-$D$5)/7)&lt;$A$20,$B$20,$D$10),0),S343+$N344-IF($M344,IF(INT(($L344-$D$5)/7)&lt;$A$20,$B$20,$D$10),0)))</x:f>
        <x:v>0</x:v>
      </x:c>
      <x:c r="T344" s="116" t="n">
        <x:f>IF($L344&lt;$D$5,"",IF($L344=$D$5,$J$10+$N344-IF($M344,IF(INT(($L344-$D$5)/7)&lt;$A$21,$B$21,$D$10),0),T343+$N344-IF($M344,IF(INT(($L344-$D$5)/7)&lt;$A$21,$B$21,$D$10),0)))</x:f>
        <x:v>0</x:v>
      </x:c>
      <x:c r="U344" s="116" t="n">
        <x:f>IF($L344&lt;$D$5,"",IF($L344=$D$5,$J$10+$N344-IF($M344,IF(INT(($L344-$D$5)/7)&lt;$A$22,$B$22,$D$10),0),U343+$N344-IF($M344,IF(INT(($L344-$D$5)/7)&lt;$A$22,$B$22,$D$10),0)))</x:f>
        <x:v>0</x:v>
      </x:c>
      <x:c r="V344" s="116" t="n">
        <x:f>IF($L344&lt;$D$5,"",IF($L344=$D$5,$J$10+$N344-IF($M344,IF(INT(($L344-$D$5)/7)&lt;$A$23,$B$23,$D$10),0),V343+$N344-IF($M344,IF(INT(($L344-$D$5)/7)&lt;$A$23,$B$23,$D$10),0)))</x:f>
        <x:v>0</x:v>
      </x:c>
      <x:c r="W344" s="116" t="n">
        <x:f>IF($L344&lt;$D$5,"",IF($L344=$D$5,$J$10+$N344-IF($M344,IF(INT(($L344-$D$5)/7)&lt;$A$24,$B$24,$D$10),0),W343+$N344-IF($M344,IF(INT(($L344-$D$5)/7)&lt;$A$24,$B$24,$D$10),0)))</x:f>
        <x:v>0</x:v>
      </x:c>
      <x:c r="X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Y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Z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A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B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C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D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E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F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G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H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I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J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K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L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M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N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O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P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Q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R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S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T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U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V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W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X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Y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AZ344" s="116"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c r="BA344" s="117" t="n">
        <x:f>IF(OR(INDEX('1 Budget annuel'!$A$14:$A$43,COLUMN()-COLUMN($X$42)+1)&lt;&gt;"Oui",INDEX('1 Budget annuel'!$L$14:$L$43,COLUMN()-COLUMN($X$42)+1)="",AND(INDEX('1 Budget annuel'!$B$14:$B$43,COLUMN()-COLUMN($X$42)+1)="Sortie",INDEX('1 Budget annuel'!$M$14:$M$43,COLUMN()-COLUMN($X$42)+1)="Oui"),$L344&lt;INDEX('1 Budget annuel'!$L$14:$L$43,COLUMN()-COLUMN($X$42)+1),$L344&gt;$D$5+363),0,IF(OR(AND(INDEX('1 Budget annuel'!$E$14:$E$43,COLUMN()-COLUMN($X$42)+1)="Hebdomadaire",MOD($L344-INDEX('1 Budget annuel'!$L$14:$L$43,COLUMN()-COLUMN($X$42)+1),7)=0),AND(INDEX('1 Budget annuel'!$E$14:$E$43,COLUMN()-COLUMN($X$42)+1)="Toutes les 4 semaines",MOD($L344-INDEX('1 Budget annuel'!$L$14:$L$43,COLUMN()-COLUMN($X$42)+1),28)=0),AND(INDEX('1 Budget annuel'!$E$14:$E$43,COLUMN()-COLUMN($X$42)+1)="Mensuelle",DAY($L344)=MIN(DAY(INDEX('1 Budget annuel'!$L$14:$L$43,COLUMN()-COLUMN($X$42)+1)),DAY(EOMONTH($L344,0)))),AND(INDEX('1 Budget annuel'!$E$14:$E$43,COLUMN()-COLUMN($X$42)+1)="Trimestrielle",MOD((YEAR($L344)-YEAR(INDEX('1 Budget annuel'!$L$14:$L$43,COLUMN()-COLUMN($X$42)+1)))*12+MONTH($L344)-MONTH(INDEX('1 Budget annuel'!$L$14:$L$43,COLUMN()-COLUMN($X$42)+1)),3)=0,DAY($L344)=MIN(DAY(INDEX('1 Budget annuel'!$L$14:$L$43,COLUMN()-COLUMN($X$42)+1)),DAY(EOMONTH($L344,0)))),AND(INDEX('1 Budget annuel'!$E$14:$E$43,COLUMN()-COLUMN($X$42)+1)="Semestrielle",MOD((YEAR($L344)-YEAR(INDEX('1 Budget annuel'!$L$14:$L$43,COLUMN()-COLUMN($X$42)+1)))*12+MONTH($L344)-MONTH(INDEX('1 Budget annuel'!$L$14:$L$43,COLUMN()-COLUMN($X$42)+1)),6)=0,DAY($L344)=MIN(DAY(INDEX('1 Budget annuel'!$L$14:$L$43,COLUMN()-COLUMN($X$42)+1)),DAY(EOMONTH($L344,0)))),AND(INDEX('1 Budget annuel'!$E$14:$E$43,COLUMN()-COLUMN($X$42)+1)="Annuelle",MOD((YEAR($L344)-YEAR(INDEX('1 Budget annuel'!$L$14:$L$43,COLUMN()-COLUMN($X$42)+1)))*12+MONTH($L344)-MONTH(INDEX('1 Budget annuel'!$L$14:$L$43,COLUMN()-COLUMN($X$42)+1)),12)=0,DAY($L344)=MIN(DAY(INDEX('1 Budget annuel'!$L$14:$L$43,COLUMN()-COLUMN($X$42)+1)),DAY(EOMONTH($L344,0))))),IF(INDEX('1 Budget annuel'!$B$14:$B$43,COLUMN()-COLUMN($X$42)+1)="Entrée",INDEX('1 Budget annuel'!$I$14:$I$43,COLUMN()-COLUMN($X$42)+1),-INDEX('1 Budget annuel'!$I$14:$I$43,COLUMN()-COLUMN($X$42)+1)),0))</x:f>
        <x:v>0</x:v>
      </x:c>
    </x:row>
    <x:row r="345">
      <x:c r="L345" s="114" t="n">
        <x:f>L344+1</x:f>
        <x:v>46539</x:v>
      </x:c>
      <x:c r="M345" s="115" t="b">
        <x:f>AND(L345&gt;=$D$5,L345&lt;=$D$5+363,MOD(L345-$D$5,7)=0)</x:f>
        <x:v>0</x:v>
      </x:c>
      <x:c r="N345" s="116" t="n">
        <x:f>SUM(X345:BA345)</x:f>
        <x:v>0</x:v>
      </x:c>
      <x:c r="O345" s="116" t="n">
        <x:f>IF(M345,$D$10,0)</x:f>
        <x:v>0</x:v>
      </x:c>
      <x:c r="P345" s="116" t="n">
        <x:f>N345-O345</x:f>
        <x:v>0</x:v>
      </x:c>
      <x:c r="Q345" s="116" t="n">
        <x:f>IF(L345&lt;$D$5,0,IF(L345=$D$5,P345,Q344+P345))</x:f>
        <x:v>0</x:v>
      </x:c>
      <x:c r="R345" s="116" t="n">
        <x:f>IF(L345&lt;$D$5,"",$J$10+Q345)</x:f>
        <x:v>0</x:v>
      </x:c>
      <x:c r="S345" s="116" t="n">
        <x:f>IF($L345&lt;$D$5,"",IF($L345=$D$5,$J$10+$N345-IF($M345,IF(INT(($L345-$D$5)/7)&lt;$A$20,$B$20,$D$10),0),S344+$N345-IF($M345,IF(INT(($L345-$D$5)/7)&lt;$A$20,$B$20,$D$10),0)))</x:f>
        <x:v>0</x:v>
      </x:c>
      <x:c r="T345" s="116" t="n">
        <x:f>IF($L345&lt;$D$5,"",IF($L345=$D$5,$J$10+$N345-IF($M345,IF(INT(($L345-$D$5)/7)&lt;$A$21,$B$21,$D$10),0),T344+$N345-IF($M345,IF(INT(($L345-$D$5)/7)&lt;$A$21,$B$21,$D$10),0)))</x:f>
        <x:v>0</x:v>
      </x:c>
      <x:c r="U345" s="116" t="n">
        <x:f>IF($L345&lt;$D$5,"",IF($L345=$D$5,$J$10+$N345-IF($M345,IF(INT(($L345-$D$5)/7)&lt;$A$22,$B$22,$D$10),0),U344+$N345-IF($M345,IF(INT(($L345-$D$5)/7)&lt;$A$22,$B$22,$D$10),0)))</x:f>
        <x:v>0</x:v>
      </x:c>
      <x:c r="V345" s="116" t="n">
        <x:f>IF($L345&lt;$D$5,"",IF($L345=$D$5,$J$10+$N345-IF($M345,IF(INT(($L345-$D$5)/7)&lt;$A$23,$B$23,$D$10),0),V344+$N345-IF($M345,IF(INT(($L345-$D$5)/7)&lt;$A$23,$B$23,$D$10),0)))</x:f>
        <x:v>0</x:v>
      </x:c>
      <x:c r="W345" s="116" t="n">
        <x:f>IF($L345&lt;$D$5,"",IF($L345=$D$5,$J$10+$N345-IF($M345,IF(INT(($L345-$D$5)/7)&lt;$A$24,$B$24,$D$10),0),W344+$N345-IF($M345,IF(INT(($L345-$D$5)/7)&lt;$A$24,$B$24,$D$10),0)))</x:f>
        <x:v>0</x:v>
      </x:c>
      <x:c r="X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Y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Z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A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B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C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D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E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F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G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H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I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J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K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L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M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N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O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P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Q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R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S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T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U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V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W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X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Y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AZ345" s="116"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c r="BA345" s="117" t="n">
        <x:f>IF(OR(INDEX('1 Budget annuel'!$A$14:$A$43,COLUMN()-COLUMN($X$42)+1)&lt;&gt;"Oui",INDEX('1 Budget annuel'!$L$14:$L$43,COLUMN()-COLUMN($X$42)+1)="",AND(INDEX('1 Budget annuel'!$B$14:$B$43,COLUMN()-COLUMN($X$42)+1)="Sortie",INDEX('1 Budget annuel'!$M$14:$M$43,COLUMN()-COLUMN($X$42)+1)="Oui"),$L345&lt;INDEX('1 Budget annuel'!$L$14:$L$43,COLUMN()-COLUMN($X$42)+1),$L345&gt;$D$5+363),0,IF(OR(AND(INDEX('1 Budget annuel'!$E$14:$E$43,COLUMN()-COLUMN($X$42)+1)="Hebdomadaire",MOD($L345-INDEX('1 Budget annuel'!$L$14:$L$43,COLUMN()-COLUMN($X$42)+1),7)=0),AND(INDEX('1 Budget annuel'!$E$14:$E$43,COLUMN()-COLUMN($X$42)+1)="Toutes les 4 semaines",MOD($L345-INDEX('1 Budget annuel'!$L$14:$L$43,COLUMN()-COLUMN($X$42)+1),28)=0),AND(INDEX('1 Budget annuel'!$E$14:$E$43,COLUMN()-COLUMN($X$42)+1)="Mensuelle",DAY($L345)=MIN(DAY(INDEX('1 Budget annuel'!$L$14:$L$43,COLUMN()-COLUMN($X$42)+1)),DAY(EOMONTH($L345,0)))),AND(INDEX('1 Budget annuel'!$E$14:$E$43,COLUMN()-COLUMN($X$42)+1)="Trimestrielle",MOD((YEAR($L345)-YEAR(INDEX('1 Budget annuel'!$L$14:$L$43,COLUMN()-COLUMN($X$42)+1)))*12+MONTH($L345)-MONTH(INDEX('1 Budget annuel'!$L$14:$L$43,COLUMN()-COLUMN($X$42)+1)),3)=0,DAY($L345)=MIN(DAY(INDEX('1 Budget annuel'!$L$14:$L$43,COLUMN()-COLUMN($X$42)+1)),DAY(EOMONTH($L345,0)))),AND(INDEX('1 Budget annuel'!$E$14:$E$43,COLUMN()-COLUMN($X$42)+1)="Semestrielle",MOD((YEAR($L345)-YEAR(INDEX('1 Budget annuel'!$L$14:$L$43,COLUMN()-COLUMN($X$42)+1)))*12+MONTH($L345)-MONTH(INDEX('1 Budget annuel'!$L$14:$L$43,COLUMN()-COLUMN($X$42)+1)),6)=0,DAY($L345)=MIN(DAY(INDEX('1 Budget annuel'!$L$14:$L$43,COLUMN()-COLUMN($X$42)+1)),DAY(EOMONTH($L345,0)))),AND(INDEX('1 Budget annuel'!$E$14:$E$43,COLUMN()-COLUMN($X$42)+1)="Annuelle",MOD((YEAR($L345)-YEAR(INDEX('1 Budget annuel'!$L$14:$L$43,COLUMN()-COLUMN($X$42)+1)))*12+MONTH($L345)-MONTH(INDEX('1 Budget annuel'!$L$14:$L$43,COLUMN()-COLUMN($X$42)+1)),12)=0,DAY($L345)=MIN(DAY(INDEX('1 Budget annuel'!$L$14:$L$43,COLUMN()-COLUMN($X$42)+1)),DAY(EOMONTH($L345,0))))),IF(INDEX('1 Budget annuel'!$B$14:$B$43,COLUMN()-COLUMN($X$42)+1)="Entrée",INDEX('1 Budget annuel'!$I$14:$I$43,COLUMN()-COLUMN($X$42)+1),-INDEX('1 Budget annuel'!$I$14:$I$43,COLUMN()-COLUMN($X$42)+1)),0))</x:f>
        <x:v>0</x:v>
      </x:c>
    </x:row>
    <x:row r="346">
      <x:c r="L346" s="114" t="n">
        <x:f>L345+1</x:f>
        <x:v>46540</x:v>
      </x:c>
      <x:c r="M346" s="115" t="b">
        <x:f>AND(L346&gt;=$D$5,L346&lt;=$D$5+363,MOD(L346-$D$5,7)=0)</x:f>
        <x:v>0</x:v>
      </x:c>
      <x:c r="N346" s="116" t="n">
        <x:f>SUM(X346:BA346)</x:f>
        <x:v>0</x:v>
      </x:c>
      <x:c r="O346" s="116" t="n">
        <x:f>IF(M346,$D$10,0)</x:f>
        <x:v>0</x:v>
      </x:c>
      <x:c r="P346" s="116" t="n">
        <x:f>N346-O346</x:f>
        <x:v>0</x:v>
      </x:c>
      <x:c r="Q346" s="116" t="n">
        <x:f>IF(L346&lt;$D$5,0,IF(L346=$D$5,P346,Q345+P346))</x:f>
        <x:v>0</x:v>
      </x:c>
      <x:c r="R346" s="116" t="n">
        <x:f>IF(L346&lt;$D$5,"",$J$10+Q346)</x:f>
        <x:v>0</x:v>
      </x:c>
      <x:c r="S346" s="116" t="n">
        <x:f>IF($L346&lt;$D$5,"",IF($L346=$D$5,$J$10+$N346-IF($M346,IF(INT(($L346-$D$5)/7)&lt;$A$20,$B$20,$D$10),0),S345+$N346-IF($M346,IF(INT(($L346-$D$5)/7)&lt;$A$20,$B$20,$D$10),0)))</x:f>
        <x:v>0</x:v>
      </x:c>
      <x:c r="T346" s="116" t="n">
        <x:f>IF($L346&lt;$D$5,"",IF($L346=$D$5,$J$10+$N346-IF($M346,IF(INT(($L346-$D$5)/7)&lt;$A$21,$B$21,$D$10),0),T345+$N346-IF($M346,IF(INT(($L346-$D$5)/7)&lt;$A$21,$B$21,$D$10),0)))</x:f>
        <x:v>0</x:v>
      </x:c>
      <x:c r="U346" s="116" t="n">
        <x:f>IF($L346&lt;$D$5,"",IF($L346=$D$5,$J$10+$N346-IF($M346,IF(INT(($L346-$D$5)/7)&lt;$A$22,$B$22,$D$10),0),U345+$N346-IF($M346,IF(INT(($L346-$D$5)/7)&lt;$A$22,$B$22,$D$10),0)))</x:f>
        <x:v>0</x:v>
      </x:c>
      <x:c r="V346" s="116" t="n">
        <x:f>IF($L346&lt;$D$5,"",IF($L346=$D$5,$J$10+$N346-IF($M346,IF(INT(($L346-$D$5)/7)&lt;$A$23,$B$23,$D$10),0),V345+$N346-IF($M346,IF(INT(($L346-$D$5)/7)&lt;$A$23,$B$23,$D$10),0)))</x:f>
        <x:v>0</x:v>
      </x:c>
      <x:c r="W346" s="116" t="n">
        <x:f>IF($L346&lt;$D$5,"",IF($L346=$D$5,$J$10+$N346-IF($M346,IF(INT(($L346-$D$5)/7)&lt;$A$24,$B$24,$D$10),0),W345+$N346-IF($M346,IF(INT(($L346-$D$5)/7)&lt;$A$24,$B$24,$D$10),0)))</x:f>
        <x:v>0</x:v>
      </x:c>
      <x:c r="X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Y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Z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A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B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C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D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E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F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G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H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I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J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K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L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M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N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O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P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Q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R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S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T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U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V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W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X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Y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AZ346" s="116"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c r="BA346" s="117" t="n">
        <x:f>IF(OR(INDEX('1 Budget annuel'!$A$14:$A$43,COLUMN()-COLUMN($X$42)+1)&lt;&gt;"Oui",INDEX('1 Budget annuel'!$L$14:$L$43,COLUMN()-COLUMN($X$42)+1)="",AND(INDEX('1 Budget annuel'!$B$14:$B$43,COLUMN()-COLUMN($X$42)+1)="Sortie",INDEX('1 Budget annuel'!$M$14:$M$43,COLUMN()-COLUMN($X$42)+1)="Oui"),$L346&lt;INDEX('1 Budget annuel'!$L$14:$L$43,COLUMN()-COLUMN($X$42)+1),$L346&gt;$D$5+363),0,IF(OR(AND(INDEX('1 Budget annuel'!$E$14:$E$43,COLUMN()-COLUMN($X$42)+1)="Hebdomadaire",MOD($L346-INDEX('1 Budget annuel'!$L$14:$L$43,COLUMN()-COLUMN($X$42)+1),7)=0),AND(INDEX('1 Budget annuel'!$E$14:$E$43,COLUMN()-COLUMN($X$42)+1)="Toutes les 4 semaines",MOD($L346-INDEX('1 Budget annuel'!$L$14:$L$43,COLUMN()-COLUMN($X$42)+1),28)=0),AND(INDEX('1 Budget annuel'!$E$14:$E$43,COLUMN()-COLUMN($X$42)+1)="Mensuelle",DAY($L346)=MIN(DAY(INDEX('1 Budget annuel'!$L$14:$L$43,COLUMN()-COLUMN($X$42)+1)),DAY(EOMONTH($L346,0)))),AND(INDEX('1 Budget annuel'!$E$14:$E$43,COLUMN()-COLUMN($X$42)+1)="Trimestrielle",MOD((YEAR($L346)-YEAR(INDEX('1 Budget annuel'!$L$14:$L$43,COLUMN()-COLUMN($X$42)+1)))*12+MONTH($L346)-MONTH(INDEX('1 Budget annuel'!$L$14:$L$43,COLUMN()-COLUMN($X$42)+1)),3)=0,DAY($L346)=MIN(DAY(INDEX('1 Budget annuel'!$L$14:$L$43,COLUMN()-COLUMN($X$42)+1)),DAY(EOMONTH($L346,0)))),AND(INDEX('1 Budget annuel'!$E$14:$E$43,COLUMN()-COLUMN($X$42)+1)="Semestrielle",MOD((YEAR($L346)-YEAR(INDEX('1 Budget annuel'!$L$14:$L$43,COLUMN()-COLUMN($X$42)+1)))*12+MONTH($L346)-MONTH(INDEX('1 Budget annuel'!$L$14:$L$43,COLUMN()-COLUMN($X$42)+1)),6)=0,DAY($L346)=MIN(DAY(INDEX('1 Budget annuel'!$L$14:$L$43,COLUMN()-COLUMN($X$42)+1)),DAY(EOMONTH($L346,0)))),AND(INDEX('1 Budget annuel'!$E$14:$E$43,COLUMN()-COLUMN($X$42)+1)="Annuelle",MOD((YEAR($L346)-YEAR(INDEX('1 Budget annuel'!$L$14:$L$43,COLUMN()-COLUMN($X$42)+1)))*12+MONTH($L346)-MONTH(INDEX('1 Budget annuel'!$L$14:$L$43,COLUMN()-COLUMN($X$42)+1)),12)=0,DAY($L346)=MIN(DAY(INDEX('1 Budget annuel'!$L$14:$L$43,COLUMN()-COLUMN($X$42)+1)),DAY(EOMONTH($L346,0))))),IF(INDEX('1 Budget annuel'!$B$14:$B$43,COLUMN()-COLUMN($X$42)+1)="Entrée",INDEX('1 Budget annuel'!$I$14:$I$43,COLUMN()-COLUMN($X$42)+1),-INDEX('1 Budget annuel'!$I$14:$I$43,COLUMN()-COLUMN($X$42)+1)),0))</x:f>
        <x:v>0</x:v>
      </x:c>
    </x:row>
    <x:row r="347">
      <x:c r="L347" s="114" t="n">
        <x:f>L346+1</x:f>
        <x:v>46541</x:v>
      </x:c>
      <x:c r="M347" s="115" t="b">
        <x:f>AND(L347&gt;=$D$5,L347&lt;=$D$5+363,MOD(L347-$D$5,7)=0)</x:f>
        <x:v>0</x:v>
      </x:c>
      <x:c r="N347" s="116" t="n">
        <x:f>SUM(X347:BA347)</x:f>
        <x:v>0</x:v>
      </x:c>
      <x:c r="O347" s="116" t="n">
        <x:f>IF(M347,$D$10,0)</x:f>
        <x:v>0</x:v>
      </x:c>
      <x:c r="P347" s="116" t="n">
        <x:f>N347-O347</x:f>
        <x:v>0</x:v>
      </x:c>
      <x:c r="Q347" s="116" t="n">
        <x:f>IF(L347&lt;$D$5,0,IF(L347=$D$5,P347,Q346+P347))</x:f>
        <x:v>0</x:v>
      </x:c>
      <x:c r="R347" s="116" t="n">
        <x:f>IF(L347&lt;$D$5,"",$J$10+Q347)</x:f>
        <x:v>0</x:v>
      </x:c>
      <x:c r="S347" s="116" t="n">
        <x:f>IF($L347&lt;$D$5,"",IF($L347=$D$5,$J$10+$N347-IF($M347,IF(INT(($L347-$D$5)/7)&lt;$A$20,$B$20,$D$10),0),S346+$N347-IF($M347,IF(INT(($L347-$D$5)/7)&lt;$A$20,$B$20,$D$10),0)))</x:f>
        <x:v>0</x:v>
      </x:c>
      <x:c r="T347" s="116" t="n">
        <x:f>IF($L347&lt;$D$5,"",IF($L347=$D$5,$J$10+$N347-IF($M347,IF(INT(($L347-$D$5)/7)&lt;$A$21,$B$21,$D$10),0),T346+$N347-IF($M347,IF(INT(($L347-$D$5)/7)&lt;$A$21,$B$21,$D$10),0)))</x:f>
        <x:v>0</x:v>
      </x:c>
      <x:c r="U347" s="116" t="n">
        <x:f>IF($L347&lt;$D$5,"",IF($L347=$D$5,$J$10+$N347-IF($M347,IF(INT(($L347-$D$5)/7)&lt;$A$22,$B$22,$D$10),0),U346+$N347-IF($M347,IF(INT(($L347-$D$5)/7)&lt;$A$22,$B$22,$D$10),0)))</x:f>
        <x:v>0</x:v>
      </x:c>
      <x:c r="V347" s="116" t="n">
        <x:f>IF($L347&lt;$D$5,"",IF($L347=$D$5,$J$10+$N347-IF($M347,IF(INT(($L347-$D$5)/7)&lt;$A$23,$B$23,$D$10),0),V346+$N347-IF($M347,IF(INT(($L347-$D$5)/7)&lt;$A$23,$B$23,$D$10),0)))</x:f>
        <x:v>0</x:v>
      </x:c>
      <x:c r="W347" s="116" t="n">
        <x:f>IF($L347&lt;$D$5,"",IF($L347=$D$5,$J$10+$N347-IF($M347,IF(INT(($L347-$D$5)/7)&lt;$A$24,$B$24,$D$10),0),W346+$N347-IF($M347,IF(INT(($L347-$D$5)/7)&lt;$A$24,$B$24,$D$10),0)))</x:f>
        <x:v>0</x:v>
      </x:c>
      <x:c r="X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Y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Z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A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B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C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D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E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F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G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H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I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J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K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L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M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N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O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P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Q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R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S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T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U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V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W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X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Y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AZ347" s="116"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c r="BA347" s="117" t="n">
        <x:f>IF(OR(INDEX('1 Budget annuel'!$A$14:$A$43,COLUMN()-COLUMN($X$42)+1)&lt;&gt;"Oui",INDEX('1 Budget annuel'!$L$14:$L$43,COLUMN()-COLUMN($X$42)+1)="",AND(INDEX('1 Budget annuel'!$B$14:$B$43,COLUMN()-COLUMN($X$42)+1)="Sortie",INDEX('1 Budget annuel'!$M$14:$M$43,COLUMN()-COLUMN($X$42)+1)="Oui"),$L347&lt;INDEX('1 Budget annuel'!$L$14:$L$43,COLUMN()-COLUMN($X$42)+1),$L347&gt;$D$5+363),0,IF(OR(AND(INDEX('1 Budget annuel'!$E$14:$E$43,COLUMN()-COLUMN($X$42)+1)="Hebdomadaire",MOD($L347-INDEX('1 Budget annuel'!$L$14:$L$43,COLUMN()-COLUMN($X$42)+1),7)=0),AND(INDEX('1 Budget annuel'!$E$14:$E$43,COLUMN()-COLUMN($X$42)+1)="Toutes les 4 semaines",MOD($L347-INDEX('1 Budget annuel'!$L$14:$L$43,COLUMN()-COLUMN($X$42)+1),28)=0),AND(INDEX('1 Budget annuel'!$E$14:$E$43,COLUMN()-COLUMN($X$42)+1)="Mensuelle",DAY($L347)=MIN(DAY(INDEX('1 Budget annuel'!$L$14:$L$43,COLUMN()-COLUMN($X$42)+1)),DAY(EOMONTH($L347,0)))),AND(INDEX('1 Budget annuel'!$E$14:$E$43,COLUMN()-COLUMN($X$42)+1)="Trimestrielle",MOD((YEAR($L347)-YEAR(INDEX('1 Budget annuel'!$L$14:$L$43,COLUMN()-COLUMN($X$42)+1)))*12+MONTH($L347)-MONTH(INDEX('1 Budget annuel'!$L$14:$L$43,COLUMN()-COLUMN($X$42)+1)),3)=0,DAY($L347)=MIN(DAY(INDEX('1 Budget annuel'!$L$14:$L$43,COLUMN()-COLUMN($X$42)+1)),DAY(EOMONTH($L347,0)))),AND(INDEX('1 Budget annuel'!$E$14:$E$43,COLUMN()-COLUMN($X$42)+1)="Semestrielle",MOD((YEAR($L347)-YEAR(INDEX('1 Budget annuel'!$L$14:$L$43,COLUMN()-COLUMN($X$42)+1)))*12+MONTH($L347)-MONTH(INDEX('1 Budget annuel'!$L$14:$L$43,COLUMN()-COLUMN($X$42)+1)),6)=0,DAY($L347)=MIN(DAY(INDEX('1 Budget annuel'!$L$14:$L$43,COLUMN()-COLUMN($X$42)+1)),DAY(EOMONTH($L347,0)))),AND(INDEX('1 Budget annuel'!$E$14:$E$43,COLUMN()-COLUMN($X$42)+1)="Annuelle",MOD((YEAR($L347)-YEAR(INDEX('1 Budget annuel'!$L$14:$L$43,COLUMN()-COLUMN($X$42)+1)))*12+MONTH($L347)-MONTH(INDEX('1 Budget annuel'!$L$14:$L$43,COLUMN()-COLUMN($X$42)+1)),12)=0,DAY($L347)=MIN(DAY(INDEX('1 Budget annuel'!$L$14:$L$43,COLUMN()-COLUMN($X$42)+1)),DAY(EOMONTH($L347,0))))),IF(INDEX('1 Budget annuel'!$B$14:$B$43,COLUMN()-COLUMN($X$42)+1)="Entrée",INDEX('1 Budget annuel'!$I$14:$I$43,COLUMN()-COLUMN($X$42)+1),-INDEX('1 Budget annuel'!$I$14:$I$43,COLUMN()-COLUMN($X$42)+1)),0))</x:f>
        <x:v>0</x:v>
      </x:c>
    </x:row>
    <x:row r="348">
      <x:c r="L348" s="114" t="n">
        <x:f>L347+1</x:f>
        <x:v>46542</x:v>
      </x:c>
      <x:c r="M348" s="115" t="b">
        <x:f>AND(L348&gt;=$D$5,L348&lt;=$D$5+363,MOD(L348-$D$5,7)=0)</x:f>
        <x:v>0</x:v>
      </x:c>
      <x:c r="N348" s="116" t="n">
        <x:f>SUM(X348:BA348)</x:f>
        <x:v>0</x:v>
      </x:c>
      <x:c r="O348" s="116" t="n">
        <x:f>IF(M348,$D$10,0)</x:f>
        <x:v>0</x:v>
      </x:c>
      <x:c r="P348" s="116" t="n">
        <x:f>N348-O348</x:f>
        <x:v>0</x:v>
      </x:c>
      <x:c r="Q348" s="116" t="n">
        <x:f>IF(L348&lt;$D$5,0,IF(L348=$D$5,P348,Q347+P348))</x:f>
        <x:v>0</x:v>
      </x:c>
      <x:c r="R348" s="116" t="n">
        <x:f>IF(L348&lt;$D$5,"",$J$10+Q348)</x:f>
        <x:v>0</x:v>
      </x:c>
      <x:c r="S348" s="116" t="n">
        <x:f>IF($L348&lt;$D$5,"",IF($L348=$D$5,$J$10+$N348-IF($M348,IF(INT(($L348-$D$5)/7)&lt;$A$20,$B$20,$D$10),0),S347+$N348-IF($M348,IF(INT(($L348-$D$5)/7)&lt;$A$20,$B$20,$D$10),0)))</x:f>
        <x:v>0</x:v>
      </x:c>
      <x:c r="T348" s="116" t="n">
        <x:f>IF($L348&lt;$D$5,"",IF($L348=$D$5,$J$10+$N348-IF($M348,IF(INT(($L348-$D$5)/7)&lt;$A$21,$B$21,$D$10),0),T347+$N348-IF($M348,IF(INT(($L348-$D$5)/7)&lt;$A$21,$B$21,$D$10),0)))</x:f>
        <x:v>0</x:v>
      </x:c>
      <x:c r="U348" s="116" t="n">
        <x:f>IF($L348&lt;$D$5,"",IF($L348=$D$5,$J$10+$N348-IF($M348,IF(INT(($L348-$D$5)/7)&lt;$A$22,$B$22,$D$10),0),U347+$N348-IF($M348,IF(INT(($L348-$D$5)/7)&lt;$A$22,$B$22,$D$10),0)))</x:f>
        <x:v>0</x:v>
      </x:c>
      <x:c r="V348" s="116" t="n">
        <x:f>IF($L348&lt;$D$5,"",IF($L348=$D$5,$J$10+$N348-IF($M348,IF(INT(($L348-$D$5)/7)&lt;$A$23,$B$23,$D$10),0),V347+$N348-IF($M348,IF(INT(($L348-$D$5)/7)&lt;$A$23,$B$23,$D$10),0)))</x:f>
        <x:v>0</x:v>
      </x:c>
      <x:c r="W348" s="116" t="n">
        <x:f>IF($L348&lt;$D$5,"",IF($L348=$D$5,$J$10+$N348-IF($M348,IF(INT(($L348-$D$5)/7)&lt;$A$24,$B$24,$D$10),0),W347+$N348-IF($M348,IF(INT(($L348-$D$5)/7)&lt;$A$24,$B$24,$D$10),0)))</x:f>
        <x:v>0</x:v>
      </x:c>
      <x:c r="X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Y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Z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A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B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C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D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E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F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G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H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I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J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K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L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M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N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O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P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Q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R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S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T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U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V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W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X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Y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AZ348" s="116"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c r="BA348" s="117" t="n">
        <x:f>IF(OR(INDEX('1 Budget annuel'!$A$14:$A$43,COLUMN()-COLUMN($X$42)+1)&lt;&gt;"Oui",INDEX('1 Budget annuel'!$L$14:$L$43,COLUMN()-COLUMN($X$42)+1)="",AND(INDEX('1 Budget annuel'!$B$14:$B$43,COLUMN()-COLUMN($X$42)+1)="Sortie",INDEX('1 Budget annuel'!$M$14:$M$43,COLUMN()-COLUMN($X$42)+1)="Oui"),$L348&lt;INDEX('1 Budget annuel'!$L$14:$L$43,COLUMN()-COLUMN($X$42)+1),$L348&gt;$D$5+363),0,IF(OR(AND(INDEX('1 Budget annuel'!$E$14:$E$43,COLUMN()-COLUMN($X$42)+1)="Hebdomadaire",MOD($L348-INDEX('1 Budget annuel'!$L$14:$L$43,COLUMN()-COLUMN($X$42)+1),7)=0),AND(INDEX('1 Budget annuel'!$E$14:$E$43,COLUMN()-COLUMN($X$42)+1)="Toutes les 4 semaines",MOD($L348-INDEX('1 Budget annuel'!$L$14:$L$43,COLUMN()-COLUMN($X$42)+1),28)=0),AND(INDEX('1 Budget annuel'!$E$14:$E$43,COLUMN()-COLUMN($X$42)+1)="Mensuelle",DAY($L348)=MIN(DAY(INDEX('1 Budget annuel'!$L$14:$L$43,COLUMN()-COLUMN($X$42)+1)),DAY(EOMONTH($L348,0)))),AND(INDEX('1 Budget annuel'!$E$14:$E$43,COLUMN()-COLUMN($X$42)+1)="Trimestrielle",MOD((YEAR($L348)-YEAR(INDEX('1 Budget annuel'!$L$14:$L$43,COLUMN()-COLUMN($X$42)+1)))*12+MONTH($L348)-MONTH(INDEX('1 Budget annuel'!$L$14:$L$43,COLUMN()-COLUMN($X$42)+1)),3)=0,DAY($L348)=MIN(DAY(INDEX('1 Budget annuel'!$L$14:$L$43,COLUMN()-COLUMN($X$42)+1)),DAY(EOMONTH($L348,0)))),AND(INDEX('1 Budget annuel'!$E$14:$E$43,COLUMN()-COLUMN($X$42)+1)="Semestrielle",MOD((YEAR($L348)-YEAR(INDEX('1 Budget annuel'!$L$14:$L$43,COLUMN()-COLUMN($X$42)+1)))*12+MONTH($L348)-MONTH(INDEX('1 Budget annuel'!$L$14:$L$43,COLUMN()-COLUMN($X$42)+1)),6)=0,DAY($L348)=MIN(DAY(INDEX('1 Budget annuel'!$L$14:$L$43,COLUMN()-COLUMN($X$42)+1)),DAY(EOMONTH($L348,0)))),AND(INDEX('1 Budget annuel'!$E$14:$E$43,COLUMN()-COLUMN($X$42)+1)="Annuelle",MOD((YEAR($L348)-YEAR(INDEX('1 Budget annuel'!$L$14:$L$43,COLUMN()-COLUMN($X$42)+1)))*12+MONTH($L348)-MONTH(INDEX('1 Budget annuel'!$L$14:$L$43,COLUMN()-COLUMN($X$42)+1)),12)=0,DAY($L348)=MIN(DAY(INDEX('1 Budget annuel'!$L$14:$L$43,COLUMN()-COLUMN($X$42)+1)),DAY(EOMONTH($L348,0))))),IF(INDEX('1 Budget annuel'!$B$14:$B$43,COLUMN()-COLUMN($X$42)+1)="Entrée",INDEX('1 Budget annuel'!$I$14:$I$43,COLUMN()-COLUMN($X$42)+1),-INDEX('1 Budget annuel'!$I$14:$I$43,COLUMN()-COLUMN($X$42)+1)),0))</x:f>
        <x:v>0</x:v>
      </x:c>
    </x:row>
    <x:row r="349">
      <x:c r="L349" s="114" t="n">
        <x:f>L348+1</x:f>
        <x:v>46543</x:v>
      </x:c>
      <x:c r="M349" s="115" t="b">
        <x:f>AND(L349&gt;=$D$5,L349&lt;=$D$5+363,MOD(L349-$D$5,7)=0)</x:f>
        <x:v>1</x:v>
      </x:c>
      <x:c r="N349" s="116" t="n">
        <x:f>SUM(X349:BA349)</x:f>
        <x:v>0</x:v>
      </x:c>
      <x:c r="O349" s="116" t="n">
        <x:f>IF(M349,$D$10,0)</x:f>
        <x:v>0</x:v>
      </x:c>
      <x:c r="P349" s="116" t="n">
        <x:f>N349-O349</x:f>
        <x:v>0</x:v>
      </x:c>
      <x:c r="Q349" s="116" t="n">
        <x:f>IF(L349&lt;$D$5,0,IF(L349=$D$5,P349,Q348+P349))</x:f>
        <x:v>0</x:v>
      </x:c>
      <x:c r="R349" s="116" t="n">
        <x:f>IF(L349&lt;$D$5,"",$J$10+Q349)</x:f>
        <x:v>0</x:v>
      </x:c>
      <x:c r="S349" s="116" t="n">
        <x:f>IF($L349&lt;$D$5,"",IF($L349=$D$5,$J$10+$N349-IF($M349,IF(INT(($L349-$D$5)/7)&lt;$A$20,$B$20,$D$10),0),S348+$N349-IF($M349,IF(INT(($L349-$D$5)/7)&lt;$A$20,$B$20,$D$10),0)))</x:f>
        <x:v>0</x:v>
      </x:c>
      <x:c r="T349" s="116" t="n">
        <x:f>IF($L349&lt;$D$5,"",IF($L349=$D$5,$J$10+$N349-IF($M349,IF(INT(($L349-$D$5)/7)&lt;$A$21,$B$21,$D$10),0),T348+$N349-IF($M349,IF(INT(($L349-$D$5)/7)&lt;$A$21,$B$21,$D$10),0)))</x:f>
        <x:v>0</x:v>
      </x:c>
      <x:c r="U349" s="116" t="n">
        <x:f>IF($L349&lt;$D$5,"",IF($L349=$D$5,$J$10+$N349-IF($M349,IF(INT(($L349-$D$5)/7)&lt;$A$22,$B$22,$D$10),0),U348+$N349-IF($M349,IF(INT(($L349-$D$5)/7)&lt;$A$22,$B$22,$D$10),0)))</x:f>
        <x:v>0</x:v>
      </x:c>
      <x:c r="V349" s="116" t="n">
        <x:f>IF($L349&lt;$D$5,"",IF($L349=$D$5,$J$10+$N349-IF($M349,IF(INT(($L349-$D$5)/7)&lt;$A$23,$B$23,$D$10),0),V348+$N349-IF($M349,IF(INT(($L349-$D$5)/7)&lt;$A$23,$B$23,$D$10),0)))</x:f>
        <x:v>0</x:v>
      </x:c>
      <x:c r="W349" s="116" t="n">
        <x:f>IF($L349&lt;$D$5,"",IF($L349=$D$5,$J$10+$N349-IF($M349,IF(INT(($L349-$D$5)/7)&lt;$A$24,$B$24,$D$10),0),W348+$N349-IF($M349,IF(INT(($L349-$D$5)/7)&lt;$A$24,$B$24,$D$10),0)))</x:f>
        <x:v>0</x:v>
      </x:c>
      <x:c r="X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Y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Z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A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B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C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D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E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F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G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H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I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J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K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L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M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N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O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P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Q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R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S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T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U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V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W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X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Y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AZ349" s="116"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c r="BA349" s="117" t="n">
        <x:f>IF(OR(INDEX('1 Budget annuel'!$A$14:$A$43,COLUMN()-COLUMN($X$42)+1)&lt;&gt;"Oui",INDEX('1 Budget annuel'!$L$14:$L$43,COLUMN()-COLUMN($X$42)+1)="",AND(INDEX('1 Budget annuel'!$B$14:$B$43,COLUMN()-COLUMN($X$42)+1)="Sortie",INDEX('1 Budget annuel'!$M$14:$M$43,COLUMN()-COLUMN($X$42)+1)="Oui"),$L349&lt;INDEX('1 Budget annuel'!$L$14:$L$43,COLUMN()-COLUMN($X$42)+1),$L349&gt;$D$5+363),0,IF(OR(AND(INDEX('1 Budget annuel'!$E$14:$E$43,COLUMN()-COLUMN($X$42)+1)="Hebdomadaire",MOD($L349-INDEX('1 Budget annuel'!$L$14:$L$43,COLUMN()-COLUMN($X$42)+1),7)=0),AND(INDEX('1 Budget annuel'!$E$14:$E$43,COLUMN()-COLUMN($X$42)+1)="Toutes les 4 semaines",MOD($L349-INDEX('1 Budget annuel'!$L$14:$L$43,COLUMN()-COLUMN($X$42)+1),28)=0),AND(INDEX('1 Budget annuel'!$E$14:$E$43,COLUMN()-COLUMN($X$42)+1)="Mensuelle",DAY($L349)=MIN(DAY(INDEX('1 Budget annuel'!$L$14:$L$43,COLUMN()-COLUMN($X$42)+1)),DAY(EOMONTH($L349,0)))),AND(INDEX('1 Budget annuel'!$E$14:$E$43,COLUMN()-COLUMN($X$42)+1)="Trimestrielle",MOD((YEAR($L349)-YEAR(INDEX('1 Budget annuel'!$L$14:$L$43,COLUMN()-COLUMN($X$42)+1)))*12+MONTH($L349)-MONTH(INDEX('1 Budget annuel'!$L$14:$L$43,COLUMN()-COLUMN($X$42)+1)),3)=0,DAY($L349)=MIN(DAY(INDEX('1 Budget annuel'!$L$14:$L$43,COLUMN()-COLUMN($X$42)+1)),DAY(EOMONTH($L349,0)))),AND(INDEX('1 Budget annuel'!$E$14:$E$43,COLUMN()-COLUMN($X$42)+1)="Semestrielle",MOD((YEAR($L349)-YEAR(INDEX('1 Budget annuel'!$L$14:$L$43,COLUMN()-COLUMN($X$42)+1)))*12+MONTH($L349)-MONTH(INDEX('1 Budget annuel'!$L$14:$L$43,COLUMN()-COLUMN($X$42)+1)),6)=0,DAY($L349)=MIN(DAY(INDEX('1 Budget annuel'!$L$14:$L$43,COLUMN()-COLUMN($X$42)+1)),DAY(EOMONTH($L349,0)))),AND(INDEX('1 Budget annuel'!$E$14:$E$43,COLUMN()-COLUMN($X$42)+1)="Annuelle",MOD((YEAR($L349)-YEAR(INDEX('1 Budget annuel'!$L$14:$L$43,COLUMN()-COLUMN($X$42)+1)))*12+MONTH($L349)-MONTH(INDEX('1 Budget annuel'!$L$14:$L$43,COLUMN()-COLUMN($X$42)+1)),12)=0,DAY($L349)=MIN(DAY(INDEX('1 Budget annuel'!$L$14:$L$43,COLUMN()-COLUMN($X$42)+1)),DAY(EOMONTH($L349,0))))),IF(INDEX('1 Budget annuel'!$B$14:$B$43,COLUMN()-COLUMN($X$42)+1)="Entrée",INDEX('1 Budget annuel'!$I$14:$I$43,COLUMN()-COLUMN($X$42)+1),-INDEX('1 Budget annuel'!$I$14:$I$43,COLUMN()-COLUMN($X$42)+1)),0))</x:f>
        <x:v>0</x:v>
      </x:c>
    </x:row>
    <x:row r="350">
      <x:c r="L350" s="114" t="n">
        <x:f>L349+1</x:f>
        <x:v>46544</x:v>
      </x:c>
      <x:c r="M350" s="115" t="b">
        <x:f>AND(L350&gt;=$D$5,L350&lt;=$D$5+363,MOD(L350-$D$5,7)=0)</x:f>
        <x:v>0</x:v>
      </x:c>
      <x:c r="N350" s="116" t="n">
        <x:f>SUM(X350:BA350)</x:f>
        <x:v>0</x:v>
      </x:c>
      <x:c r="O350" s="116" t="n">
        <x:f>IF(M350,$D$10,0)</x:f>
        <x:v>0</x:v>
      </x:c>
      <x:c r="P350" s="116" t="n">
        <x:f>N350-O350</x:f>
        <x:v>0</x:v>
      </x:c>
      <x:c r="Q350" s="116" t="n">
        <x:f>IF(L350&lt;$D$5,0,IF(L350=$D$5,P350,Q349+P350))</x:f>
        <x:v>0</x:v>
      </x:c>
      <x:c r="R350" s="116" t="n">
        <x:f>IF(L350&lt;$D$5,"",$J$10+Q350)</x:f>
        <x:v>0</x:v>
      </x:c>
      <x:c r="S350" s="116" t="n">
        <x:f>IF($L350&lt;$D$5,"",IF($L350=$D$5,$J$10+$N350-IF($M350,IF(INT(($L350-$D$5)/7)&lt;$A$20,$B$20,$D$10),0),S349+$N350-IF($M350,IF(INT(($L350-$D$5)/7)&lt;$A$20,$B$20,$D$10),0)))</x:f>
        <x:v>0</x:v>
      </x:c>
      <x:c r="T350" s="116" t="n">
        <x:f>IF($L350&lt;$D$5,"",IF($L350=$D$5,$J$10+$N350-IF($M350,IF(INT(($L350-$D$5)/7)&lt;$A$21,$B$21,$D$10),0),T349+$N350-IF($M350,IF(INT(($L350-$D$5)/7)&lt;$A$21,$B$21,$D$10),0)))</x:f>
        <x:v>0</x:v>
      </x:c>
      <x:c r="U350" s="116" t="n">
        <x:f>IF($L350&lt;$D$5,"",IF($L350=$D$5,$J$10+$N350-IF($M350,IF(INT(($L350-$D$5)/7)&lt;$A$22,$B$22,$D$10),0),U349+$N350-IF($M350,IF(INT(($L350-$D$5)/7)&lt;$A$22,$B$22,$D$10),0)))</x:f>
        <x:v>0</x:v>
      </x:c>
      <x:c r="V350" s="116" t="n">
        <x:f>IF($L350&lt;$D$5,"",IF($L350=$D$5,$J$10+$N350-IF($M350,IF(INT(($L350-$D$5)/7)&lt;$A$23,$B$23,$D$10),0),V349+$N350-IF($M350,IF(INT(($L350-$D$5)/7)&lt;$A$23,$B$23,$D$10),0)))</x:f>
        <x:v>0</x:v>
      </x:c>
      <x:c r="W350" s="116" t="n">
        <x:f>IF($L350&lt;$D$5,"",IF($L350=$D$5,$J$10+$N350-IF($M350,IF(INT(($L350-$D$5)/7)&lt;$A$24,$B$24,$D$10),0),W349+$N350-IF($M350,IF(INT(($L350-$D$5)/7)&lt;$A$24,$B$24,$D$10),0)))</x:f>
        <x:v>0</x:v>
      </x:c>
      <x:c r="X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Y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Z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A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B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C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D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E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F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G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H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I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J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K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L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M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N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O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P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Q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R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S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T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U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V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W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X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Y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AZ350" s="116"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c r="BA350" s="117" t="n">
        <x:f>IF(OR(INDEX('1 Budget annuel'!$A$14:$A$43,COLUMN()-COLUMN($X$42)+1)&lt;&gt;"Oui",INDEX('1 Budget annuel'!$L$14:$L$43,COLUMN()-COLUMN($X$42)+1)="",AND(INDEX('1 Budget annuel'!$B$14:$B$43,COLUMN()-COLUMN($X$42)+1)="Sortie",INDEX('1 Budget annuel'!$M$14:$M$43,COLUMN()-COLUMN($X$42)+1)="Oui"),$L350&lt;INDEX('1 Budget annuel'!$L$14:$L$43,COLUMN()-COLUMN($X$42)+1),$L350&gt;$D$5+363),0,IF(OR(AND(INDEX('1 Budget annuel'!$E$14:$E$43,COLUMN()-COLUMN($X$42)+1)="Hebdomadaire",MOD($L350-INDEX('1 Budget annuel'!$L$14:$L$43,COLUMN()-COLUMN($X$42)+1),7)=0),AND(INDEX('1 Budget annuel'!$E$14:$E$43,COLUMN()-COLUMN($X$42)+1)="Toutes les 4 semaines",MOD($L350-INDEX('1 Budget annuel'!$L$14:$L$43,COLUMN()-COLUMN($X$42)+1),28)=0),AND(INDEX('1 Budget annuel'!$E$14:$E$43,COLUMN()-COLUMN($X$42)+1)="Mensuelle",DAY($L350)=MIN(DAY(INDEX('1 Budget annuel'!$L$14:$L$43,COLUMN()-COLUMN($X$42)+1)),DAY(EOMONTH($L350,0)))),AND(INDEX('1 Budget annuel'!$E$14:$E$43,COLUMN()-COLUMN($X$42)+1)="Trimestrielle",MOD((YEAR($L350)-YEAR(INDEX('1 Budget annuel'!$L$14:$L$43,COLUMN()-COLUMN($X$42)+1)))*12+MONTH($L350)-MONTH(INDEX('1 Budget annuel'!$L$14:$L$43,COLUMN()-COLUMN($X$42)+1)),3)=0,DAY($L350)=MIN(DAY(INDEX('1 Budget annuel'!$L$14:$L$43,COLUMN()-COLUMN($X$42)+1)),DAY(EOMONTH($L350,0)))),AND(INDEX('1 Budget annuel'!$E$14:$E$43,COLUMN()-COLUMN($X$42)+1)="Semestrielle",MOD((YEAR($L350)-YEAR(INDEX('1 Budget annuel'!$L$14:$L$43,COLUMN()-COLUMN($X$42)+1)))*12+MONTH($L350)-MONTH(INDEX('1 Budget annuel'!$L$14:$L$43,COLUMN()-COLUMN($X$42)+1)),6)=0,DAY($L350)=MIN(DAY(INDEX('1 Budget annuel'!$L$14:$L$43,COLUMN()-COLUMN($X$42)+1)),DAY(EOMONTH($L350,0)))),AND(INDEX('1 Budget annuel'!$E$14:$E$43,COLUMN()-COLUMN($X$42)+1)="Annuelle",MOD((YEAR($L350)-YEAR(INDEX('1 Budget annuel'!$L$14:$L$43,COLUMN()-COLUMN($X$42)+1)))*12+MONTH($L350)-MONTH(INDEX('1 Budget annuel'!$L$14:$L$43,COLUMN()-COLUMN($X$42)+1)),12)=0,DAY($L350)=MIN(DAY(INDEX('1 Budget annuel'!$L$14:$L$43,COLUMN()-COLUMN($X$42)+1)),DAY(EOMONTH($L350,0))))),IF(INDEX('1 Budget annuel'!$B$14:$B$43,COLUMN()-COLUMN($X$42)+1)="Entrée",INDEX('1 Budget annuel'!$I$14:$I$43,COLUMN()-COLUMN($X$42)+1),-INDEX('1 Budget annuel'!$I$14:$I$43,COLUMN()-COLUMN($X$42)+1)),0))</x:f>
        <x:v>0</x:v>
      </x:c>
    </x:row>
    <x:row r="351">
      <x:c r="L351" s="114" t="n">
        <x:f>L350+1</x:f>
        <x:v>46545</x:v>
      </x:c>
      <x:c r="M351" s="115" t="b">
        <x:f>AND(L351&gt;=$D$5,L351&lt;=$D$5+363,MOD(L351-$D$5,7)=0)</x:f>
        <x:v>0</x:v>
      </x:c>
      <x:c r="N351" s="116" t="n">
        <x:f>SUM(X351:BA351)</x:f>
        <x:v>0</x:v>
      </x:c>
      <x:c r="O351" s="116" t="n">
        <x:f>IF(M351,$D$10,0)</x:f>
        <x:v>0</x:v>
      </x:c>
      <x:c r="P351" s="116" t="n">
        <x:f>N351-O351</x:f>
        <x:v>0</x:v>
      </x:c>
      <x:c r="Q351" s="116" t="n">
        <x:f>IF(L351&lt;$D$5,0,IF(L351=$D$5,P351,Q350+P351))</x:f>
        <x:v>0</x:v>
      </x:c>
      <x:c r="R351" s="116" t="n">
        <x:f>IF(L351&lt;$D$5,"",$J$10+Q351)</x:f>
        <x:v>0</x:v>
      </x:c>
      <x:c r="S351" s="116" t="n">
        <x:f>IF($L351&lt;$D$5,"",IF($L351=$D$5,$J$10+$N351-IF($M351,IF(INT(($L351-$D$5)/7)&lt;$A$20,$B$20,$D$10),0),S350+$N351-IF($M351,IF(INT(($L351-$D$5)/7)&lt;$A$20,$B$20,$D$10),0)))</x:f>
        <x:v>0</x:v>
      </x:c>
      <x:c r="T351" s="116" t="n">
        <x:f>IF($L351&lt;$D$5,"",IF($L351=$D$5,$J$10+$N351-IF($M351,IF(INT(($L351-$D$5)/7)&lt;$A$21,$B$21,$D$10),0),T350+$N351-IF($M351,IF(INT(($L351-$D$5)/7)&lt;$A$21,$B$21,$D$10),0)))</x:f>
        <x:v>0</x:v>
      </x:c>
      <x:c r="U351" s="116" t="n">
        <x:f>IF($L351&lt;$D$5,"",IF($L351=$D$5,$J$10+$N351-IF($M351,IF(INT(($L351-$D$5)/7)&lt;$A$22,$B$22,$D$10),0),U350+$N351-IF($M351,IF(INT(($L351-$D$5)/7)&lt;$A$22,$B$22,$D$10),0)))</x:f>
        <x:v>0</x:v>
      </x:c>
      <x:c r="V351" s="116" t="n">
        <x:f>IF($L351&lt;$D$5,"",IF($L351=$D$5,$J$10+$N351-IF($M351,IF(INT(($L351-$D$5)/7)&lt;$A$23,$B$23,$D$10),0),V350+$N351-IF($M351,IF(INT(($L351-$D$5)/7)&lt;$A$23,$B$23,$D$10),0)))</x:f>
        <x:v>0</x:v>
      </x:c>
      <x:c r="W351" s="116" t="n">
        <x:f>IF($L351&lt;$D$5,"",IF($L351=$D$5,$J$10+$N351-IF($M351,IF(INT(($L351-$D$5)/7)&lt;$A$24,$B$24,$D$10),0),W350+$N351-IF($M351,IF(INT(($L351-$D$5)/7)&lt;$A$24,$B$24,$D$10),0)))</x:f>
        <x:v>0</x:v>
      </x:c>
      <x:c r="X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Y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Z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A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B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C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D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E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F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G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H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I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J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K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L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M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N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O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P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Q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R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S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T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U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V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W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X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Y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AZ351" s="116"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c r="BA351" s="117" t="n">
        <x:f>IF(OR(INDEX('1 Budget annuel'!$A$14:$A$43,COLUMN()-COLUMN($X$42)+1)&lt;&gt;"Oui",INDEX('1 Budget annuel'!$L$14:$L$43,COLUMN()-COLUMN($X$42)+1)="",AND(INDEX('1 Budget annuel'!$B$14:$B$43,COLUMN()-COLUMN($X$42)+1)="Sortie",INDEX('1 Budget annuel'!$M$14:$M$43,COLUMN()-COLUMN($X$42)+1)="Oui"),$L351&lt;INDEX('1 Budget annuel'!$L$14:$L$43,COLUMN()-COLUMN($X$42)+1),$L351&gt;$D$5+363),0,IF(OR(AND(INDEX('1 Budget annuel'!$E$14:$E$43,COLUMN()-COLUMN($X$42)+1)="Hebdomadaire",MOD($L351-INDEX('1 Budget annuel'!$L$14:$L$43,COLUMN()-COLUMN($X$42)+1),7)=0),AND(INDEX('1 Budget annuel'!$E$14:$E$43,COLUMN()-COLUMN($X$42)+1)="Toutes les 4 semaines",MOD($L351-INDEX('1 Budget annuel'!$L$14:$L$43,COLUMN()-COLUMN($X$42)+1),28)=0),AND(INDEX('1 Budget annuel'!$E$14:$E$43,COLUMN()-COLUMN($X$42)+1)="Mensuelle",DAY($L351)=MIN(DAY(INDEX('1 Budget annuel'!$L$14:$L$43,COLUMN()-COLUMN($X$42)+1)),DAY(EOMONTH($L351,0)))),AND(INDEX('1 Budget annuel'!$E$14:$E$43,COLUMN()-COLUMN($X$42)+1)="Trimestrielle",MOD((YEAR($L351)-YEAR(INDEX('1 Budget annuel'!$L$14:$L$43,COLUMN()-COLUMN($X$42)+1)))*12+MONTH($L351)-MONTH(INDEX('1 Budget annuel'!$L$14:$L$43,COLUMN()-COLUMN($X$42)+1)),3)=0,DAY($L351)=MIN(DAY(INDEX('1 Budget annuel'!$L$14:$L$43,COLUMN()-COLUMN($X$42)+1)),DAY(EOMONTH($L351,0)))),AND(INDEX('1 Budget annuel'!$E$14:$E$43,COLUMN()-COLUMN($X$42)+1)="Semestrielle",MOD((YEAR($L351)-YEAR(INDEX('1 Budget annuel'!$L$14:$L$43,COLUMN()-COLUMN($X$42)+1)))*12+MONTH($L351)-MONTH(INDEX('1 Budget annuel'!$L$14:$L$43,COLUMN()-COLUMN($X$42)+1)),6)=0,DAY($L351)=MIN(DAY(INDEX('1 Budget annuel'!$L$14:$L$43,COLUMN()-COLUMN($X$42)+1)),DAY(EOMONTH($L351,0)))),AND(INDEX('1 Budget annuel'!$E$14:$E$43,COLUMN()-COLUMN($X$42)+1)="Annuelle",MOD((YEAR($L351)-YEAR(INDEX('1 Budget annuel'!$L$14:$L$43,COLUMN()-COLUMN($X$42)+1)))*12+MONTH($L351)-MONTH(INDEX('1 Budget annuel'!$L$14:$L$43,COLUMN()-COLUMN($X$42)+1)),12)=0,DAY($L351)=MIN(DAY(INDEX('1 Budget annuel'!$L$14:$L$43,COLUMN()-COLUMN($X$42)+1)),DAY(EOMONTH($L351,0))))),IF(INDEX('1 Budget annuel'!$B$14:$B$43,COLUMN()-COLUMN($X$42)+1)="Entrée",INDEX('1 Budget annuel'!$I$14:$I$43,COLUMN()-COLUMN($X$42)+1),-INDEX('1 Budget annuel'!$I$14:$I$43,COLUMN()-COLUMN($X$42)+1)),0))</x:f>
        <x:v>0</x:v>
      </x:c>
    </x:row>
    <x:row r="352">
      <x:c r="L352" s="114" t="n">
        <x:f>L351+1</x:f>
        <x:v>46546</x:v>
      </x:c>
      <x:c r="M352" s="115" t="b">
        <x:f>AND(L352&gt;=$D$5,L352&lt;=$D$5+363,MOD(L352-$D$5,7)=0)</x:f>
        <x:v>0</x:v>
      </x:c>
      <x:c r="N352" s="116" t="n">
        <x:f>SUM(X352:BA352)</x:f>
        <x:v>0</x:v>
      </x:c>
      <x:c r="O352" s="116" t="n">
        <x:f>IF(M352,$D$10,0)</x:f>
        <x:v>0</x:v>
      </x:c>
      <x:c r="P352" s="116" t="n">
        <x:f>N352-O352</x:f>
        <x:v>0</x:v>
      </x:c>
      <x:c r="Q352" s="116" t="n">
        <x:f>IF(L352&lt;$D$5,0,IF(L352=$D$5,P352,Q351+P352))</x:f>
        <x:v>0</x:v>
      </x:c>
      <x:c r="R352" s="116" t="n">
        <x:f>IF(L352&lt;$D$5,"",$J$10+Q352)</x:f>
        <x:v>0</x:v>
      </x:c>
      <x:c r="S352" s="116" t="n">
        <x:f>IF($L352&lt;$D$5,"",IF($L352=$D$5,$J$10+$N352-IF($M352,IF(INT(($L352-$D$5)/7)&lt;$A$20,$B$20,$D$10),0),S351+$N352-IF($M352,IF(INT(($L352-$D$5)/7)&lt;$A$20,$B$20,$D$10),0)))</x:f>
        <x:v>0</x:v>
      </x:c>
      <x:c r="T352" s="116" t="n">
        <x:f>IF($L352&lt;$D$5,"",IF($L352=$D$5,$J$10+$N352-IF($M352,IF(INT(($L352-$D$5)/7)&lt;$A$21,$B$21,$D$10),0),T351+$N352-IF($M352,IF(INT(($L352-$D$5)/7)&lt;$A$21,$B$21,$D$10),0)))</x:f>
        <x:v>0</x:v>
      </x:c>
      <x:c r="U352" s="116" t="n">
        <x:f>IF($L352&lt;$D$5,"",IF($L352=$D$5,$J$10+$N352-IF($M352,IF(INT(($L352-$D$5)/7)&lt;$A$22,$B$22,$D$10),0),U351+$N352-IF($M352,IF(INT(($L352-$D$5)/7)&lt;$A$22,$B$22,$D$10),0)))</x:f>
        <x:v>0</x:v>
      </x:c>
      <x:c r="V352" s="116" t="n">
        <x:f>IF($L352&lt;$D$5,"",IF($L352=$D$5,$J$10+$N352-IF($M352,IF(INT(($L352-$D$5)/7)&lt;$A$23,$B$23,$D$10),0),V351+$N352-IF($M352,IF(INT(($L352-$D$5)/7)&lt;$A$23,$B$23,$D$10),0)))</x:f>
        <x:v>0</x:v>
      </x:c>
      <x:c r="W352" s="116" t="n">
        <x:f>IF($L352&lt;$D$5,"",IF($L352=$D$5,$J$10+$N352-IF($M352,IF(INT(($L352-$D$5)/7)&lt;$A$24,$B$24,$D$10),0),W351+$N352-IF($M352,IF(INT(($L352-$D$5)/7)&lt;$A$24,$B$24,$D$10),0)))</x:f>
        <x:v>0</x:v>
      </x:c>
      <x:c r="X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Y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Z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A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B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C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D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E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F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G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H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I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J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K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L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M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N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O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P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Q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R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S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T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U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V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W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X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Y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AZ352" s="116"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c r="BA352" s="117" t="n">
        <x:f>IF(OR(INDEX('1 Budget annuel'!$A$14:$A$43,COLUMN()-COLUMN($X$42)+1)&lt;&gt;"Oui",INDEX('1 Budget annuel'!$L$14:$L$43,COLUMN()-COLUMN($X$42)+1)="",AND(INDEX('1 Budget annuel'!$B$14:$B$43,COLUMN()-COLUMN($X$42)+1)="Sortie",INDEX('1 Budget annuel'!$M$14:$M$43,COLUMN()-COLUMN($X$42)+1)="Oui"),$L352&lt;INDEX('1 Budget annuel'!$L$14:$L$43,COLUMN()-COLUMN($X$42)+1),$L352&gt;$D$5+363),0,IF(OR(AND(INDEX('1 Budget annuel'!$E$14:$E$43,COLUMN()-COLUMN($X$42)+1)="Hebdomadaire",MOD($L352-INDEX('1 Budget annuel'!$L$14:$L$43,COLUMN()-COLUMN($X$42)+1),7)=0),AND(INDEX('1 Budget annuel'!$E$14:$E$43,COLUMN()-COLUMN($X$42)+1)="Toutes les 4 semaines",MOD($L352-INDEX('1 Budget annuel'!$L$14:$L$43,COLUMN()-COLUMN($X$42)+1),28)=0),AND(INDEX('1 Budget annuel'!$E$14:$E$43,COLUMN()-COLUMN($X$42)+1)="Mensuelle",DAY($L352)=MIN(DAY(INDEX('1 Budget annuel'!$L$14:$L$43,COLUMN()-COLUMN($X$42)+1)),DAY(EOMONTH($L352,0)))),AND(INDEX('1 Budget annuel'!$E$14:$E$43,COLUMN()-COLUMN($X$42)+1)="Trimestrielle",MOD((YEAR($L352)-YEAR(INDEX('1 Budget annuel'!$L$14:$L$43,COLUMN()-COLUMN($X$42)+1)))*12+MONTH($L352)-MONTH(INDEX('1 Budget annuel'!$L$14:$L$43,COLUMN()-COLUMN($X$42)+1)),3)=0,DAY($L352)=MIN(DAY(INDEX('1 Budget annuel'!$L$14:$L$43,COLUMN()-COLUMN($X$42)+1)),DAY(EOMONTH($L352,0)))),AND(INDEX('1 Budget annuel'!$E$14:$E$43,COLUMN()-COLUMN($X$42)+1)="Semestrielle",MOD((YEAR($L352)-YEAR(INDEX('1 Budget annuel'!$L$14:$L$43,COLUMN()-COLUMN($X$42)+1)))*12+MONTH($L352)-MONTH(INDEX('1 Budget annuel'!$L$14:$L$43,COLUMN()-COLUMN($X$42)+1)),6)=0,DAY($L352)=MIN(DAY(INDEX('1 Budget annuel'!$L$14:$L$43,COLUMN()-COLUMN($X$42)+1)),DAY(EOMONTH($L352,0)))),AND(INDEX('1 Budget annuel'!$E$14:$E$43,COLUMN()-COLUMN($X$42)+1)="Annuelle",MOD((YEAR($L352)-YEAR(INDEX('1 Budget annuel'!$L$14:$L$43,COLUMN()-COLUMN($X$42)+1)))*12+MONTH($L352)-MONTH(INDEX('1 Budget annuel'!$L$14:$L$43,COLUMN()-COLUMN($X$42)+1)),12)=0,DAY($L352)=MIN(DAY(INDEX('1 Budget annuel'!$L$14:$L$43,COLUMN()-COLUMN($X$42)+1)),DAY(EOMONTH($L352,0))))),IF(INDEX('1 Budget annuel'!$B$14:$B$43,COLUMN()-COLUMN($X$42)+1)="Entrée",INDEX('1 Budget annuel'!$I$14:$I$43,COLUMN()-COLUMN($X$42)+1),-INDEX('1 Budget annuel'!$I$14:$I$43,COLUMN()-COLUMN($X$42)+1)),0))</x:f>
        <x:v>0</x:v>
      </x:c>
    </x:row>
    <x:row r="353">
      <x:c r="L353" s="114" t="n">
        <x:f>L352+1</x:f>
        <x:v>46547</x:v>
      </x:c>
      <x:c r="M353" s="115" t="b">
        <x:f>AND(L353&gt;=$D$5,L353&lt;=$D$5+363,MOD(L353-$D$5,7)=0)</x:f>
        <x:v>0</x:v>
      </x:c>
      <x:c r="N353" s="116" t="n">
        <x:f>SUM(X353:BA353)</x:f>
        <x:v>0</x:v>
      </x:c>
      <x:c r="O353" s="116" t="n">
        <x:f>IF(M353,$D$10,0)</x:f>
        <x:v>0</x:v>
      </x:c>
      <x:c r="P353" s="116" t="n">
        <x:f>N353-O353</x:f>
        <x:v>0</x:v>
      </x:c>
      <x:c r="Q353" s="116" t="n">
        <x:f>IF(L353&lt;$D$5,0,IF(L353=$D$5,P353,Q352+P353))</x:f>
        <x:v>0</x:v>
      </x:c>
      <x:c r="R353" s="116" t="n">
        <x:f>IF(L353&lt;$D$5,"",$J$10+Q353)</x:f>
        <x:v>0</x:v>
      </x:c>
      <x:c r="S353" s="116" t="n">
        <x:f>IF($L353&lt;$D$5,"",IF($L353=$D$5,$J$10+$N353-IF($M353,IF(INT(($L353-$D$5)/7)&lt;$A$20,$B$20,$D$10),0),S352+$N353-IF($M353,IF(INT(($L353-$D$5)/7)&lt;$A$20,$B$20,$D$10),0)))</x:f>
        <x:v>0</x:v>
      </x:c>
      <x:c r="T353" s="116" t="n">
        <x:f>IF($L353&lt;$D$5,"",IF($L353=$D$5,$J$10+$N353-IF($M353,IF(INT(($L353-$D$5)/7)&lt;$A$21,$B$21,$D$10),0),T352+$N353-IF($M353,IF(INT(($L353-$D$5)/7)&lt;$A$21,$B$21,$D$10),0)))</x:f>
        <x:v>0</x:v>
      </x:c>
      <x:c r="U353" s="116" t="n">
        <x:f>IF($L353&lt;$D$5,"",IF($L353=$D$5,$J$10+$N353-IF($M353,IF(INT(($L353-$D$5)/7)&lt;$A$22,$B$22,$D$10),0),U352+$N353-IF($M353,IF(INT(($L353-$D$5)/7)&lt;$A$22,$B$22,$D$10),0)))</x:f>
        <x:v>0</x:v>
      </x:c>
      <x:c r="V353" s="116" t="n">
        <x:f>IF($L353&lt;$D$5,"",IF($L353=$D$5,$J$10+$N353-IF($M353,IF(INT(($L353-$D$5)/7)&lt;$A$23,$B$23,$D$10),0),V352+$N353-IF($M353,IF(INT(($L353-$D$5)/7)&lt;$A$23,$B$23,$D$10),0)))</x:f>
        <x:v>0</x:v>
      </x:c>
      <x:c r="W353" s="116" t="n">
        <x:f>IF($L353&lt;$D$5,"",IF($L353=$D$5,$J$10+$N353-IF($M353,IF(INT(($L353-$D$5)/7)&lt;$A$24,$B$24,$D$10),0),W352+$N353-IF($M353,IF(INT(($L353-$D$5)/7)&lt;$A$24,$B$24,$D$10),0)))</x:f>
        <x:v>0</x:v>
      </x:c>
      <x:c r="X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Y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Z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A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B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C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D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E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F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G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H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I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J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K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L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M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N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O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P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Q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R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S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T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U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V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W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X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Y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AZ353" s="116"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c r="BA353" s="117" t="n">
        <x:f>IF(OR(INDEX('1 Budget annuel'!$A$14:$A$43,COLUMN()-COLUMN($X$42)+1)&lt;&gt;"Oui",INDEX('1 Budget annuel'!$L$14:$L$43,COLUMN()-COLUMN($X$42)+1)="",AND(INDEX('1 Budget annuel'!$B$14:$B$43,COLUMN()-COLUMN($X$42)+1)="Sortie",INDEX('1 Budget annuel'!$M$14:$M$43,COLUMN()-COLUMN($X$42)+1)="Oui"),$L353&lt;INDEX('1 Budget annuel'!$L$14:$L$43,COLUMN()-COLUMN($X$42)+1),$L353&gt;$D$5+363),0,IF(OR(AND(INDEX('1 Budget annuel'!$E$14:$E$43,COLUMN()-COLUMN($X$42)+1)="Hebdomadaire",MOD($L353-INDEX('1 Budget annuel'!$L$14:$L$43,COLUMN()-COLUMN($X$42)+1),7)=0),AND(INDEX('1 Budget annuel'!$E$14:$E$43,COLUMN()-COLUMN($X$42)+1)="Toutes les 4 semaines",MOD($L353-INDEX('1 Budget annuel'!$L$14:$L$43,COLUMN()-COLUMN($X$42)+1),28)=0),AND(INDEX('1 Budget annuel'!$E$14:$E$43,COLUMN()-COLUMN($X$42)+1)="Mensuelle",DAY($L353)=MIN(DAY(INDEX('1 Budget annuel'!$L$14:$L$43,COLUMN()-COLUMN($X$42)+1)),DAY(EOMONTH($L353,0)))),AND(INDEX('1 Budget annuel'!$E$14:$E$43,COLUMN()-COLUMN($X$42)+1)="Trimestrielle",MOD((YEAR($L353)-YEAR(INDEX('1 Budget annuel'!$L$14:$L$43,COLUMN()-COLUMN($X$42)+1)))*12+MONTH($L353)-MONTH(INDEX('1 Budget annuel'!$L$14:$L$43,COLUMN()-COLUMN($X$42)+1)),3)=0,DAY($L353)=MIN(DAY(INDEX('1 Budget annuel'!$L$14:$L$43,COLUMN()-COLUMN($X$42)+1)),DAY(EOMONTH($L353,0)))),AND(INDEX('1 Budget annuel'!$E$14:$E$43,COLUMN()-COLUMN($X$42)+1)="Semestrielle",MOD((YEAR($L353)-YEAR(INDEX('1 Budget annuel'!$L$14:$L$43,COLUMN()-COLUMN($X$42)+1)))*12+MONTH($L353)-MONTH(INDEX('1 Budget annuel'!$L$14:$L$43,COLUMN()-COLUMN($X$42)+1)),6)=0,DAY($L353)=MIN(DAY(INDEX('1 Budget annuel'!$L$14:$L$43,COLUMN()-COLUMN($X$42)+1)),DAY(EOMONTH($L353,0)))),AND(INDEX('1 Budget annuel'!$E$14:$E$43,COLUMN()-COLUMN($X$42)+1)="Annuelle",MOD((YEAR($L353)-YEAR(INDEX('1 Budget annuel'!$L$14:$L$43,COLUMN()-COLUMN($X$42)+1)))*12+MONTH($L353)-MONTH(INDEX('1 Budget annuel'!$L$14:$L$43,COLUMN()-COLUMN($X$42)+1)),12)=0,DAY($L353)=MIN(DAY(INDEX('1 Budget annuel'!$L$14:$L$43,COLUMN()-COLUMN($X$42)+1)),DAY(EOMONTH($L353,0))))),IF(INDEX('1 Budget annuel'!$B$14:$B$43,COLUMN()-COLUMN($X$42)+1)="Entrée",INDEX('1 Budget annuel'!$I$14:$I$43,COLUMN()-COLUMN($X$42)+1),-INDEX('1 Budget annuel'!$I$14:$I$43,COLUMN()-COLUMN($X$42)+1)),0))</x:f>
        <x:v>0</x:v>
      </x:c>
    </x:row>
    <x:row r="354">
      <x:c r="L354" s="114" t="n">
        <x:f>L353+1</x:f>
        <x:v>46548</x:v>
      </x:c>
      <x:c r="M354" s="115" t="b">
        <x:f>AND(L354&gt;=$D$5,L354&lt;=$D$5+363,MOD(L354-$D$5,7)=0)</x:f>
        <x:v>0</x:v>
      </x:c>
      <x:c r="N354" s="116" t="n">
        <x:f>SUM(X354:BA354)</x:f>
        <x:v>0</x:v>
      </x:c>
      <x:c r="O354" s="116" t="n">
        <x:f>IF(M354,$D$10,0)</x:f>
        <x:v>0</x:v>
      </x:c>
      <x:c r="P354" s="116" t="n">
        <x:f>N354-O354</x:f>
        <x:v>0</x:v>
      </x:c>
      <x:c r="Q354" s="116" t="n">
        <x:f>IF(L354&lt;$D$5,0,IF(L354=$D$5,P354,Q353+P354))</x:f>
        <x:v>0</x:v>
      </x:c>
      <x:c r="R354" s="116" t="n">
        <x:f>IF(L354&lt;$D$5,"",$J$10+Q354)</x:f>
        <x:v>0</x:v>
      </x:c>
      <x:c r="S354" s="116" t="n">
        <x:f>IF($L354&lt;$D$5,"",IF($L354=$D$5,$J$10+$N354-IF($M354,IF(INT(($L354-$D$5)/7)&lt;$A$20,$B$20,$D$10),0),S353+$N354-IF($M354,IF(INT(($L354-$D$5)/7)&lt;$A$20,$B$20,$D$10),0)))</x:f>
        <x:v>0</x:v>
      </x:c>
      <x:c r="T354" s="116" t="n">
        <x:f>IF($L354&lt;$D$5,"",IF($L354=$D$5,$J$10+$N354-IF($M354,IF(INT(($L354-$D$5)/7)&lt;$A$21,$B$21,$D$10),0),T353+$N354-IF($M354,IF(INT(($L354-$D$5)/7)&lt;$A$21,$B$21,$D$10),0)))</x:f>
        <x:v>0</x:v>
      </x:c>
      <x:c r="U354" s="116" t="n">
        <x:f>IF($L354&lt;$D$5,"",IF($L354=$D$5,$J$10+$N354-IF($M354,IF(INT(($L354-$D$5)/7)&lt;$A$22,$B$22,$D$10),0),U353+$N354-IF($M354,IF(INT(($L354-$D$5)/7)&lt;$A$22,$B$22,$D$10),0)))</x:f>
        <x:v>0</x:v>
      </x:c>
      <x:c r="V354" s="116" t="n">
        <x:f>IF($L354&lt;$D$5,"",IF($L354=$D$5,$J$10+$N354-IF($M354,IF(INT(($L354-$D$5)/7)&lt;$A$23,$B$23,$D$10),0),V353+$N354-IF($M354,IF(INT(($L354-$D$5)/7)&lt;$A$23,$B$23,$D$10),0)))</x:f>
        <x:v>0</x:v>
      </x:c>
      <x:c r="W354" s="116" t="n">
        <x:f>IF($L354&lt;$D$5,"",IF($L354=$D$5,$J$10+$N354-IF($M354,IF(INT(($L354-$D$5)/7)&lt;$A$24,$B$24,$D$10),0),W353+$N354-IF($M354,IF(INT(($L354-$D$5)/7)&lt;$A$24,$B$24,$D$10),0)))</x:f>
        <x:v>0</x:v>
      </x:c>
      <x:c r="X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Y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Z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A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B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C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D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E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F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G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H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I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J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K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L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M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N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O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P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Q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R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S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T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U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V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W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X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Y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AZ354" s="116"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c r="BA354" s="117" t="n">
        <x:f>IF(OR(INDEX('1 Budget annuel'!$A$14:$A$43,COLUMN()-COLUMN($X$42)+1)&lt;&gt;"Oui",INDEX('1 Budget annuel'!$L$14:$L$43,COLUMN()-COLUMN($X$42)+1)="",AND(INDEX('1 Budget annuel'!$B$14:$B$43,COLUMN()-COLUMN($X$42)+1)="Sortie",INDEX('1 Budget annuel'!$M$14:$M$43,COLUMN()-COLUMN($X$42)+1)="Oui"),$L354&lt;INDEX('1 Budget annuel'!$L$14:$L$43,COLUMN()-COLUMN($X$42)+1),$L354&gt;$D$5+363),0,IF(OR(AND(INDEX('1 Budget annuel'!$E$14:$E$43,COLUMN()-COLUMN($X$42)+1)="Hebdomadaire",MOD($L354-INDEX('1 Budget annuel'!$L$14:$L$43,COLUMN()-COLUMN($X$42)+1),7)=0),AND(INDEX('1 Budget annuel'!$E$14:$E$43,COLUMN()-COLUMN($X$42)+1)="Toutes les 4 semaines",MOD($L354-INDEX('1 Budget annuel'!$L$14:$L$43,COLUMN()-COLUMN($X$42)+1),28)=0),AND(INDEX('1 Budget annuel'!$E$14:$E$43,COLUMN()-COLUMN($X$42)+1)="Mensuelle",DAY($L354)=MIN(DAY(INDEX('1 Budget annuel'!$L$14:$L$43,COLUMN()-COLUMN($X$42)+1)),DAY(EOMONTH($L354,0)))),AND(INDEX('1 Budget annuel'!$E$14:$E$43,COLUMN()-COLUMN($X$42)+1)="Trimestrielle",MOD((YEAR($L354)-YEAR(INDEX('1 Budget annuel'!$L$14:$L$43,COLUMN()-COLUMN($X$42)+1)))*12+MONTH($L354)-MONTH(INDEX('1 Budget annuel'!$L$14:$L$43,COLUMN()-COLUMN($X$42)+1)),3)=0,DAY($L354)=MIN(DAY(INDEX('1 Budget annuel'!$L$14:$L$43,COLUMN()-COLUMN($X$42)+1)),DAY(EOMONTH($L354,0)))),AND(INDEX('1 Budget annuel'!$E$14:$E$43,COLUMN()-COLUMN($X$42)+1)="Semestrielle",MOD((YEAR($L354)-YEAR(INDEX('1 Budget annuel'!$L$14:$L$43,COLUMN()-COLUMN($X$42)+1)))*12+MONTH($L354)-MONTH(INDEX('1 Budget annuel'!$L$14:$L$43,COLUMN()-COLUMN($X$42)+1)),6)=0,DAY($L354)=MIN(DAY(INDEX('1 Budget annuel'!$L$14:$L$43,COLUMN()-COLUMN($X$42)+1)),DAY(EOMONTH($L354,0)))),AND(INDEX('1 Budget annuel'!$E$14:$E$43,COLUMN()-COLUMN($X$42)+1)="Annuelle",MOD((YEAR($L354)-YEAR(INDEX('1 Budget annuel'!$L$14:$L$43,COLUMN()-COLUMN($X$42)+1)))*12+MONTH($L354)-MONTH(INDEX('1 Budget annuel'!$L$14:$L$43,COLUMN()-COLUMN($X$42)+1)),12)=0,DAY($L354)=MIN(DAY(INDEX('1 Budget annuel'!$L$14:$L$43,COLUMN()-COLUMN($X$42)+1)),DAY(EOMONTH($L354,0))))),IF(INDEX('1 Budget annuel'!$B$14:$B$43,COLUMN()-COLUMN($X$42)+1)="Entrée",INDEX('1 Budget annuel'!$I$14:$I$43,COLUMN()-COLUMN($X$42)+1),-INDEX('1 Budget annuel'!$I$14:$I$43,COLUMN()-COLUMN($X$42)+1)),0))</x:f>
        <x:v>0</x:v>
      </x:c>
    </x:row>
    <x:row r="355">
      <x:c r="L355" s="114" t="n">
        <x:f>L354+1</x:f>
        <x:v>46549</x:v>
      </x:c>
      <x:c r="M355" s="115" t="b">
        <x:f>AND(L355&gt;=$D$5,L355&lt;=$D$5+363,MOD(L355-$D$5,7)=0)</x:f>
        <x:v>0</x:v>
      </x:c>
      <x:c r="N355" s="116" t="n">
        <x:f>SUM(X355:BA355)</x:f>
        <x:v>0</x:v>
      </x:c>
      <x:c r="O355" s="116" t="n">
        <x:f>IF(M355,$D$10,0)</x:f>
        <x:v>0</x:v>
      </x:c>
      <x:c r="P355" s="116" t="n">
        <x:f>N355-O355</x:f>
        <x:v>0</x:v>
      </x:c>
      <x:c r="Q355" s="116" t="n">
        <x:f>IF(L355&lt;$D$5,0,IF(L355=$D$5,P355,Q354+P355))</x:f>
        <x:v>0</x:v>
      </x:c>
      <x:c r="R355" s="116" t="n">
        <x:f>IF(L355&lt;$D$5,"",$J$10+Q355)</x:f>
        <x:v>0</x:v>
      </x:c>
      <x:c r="S355" s="116" t="n">
        <x:f>IF($L355&lt;$D$5,"",IF($L355=$D$5,$J$10+$N355-IF($M355,IF(INT(($L355-$D$5)/7)&lt;$A$20,$B$20,$D$10),0),S354+$N355-IF($M355,IF(INT(($L355-$D$5)/7)&lt;$A$20,$B$20,$D$10),0)))</x:f>
        <x:v>0</x:v>
      </x:c>
      <x:c r="T355" s="116" t="n">
        <x:f>IF($L355&lt;$D$5,"",IF($L355=$D$5,$J$10+$N355-IF($M355,IF(INT(($L355-$D$5)/7)&lt;$A$21,$B$21,$D$10),0),T354+$N355-IF($M355,IF(INT(($L355-$D$5)/7)&lt;$A$21,$B$21,$D$10),0)))</x:f>
        <x:v>0</x:v>
      </x:c>
      <x:c r="U355" s="116" t="n">
        <x:f>IF($L355&lt;$D$5,"",IF($L355=$D$5,$J$10+$N355-IF($M355,IF(INT(($L355-$D$5)/7)&lt;$A$22,$B$22,$D$10),0),U354+$N355-IF($M355,IF(INT(($L355-$D$5)/7)&lt;$A$22,$B$22,$D$10),0)))</x:f>
        <x:v>0</x:v>
      </x:c>
      <x:c r="V355" s="116" t="n">
        <x:f>IF($L355&lt;$D$5,"",IF($L355=$D$5,$J$10+$N355-IF($M355,IF(INT(($L355-$D$5)/7)&lt;$A$23,$B$23,$D$10),0),V354+$N355-IF($M355,IF(INT(($L355-$D$5)/7)&lt;$A$23,$B$23,$D$10),0)))</x:f>
        <x:v>0</x:v>
      </x:c>
      <x:c r="W355" s="116" t="n">
        <x:f>IF($L355&lt;$D$5,"",IF($L355=$D$5,$J$10+$N355-IF($M355,IF(INT(($L355-$D$5)/7)&lt;$A$24,$B$24,$D$10),0),W354+$N355-IF($M355,IF(INT(($L355-$D$5)/7)&lt;$A$24,$B$24,$D$10),0)))</x:f>
        <x:v>0</x:v>
      </x:c>
      <x:c r="X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Y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Z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A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B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C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D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E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F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G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H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I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J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K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L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M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N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O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P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Q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R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S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T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U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V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W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X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Y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AZ355" s="116"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c r="BA355" s="117" t="n">
        <x:f>IF(OR(INDEX('1 Budget annuel'!$A$14:$A$43,COLUMN()-COLUMN($X$42)+1)&lt;&gt;"Oui",INDEX('1 Budget annuel'!$L$14:$L$43,COLUMN()-COLUMN($X$42)+1)="",AND(INDEX('1 Budget annuel'!$B$14:$B$43,COLUMN()-COLUMN($X$42)+1)="Sortie",INDEX('1 Budget annuel'!$M$14:$M$43,COLUMN()-COLUMN($X$42)+1)="Oui"),$L355&lt;INDEX('1 Budget annuel'!$L$14:$L$43,COLUMN()-COLUMN($X$42)+1),$L355&gt;$D$5+363),0,IF(OR(AND(INDEX('1 Budget annuel'!$E$14:$E$43,COLUMN()-COLUMN($X$42)+1)="Hebdomadaire",MOD($L355-INDEX('1 Budget annuel'!$L$14:$L$43,COLUMN()-COLUMN($X$42)+1),7)=0),AND(INDEX('1 Budget annuel'!$E$14:$E$43,COLUMN()-COLUMN($X$42)+1)="Toutes les 4 semaines",MOD($L355-INDEX('1 Budget annuel'!$L$14:$L$43,COLUMN()-COLUMN($X$42)+1),28)=0),AND(INDEX('1 Budget annuel'!$E$14:$E$43,COLUMN()-COLUMN($X$42)+1)="Mensuelle",DAY($L355)=MIN(DAY(INDEX('1 Budget annuel'!$L$14:$L$43,COLUMN()-COLUMN($X$42)+1)),DAY(EOMONTH($L355,0)))),AND(INDEX('1 Budget annuel'!$E$14:$E$43,COLUMN()-COLUMN($X$42)+1)="Trimestrielle",MOD((YEAR($L355)-YEAR(INDEX('1 Budget annuel'!$L$14:$L$43,COLUMN()-COLUMN($X$42)+1)))*12+MONTH($L355)-MONTH(INDEX('1 Budget annuel'!$L$14:$L$43,COLUMN()-COLUMN($X$42)+1)),3)=0,DAY($L355)=MIN(DAY(INDEX('1 Budget annuel'!$L$14:$L$43,COLUMN()-COLUMN($X$42)+1)),DAY(EOMONTH($L355,0)))),AND(INDEX('1 Budget annuel'!$E$14:$E$43,COLUMN()-COLUMN($X$42)+1)="Semestrielle",MOD((YEAR($L355)-YEAR(INDEX('1 Budget annuel'!$L$14:$L$43,COLUMN()-COLUMN($X$42)+1)))*12+MONTH($L355)-MONTH(INDEX('1 Budget annuel'!$L$14:$L$43,COLUMN()-COLUMN($X$42)+1)),6)=0,DAY($L355)=MIN(DAY(INDEX('1 Budget annuel'!$L$14:$L$43,COLUMN()-COLUMN($X$42)+1)),DAY(EOMONTH($L355,0)))),AND(INDEX('1 Budget annuel'!$E$14:$E$43,COLUMN()-COLUMN($X$42)+1)="Annuelle",MOD((YEAR($L355)-YEAR(INDEX('1 Budget annuel'!$L$14:$L$43,COLUMN()-COLUMN($X$42)+1)))*12+MONTH($L355)-MONTH(INDEX('1 Budget annuel'!$L$14:$L$43,COLUMN()-COLUMN($X$42)+1)),12)=0,DAY($L355)=MIN(DAY(INDEX('1 Budget annuel'!$L$14:$L$43,COLUMN()-COLUMN($X$42)+1)),DAY(EOMONTH($L355,0))))),IF(INDEX('1 Budget annuel'!$B$14:$B$43,COLUMN()-COLUMN($X$42)+1)="Entrée",INDEX('1 Budget annuel'!$I$14:$I$43,COLUMN()-COLUMN($X$42)+1),-INDEX('1 Budget annuel'!$I$14:$I$43,COLUMN()-COLUMN($X$42)+1)),0))</x:f>
        <x:v>0</x:v>
      </x:c>
    </x:row>
    <x:row r="356">
      <x:c r="L356" s="114" t="n">
        <x:f>L355+1</x:f>
        <x:v>46550</x:v>
      </x:c>
      <x:c r="M356" s="115" t="b">
        <x:f>AND(L356&gt;=$D$5,L356&lt;=$D$5+363,MOD(L356-$D$5,7)=0)</x:f>
        <x:v>1</x:v>
      </x:c>
      <x:c r="N356" s="116" t="n">
        <x:f>SUM(X356:BA356)</x:f>
        <x:v>0</x:v>
      </x:c>
      <x:c r="O356" s="116" t="n">
        <x:f>IF(M356,$D$10,0)</x:f>
        <x:v>0</x:v>
      </x:c>
      <x:c r="P356" s="116" t="n">
        <x:f>N356-O356</x:f>
        <x:v>0</x:v>
      </x:c>
      <x:c r="Q356" s="116" t="n">
        <x:f>IF(L356&lt;$D$5,0,IF(L356=$D$5,P356,Q355+P356))</x:f>
        <x:v>0</x:v>
      </x:c>
      <x:c r="R356" s="116" t="n">
        <x:f>IF(L356&lt;$D$5,"",$J$10+Q356)</x:f>
        <x:v>0</x:v>
      </x:c>
      <x:c r="S356" s="116" t="n">
        <x:f>IF($L356&lt;$D$5,"",IF($L356=$D$5,$J$10+$N356-IF($M356,IF(INT(($L356-$D$5)/7)&lt;$A$20,$B$20,$D$10),0),S355+$N356-IF($M356,IF(INT(($L356-$D$5)/7)&lt;$A$20,$B$20,$D$10),0)))</x:f>
        <x:v>0</x:v>
      </x:c>
      <x:c r="T356" s="116" t="n">
        <x:f>IF($L356&lt;$D$5,"",IF($L356=$D$5,$J$10+$N356-IF($M356,IF(INT(($L356-$D$5)/7)&lt;$A$21,$B$21,$D$10),0),T355+$N356-IF($M356,IF(INT(($L356-$D$5)/7)&lt;$A$21,$B$21,$D$10),0)))</x:f>
        <x:v>0</x:v>
      </x:c>
      <x:c r="U356" s="116" t="n">
        <x:f>IF($L356&lt;$D$5,"",IF($L356=$D$5,$J$10+$N356-IF($M356,IF(INT(($L356-$D$5)/7)&lt;$A$22,$B$22,$D$10),0),U355+$N356-IF($M356,IF(INT(($L356-$D$5)/7)&lt;$A$22,$B$22,$D$10),0)))</x:f>
        <x:v>0</x:v>
      </x:c>
      <x:c r="V356" s="116" t="n">
        <x:f>IF($L356&lt;$D$5,"",IF($L356=$D$5,$J$10+$N356-IF($M356,IF(INT(($L356-$D$5)/7)&lt;$A$23,$B$23,$D$10),0),V355+$N356-IF($M356,IF(INT(($L356-$D$5)/7)&lt;$A$23,$B$23,$D$10),0)))</x:f>
        <x:v>0</x:v>
      </x:c>
      <x:c r="W356" s="116" t="n">
        <x:f>IF($L356&lt;$D$5,"",IF($L356=$D$5,$J$10+$N356-IF($M356,IF(INT(($L356-$D$5)/7)&lt;$A$24,$B$24,$D$10),0),W355+$N356-IF($M356,IF(INT(($L356-$D$5)/7)&lt;$A$24,$B$24,$D$10),0)))</x:f>
        <x:v>0</x:v>
      </x:c>
      <x:c r="X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Y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Z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A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B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C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D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E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F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G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H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I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J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K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L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M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N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O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P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Q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R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S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T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U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V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W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X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Y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AZ356" s="116"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c r="BA356" s="117" t="n">
        <x:f>IF(OR(INDEX('1 Budget annuel'!$A$14:$A$43,COLUMN()-COLUMN($X$42)+1)&lt;&gt;"Oui",INDEX('1 Budget annuel'!$L$14:$L$43,COLUMN()-COLUMN($X$42)+1)="",AND(INDEX('1 Budget annuel'!$B$14:$B$43,COLUMN()-COLUMN($X$42)+1)="Sortie",INDEX('1 Budget annuel'!$M$14:$M$43,COLUMN()-COLUMN($X$42)+1)="Oui"),$L356&lt;INDEX('1 Budget annuel'!$L$14:$L$43,COLUMN()-COLUMN($X$42)+1),$L356&gt;$D$5+363),0,IF(OR(AND(INDEX('1 Budget annuel'!$E$14:$E$43,COLUMN()-COLUMN($X$42)+1)="Hebdomadaire",MOD($L356-INDEX('1 Budget annuel'!$L$14:$L$43,COLUMN()-COLUMN($X$42)+1),7)=0),AND(INDEX('1 Budget annuel'!$E$14:$E$43,COLUMN()-COLUMN($X$42)+1)="Toutes les 4 semaines",MOD($L356-INDEX('1 Budget annuel'!$L$14:$L$43,COLUMN()-COLUMN($X$42)+1),28)=0),AND(INDEX('1 Budget annuel'!$E$14:$E$43,COLUMN()-COLUMN($X$42)+1)="Mensuelle",DAY($L356)=MIN(DAY(INDEX('1 Budget annuel'!$L$14:$L$43,COLUMN()-COLUMN($X$42)+1)),DAY(EOMONTH($L356,0)))),AND(INDEX('1 Budget annuel'!$E$14:$E$43,COLUMN()-COLUMN($X$42)+1)="Trimestrielle",MOD((YEAR($L356)-YEAR(INDEX('1 Budget annuel'!$L$14:$L$43,COLUMN()-COLUMN($X$42)+1)))*12+MONTH($L356)-MONTH(INDEX('1 Budget annuel'!$L$14:$L$43,COLUMN()-COLUMN($X$42)+1)),3)=0,DAY($L356)=MIN(DAY(INDEX('1 Budget annuel'!$L$14:$L$43,COLUMN()-COLUMN($X$42)+1)),DAY(EOMONTH($L356,0)))),AND(INDEX('1 Budget annuel'!$E$14:$E$43,COLUMN()-COLUMN($X$42)+1)="Semestrielle",MOD((YEAR($L356)-YEAR(INDEX('1 Budget annuel'!$L$14:$L$43,COLUMN()-COLUMN($X$42)+1)))*12+MONTH($L356)-MONTH(INDEX('1 Budget annuel'!$L$14:$L$43,COLUMN()-COLUMN($X$42)+1)),6)=0,DAY($L356)=MIN(DAY(INDEX('1 Budget annuel'!$L$14:$L$43,COLUMN()-COLUMN($X$42)+1)),DAY(EOMONTH($L356,0)))),AND(INDEX('1 Budget annuel'!$E$14:$E$43,COLUMN()-COLUMN($X$42)+1)="Annuelle",MOD((YEAR($L356)-YEAR(INDEX('1 Budget annuel'!$L$14:$L$43,COLUMN()-COLUMN($X$42)+1)))*12+MONTH($L356)-MONTH(INDEX('1 Budget annuel'!$L$14:$L$43,COLUMN()-COLUMN($X$42)+1)),12)=0,DAY($L356)=MIN(DAY(INDEX('1 Budget annuel'!$L$14:$L$43,COLUMN()-COLUMN($X$42)+1)),DAY(EOMONTH($L356,0))))),IF(INDEX('1 Budget annuel'!$B$14:$B$43,COLUMN()-COLUMN($X$42)+1)="Entrée",INDEX('1 Budget annuel'!$I$14:$I$43,COLUMN()-COLUMN($X$42)+1),-INDEX('1 Budget annuel'!$I$14:$I$43,COLUMN()-COLUMN($X$42)+1)),0))</x:f>
        <x:v>0</x:v>
      </x:c>
    </x:row>
    <x:row r="357">
      <x:c r="L357" s="114" t="n">
        <x:f>L356+1</x:f>
        <x:v>46551</x:v>
      </x:c>
      <x:c r="M357" s="115" t="b">
        <x:f>AND(L357&gt;=$D$5,L357&lt;=$D$5+363,MOD(L357-$D$5,7)=0)</x:f>
        <x:v>0</x:v>
      </x:c>
      <x:c r="N357" s="116" t="n">
        <x:f>SUM(X357:BA357)</x:f>
        <x:v>0</x:v>
      </x:c>
      <x:c r="O357" s="116" t="n">
        <x:f>IF(M357,$D$10,0)</x:f>
        <x:v>0</x:v>
      </x:c>
      <x:c r="P357" s="116" t="n">
        <x:f>N357-O357</x:f>
        <x:v>0</x:v>
      </x:c>
      <x:c r="Q357" s="116" t="n">
        <x:f>IF(L357&lt;$D$5,0,IF(L357=$D$5,P357,Q356+P357))</x:f>
        <x:v>0</x:v>
      </x:c>
      <x:c r="R357" s="116" t="n">
        <x:f>IF(L357&lt;$D$5,"",$J$10+Q357)</x:f>
        <x:v>0</x:v>
      </x:c>
      <x:c r="S357" s="116" t="n">
        <x:f>IF($L357&lt;$D$5,"",IF($L357=$D$5,$J$10+$N357-IF($M357,IF(INT(($L357-$D$5)/7)&lt;$A$20,$B$20,$D$10),0),S356+$N357-IF($M357,IF(INT(($L357-$D$5)/7)&lt;$A$20,$B$20,$D$10),0)))</x:f>
        <x:v>0</x:v>
      </x:c>
      <x:c r="T357" s="116" t="n">
        <x:f>IF($L357&lt;$D$5,"",IF($L357=$D$5,$J$10+$N357-IF($M357,IF(INT(($L357-$D$5)/7)&lt;$A$21,$B$21,$D$10),0),T356+$N357-IF($M357,IF(INT(($L357-$D$5)/7)&lt;$A$21,$B$21,$D$10),0)))</x:f>
        <x:v>0</x:v>
      </x:c>
      <x:c r="U357" s="116" t="n">
        <x:f>IF($L357&lt;$D$5,"",IF($L357=$D$5,$J$10+$N357-IF($M357,IF(INT(($L357-$D$5)/7)&lt;$A$22,$B$22,$D$10),0),U356+$N357-IF($M357,IF(INT(($L357-$D$5)/7)&lt;$A$22,$B$22,$D$10),0)))</x:f>
        <x:v>0</x:v>
      </x:c>
      <x:c r="V357" s="116" t="n">
        <x:f>IF($L357&lt;$D$5,"",IF($L357=$D$5,$J$10+$N357-IF($M357,IF(INT(($L357-$D$5)/7)&lt;$A$23,$B$23,$D$10),0),V356+$N357-IF($M357,IF(INT(($L357-$D$5)/7)&lt;$A$23,$B$23,$D$10),0)))</x:f>
        <x:v>0</x:v>
      </x:c>
      <x:c r="W357" s="116" t="n">
        <x:f>IF($L357&lt;$D$5,"",IF($L357=$D$5,$J$10+$N357-IF($M357,IF(INT(($L357-$D$5)/7)&lt;$A$24,$B$24,$D$10),0),W356+$N357-IF($M357,IF(INT(($L357-$D$5)/7)&lt;$A$24,$B$24,$D$10),0)))</x:f>
        <x:v>0</x:v>
      </x:c>
      <x:c r="X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Y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Z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A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B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C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D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E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F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G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H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I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J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K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L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M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N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O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P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Q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R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S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T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U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V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W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X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Y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AZ357" s="116"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c r="BA357" s="117" t="n">
        <x:f>IF(OR(INDEX('1 Budget annuel'!$A$14:$A$43,COLUMN()-COLUMN($X$42)+1)&lt;&gt;"Oui",INDEX('1 Budget annuel'!$L$14:$L$43,COLUMN()-COLUMN($X$42)+1)="",AND(INDEX('1 Budget annuel'!$B$14:$B$43,COLUMN()-COLUMN($X$42)+1)="Sortie",INDEX('1 Budget annuel'!$M$14:$M$43,COLUMN()-COLUMN($X$42)+1)="Oui"),$L357&lt;INDEX('1 Budget annuel'!$L$14:$L$43,COLUMN()-COLUMN($X$42)+1),$L357&gt;$D$5+363),0,IF(OR(AND(INDEX('1 Budget annuel'!$E$14:$E$43,COLUMN()-COLUMN($X$42)+1)="Hebdomadaire",MOD($L357-INDEX('1 Budget annuel'!$L$14:$L$43,COLUMN()-COLUMN($X$42)+1),7)=0),AND(INDEX('1 Budget annuel'!$E$14:$E$43,COLUMN()-COLUMN($X$42)+1)="Toutes les 4 semaines",MOD($L357-INDEX('1 Budget annuel'!$L$14:$L$43,COLUMN()-COLUMN($X$42)+1),28)=0),AND(INDEX('1 Budget annuel'!$E$14:$E$43,COLUMN()-COLUMN($X$42)+1)="Mensuelle",DAY($L357)=MIN(DAY(INDEX('1 Budget annuel'!$L$14:$L$43,COLUMN()-COLUMN($X$42)+1)),DAY(EOMONTH($L357,0)))),AND(INDEX('1 Budget annuel'!$E$14:$E$43,COLUMN()-COLUMN($X$42)+1)="Trimestrielle",MOD((YEAR($L357)-YEAR(INDEX('1 Budget annuel'!$L$14:$L$43,COLUMN()-COLUMN($X$42)+1)))*12+MONTH($L357)-MONTH(INDEX('1 Budget annuel'!$L$14:$L$43,COLUMN()-COLUMN($X$42)+1)),3)=0,DAY($L357)=MIN(DAY(INDEX('1 Budget annuel'!$L$14:$L$43,COLUMN()-COLUMN($X$42)+1)),DAY(EOMONTH($L357,0)))),AND(INDEX('1 Budget annuel'!$E$14:$E$43,COLUMN()-COLUMN($X$42)+1)="Semestrielle",MOD((YEAR($L357)-YEAR(INDEX('1 Budget annuel'!$L$14:$L$43,COLUMN()-COLUMN($X$42)+1)))*12+MONTH($L357)-MONTH(INDEX('1 Budget annuel'!$L$14:$L$43,COLUMN()-COLUMN($X$42)+1)),6)=0,DAY($L357)=MIN(DAY(INDEX('1 Budget annuel'!$L$14:$L$43,COLUMN()-COLUMN($X$42)+1)),DAY(EOMONTH($L357,0)))),AND(INDEX('1 Budget annuel'!$E$14:$E$43,COLUMN()-COLUMN($X$42)+1)="Annuelle",MOD((YEAR($L357)-YEAR(INDEX('1 Budget annuel'!$L$14:$L$43,COLUMN()-COLUMN($X$42)+1)))*12+MONTH($L357)-MONTH(INDEX('1 Budget annuel'!$L$14:$L$43,COLUMN()-COLUMN($X$42)+1)),12)=0,DAY($L357)=MIN(DAY(INDEX('1 Budget annuel'!$L$14:$L$43,COLUMN()-COLUMN($X$42)+1)),DAY(EOMONTH($L357,0))))),IF(INDEX('1 Budget annuel'!$B$14:$B$43,COLUMN()-COLUMN($X$42)+1)="Entrée",INDEX('1 Budget annuel'!$I$14:$I$43,COLUMN()-COLUMN($X$42)+1),-INDEX('1 Budget annuel'!$I$14:$I$43,COLUMN()-COLUMN($X$42)+1)),0))</x:f>
        <x:v>0</x:v>
      </x:c>
    </x:row>
    <x:row r="358">
      <x:c r="L358" s="114" t="n">
        <x:f>L357+1</x:f>
        <x:v>46552</x:v>
      </x:c>
      <x:c r="M358" s="115" t="b">
        <x:f>AND(L358&gt;=$D$5,L358&lt;=$D$5+363,MOD(L358-$D$5,7)=0)</x:f>
        <x:v>0</x:v>
      </x:c>
      <x:c r="N358" s="116" t="n">
        <x:f>SUM(X358:BA358)</x:f>
        <x:v>0</x:v>
      </x:c>
      <x:c r="O358" s="116" t="n">
        <x:f>IF(M358,$D$10,0)</x:f>
        <x:v>0</x:v>
      </x:c>
      <x:c r="P358" s="116" t="n">
        <x:f>N358-O358</x:f>
        <x:v>0</x:v>
      </x:c>
      <x:c r="Q358" s="116" t="n">
        <x:f>IF(L358&lt;$D$5,0,IF(L358=$D$5,P358,Q357+P358))</x:f>
        <x:v>0</x:v>
      </x:c>
      <x:c r="R358" s="116" t="n">
        <x:f>IF(L358&lt;$D$5,"",$J$10+Q358)</x:f>
        <x:v>0</x:v>
      </x:c>
      <x:c r="S358" s="116" t="n">
        <x:f>IF($L358&lt;$D$5,"",IF($L358=$D$5,$J$10+$N358-IF($M358,IF(INT(($L358-$D$5)/7)&lt;$A$20,$B$20,$D$10),0),S357+$N358-IF($M358,IF(INT(($L358-$D$5)/7)&lt;$A$20,$B$20,$D$10),0)))</x:f>
        <x:v>0</x:v>
      </x:c>
      <x:c r="T358" s="116" t="n">
        <x:f>IF($L358&lt;$D$5,"",IF($L358=$D$5,$J$10+$N358-IF($M358,IF(INT(($L358-$D$5)/7)&lt;$A$21,$B$21,$D$10),0),T357+$N358-IF($M358,IF(INT(($L358-$D$5)/7)&lt;$A$21,$B$21,$D$10),0)))</x:f>
        <x:v>0</x:v>
      </x:c>
      <x:c r="U358" s="116" t="n">
        <x:f>IF($L358&lt;$D$5,"",IF($L358=$D$5,$J$10+$N358-IF($M358,IF(INT(($L358-$D$5)/7)&lt;$A$22,$B$22,$D$10),0),U357+$N358-IF($M358,IF(INT(($L358-$D$5)/7)&lt;$A$22,$B$22,$D$10),0)))</x:f>
        <x:v>0</x:v>
      </x:c>
      <x:c r="V358" s="116" t="n">
        <x:f>IF($L358&lt;$D$5,"",IF($L358=$D$5,$J$10+$N358-IF($M358,IF(INT(($L358-$D$5)/7)&lt;$A$23,$B$23,$D$10),0),V357+$N358-IF($M358,IF(INT(($L358-$D$5)/7)&lt;$A$23,$B$23,$D$10),0)))</x:f>
        <x:v>0</x:v>
      </x:c>
      <x:c r="W358" s="116" t="n">
        <x:f>IF($L358&lt;$D$5,"",IF($L358=$D$5,$J$10+$N358-IF($M358,IF(INT(($L358-$D$5)/7)&lt;$A$24,$B$24,$D$10),0),W357+$N358-IF($M358,IF(INT(($L358-$D$5)/7)&lt;$A$24,$B$24,$D$10),0)))</x:f>
        <x:v>0</x:v>
      </x:c>
      <x:c r="X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Y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Z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A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B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C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D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E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F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G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H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I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J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K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L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M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N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O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P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Q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R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S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T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U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V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W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X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Y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AZ358" s="116"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c r="BA358" s="117" t="n">
        <x:f>IF(OR(INDEX('1 Budget annuel'!$A$14:$A$43,COLUMN()-COLUMN($X$42)+1)&lt;&gt;"Oui",INDEX('1 Budget annuel'!$L$14:$L$43,COLUMN()-COLUMN($X$42)+1)="",AND(INDEX('1 Budget annuel'!$B$14:$B$43,COLUMN()-COLUMN($X$42)+1)="Sortie",INDEX('1 Budget annuel'!$M$14:$M$43,COLUMN()-COLUMN($X$42)+1)="Oui"),$L358&lt;INDEX('1 Budget annuel'!$L$14:$L$43,COLUMN()-COLUMN($X$42)+1),$L358&gt;$D$5+363),0,IF(OR(AND(INDEX('1 Budget annuel'!$E$14:$E$43,COLUMN()-COLUMN($X$42)+1)="Hebdomadaire",MOD($L358-INDEX('1 Budget annuel'!$L$14:$L$43,COLUMN()-COLUMN($X$42)+1),7)=0),AND(INDEX('1 Budget annuel'!$E$14:$E$43,COLUMN()-COLUMN($X$42)+1)="Toutes les 4 semaines",MOD($L358-INDEX('1 Budget annuel'!$L$14:$L$43,COLUMN()-COLUMN($X$42)+1),28)=0),AND(INDEX('1 Budget annuel'!$E$14:$E$43,COLUMN()-COLUMN($X$42)+1)="Mensuelle",DAY($L358)=MIN(DAY(INDEX('1 Budget annuel'!$L$14:$L$43,COLUMN()-COLUMN($X$42)+1)),DAY(EOMONTH($L358,0)))),AND(INDEX('1 Budget annuel'!$E$14:$E$43,COLUMN()-COLUMN($X$42)+1)="Trimestrielle",MOD((YEAR($L358)-YEAR(INDEX('1 Budget annuel'!$L$14:$L$43,COLUMN()-COLUMN($X$42)+1)))*12+MONTH($L358)-MONTH(INDEX('1 Budget annuel'!$L$14:$L$43,COLUMN()-COLUMN($X$42)+1)),3)=0,DAY($L358)=MIN(DAY(INDEX('1 Budget annuel'!$L$14:$L$43,COLUMN()-COLUMN($X$42)+1)),DAY(EOMONTH($L358,0)))),AND(INDEX('1 Budget annuel'!$E$14:$E$43,COLUMN()-COLUMN($X$42)+1)="Semestrielle",MOD((YEAR($L358)-YEAR(INDEX('1 Budget annuel'!$L$14:$L$43,COLUMN()-COLUMN($X$42)+1)))*12+MONTH($L358)-MONTH(INDEX('1 Budget annuel'!$L$14:$L$43,COLUMN()-COLUMN($X$42)+1)),6)=0,DAY($L358)=MIN(DAY(INDEX('1 Budget annuel'!$L$14:$L$43,COLUMN()-COLUMN($X$42)+1)),DAY(EOMONTH($L358,0)))),AND(INDEX('1 Budget annuel'!$E$14:$E$43,COLUMN()-COLUMN($X$42)+1)="Annuelle",MOD((YEAR($L358)-YEAR(INDEX('1 Budget annuel'!$L$14:$L$43,COLUMN()-COLUMN($X$42)+1)))*12+MONTH($L358)-MONTH(INDEX('1 Budget annuel'!$L$14:$L$43,COLUMN()-COLUMN($X$42)+1)),12)=0,DAY($L358)=MIN(DAY(INDEX('1 Budget annuel'!$L$14:$L$43,COLUMN()-COLUMN($X$42)+1)),DAY(EOMONTH($L358,0))))),IF(INDEX('1 Budget annuel'!$B$14:$B$43,COLUMN()-COLUMN($X$42)+1)="Entrée",INDEX('1 Budget annuel'!$I$14:$I$43,COLUMN()-COLUMN($X$42)+1),-INDEX('1 Budget annuel'!$I$14:$I$43,COLUMN()-COLUMN($X$42)+1)),0))</x:f>
        <x:v>0</x:v>
      </x:c>
    </x:row>
    <x:row r="359">
      <x:c r="L359" s="114" t="n">
        <x:f>L358+1</x:f>
        <x:v>46553</x:v>
      </x:c>
      <x:c r="M359" s="115" t="b">
        <x:f>AND(L359&gt;=$D$5,L359&lt;=$D$5+363,MOD(L359-$D$5,7)=0)</x:f>
        <x:v>0</x:v>
      </x:c>
      <x:c r="N359" s="116" t="n">
        <x:f>SUM(X359:BA359)</x:f>
        <x:v>0</x:v>
      </x:c>
      <x:c r="O359" s="116" t="n">
        <x:f>IF(M359,$D$10,0)</x:f>
        <x:v>0</x:v>
      </x:c>
      <x:c r="P359" s="116" t="n">
        <x:f>N359-O359</x:f>
        <x:v>0</x:v>
      </x:c>
      <x:c r="Q359" s="116" t="n">
        <x:f>IF(L359&lt;$D$5,0,IF(L359=$D$5,P359,Q358+P359))</x:f>
        <x:v>0</x:v>
      </x:c>
      <x:c r="R359" s="116" t="n">
        <x:f>IF(L359&lt;$D$5,"",$J$10+Q359)</x:f>
        <x:v>0</x:v>
      </x:c>
      <x:c r="S359" s="116" t="n">
        <x:f>IF($L359&lt;$D$5,"",IF($L359=$D$5,$J$10+$N359-IF($M359,IF(INT(($L359-$D$5)/7)&lt;$A$20,$B$20,$D$10),0),S358+$N359-IF($M359,IF(INT(($L359-$D$5)/7)&lt;$A$20,$B$20,$D$10),0)))</x:f>
        <x:v>0</x:v>
      </x:c>
      <x:c r="T359" s="116" t="n">
        <x:f>IF($L359&lt;$D$5,"",IF($L359=$D$5,$J$10+$N359-IF($M359,IF(INT(($L359-$D$5)/7)&lt;$A$21,$B$21,$D$10),0),T358+$N359-IF($M359,IF(INT(($L359-$D$5)/7)&lt;$A$21,$B$21,$D$10),0)))</x:f>
        <x:v>0</x:v>
      </x:c>
      <x:c r="U359" s="116" t="n">
        <x:f>IF($L359&lt;$D$5,"",IF($L359=$D$5,$J$10+$N359-IF($M359,IF(INT(($L359-$D$5)/7)&lt;$A$22,$B$22,$D$10),0),U358+$N359-IF($M359,IF(INT(($L359-$D$5)/7)&lt;$A$22,$B$22,$D$10),0)))</x:f>
        <x:v>0</x:v>
      </x:c>
      <x:c r="V359" s="116" t="n">
        <x:f>IF($L359&lt;$D$5,"",IF($L359=$D$5,$J$10+$N359-IF($M359,IF(INT(($L359-$D$5)/7)&lt;$A$23,$B$23,$D$10),0),V358+$N359-IF($M359,IF(INT(($L359-$D$5)/7)&lt;$A$23,$B$23,$D$10),0)))</x:f>
        <x:v>0</x:v>
      </x:c>
      <x:c r="W359" s="116" t="n">
        <x:f>IF($L359&lt;$D$5,"",IF($L359=$D$5,$J$10+$N359-IF($M359,IF(INT(($L359-$D$5)/7)&lt;$A$24,$B$24,$D$10),0),W358+$N359-IF($M359,IF(INT(($L359-$D$5)/7)&lt;$A$24,$B$24,$D$10),0)))</x:f>
        <x:v>0</x:v>
      </x:c>
      <x:c r="X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Y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Z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A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B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C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D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E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F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G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H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I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J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K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L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M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N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O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P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Q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R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S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T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U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V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W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X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Y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AZ359" s="116"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c r="BA359" s="117" t="n">
        <x:f>IF(OR(INDEX('1 Budget annuel'!$A$14:$A$43,COLUMN()-COLUMN($X$42)+1)&lt;&gt;"Oui",INDEX('1 Budget annuel'!$L$14:$L$43,COLUMN()-COLUMN($X$42)+1)="",AND(INDEX('1 Budget annuel'!$B$14:$B$43,COLUMN()-COLUMN($X$42)+1)="Sortie",INDEX('1 Budget annuel'!$M$14:$M$43,COLUMN()-COLUMN($X$42)+1)="Oui"),$L359&lt;INDEX('1 Budget annuel'!$L$14:$L$43,COLUMN()-COLUMN($X$42)+1),$L359&gt;$D$5+363),0,IF(OR(AND(INDEX('1 Budget annuel'!$E$14:$E$43,COLUMN()-COLUMN($X$42)+1)="Hebdomadaire",MOD($L359-INDEX('1 Budget annuel'!$L$14:$L$43,COLUMN()-COLUMN($X$42)+1),7)=0),AND(INDEX('1 Budget annuel'!$E$14:$E$43,COLUMN()-COLUMN($X$42)+1)="Toutes les 4 semaines",MOD($L359-INDEX('1 Budget annuel'!$L$14:$L$43,COLUMN()-COLUMN($X$42)+1),28)=0),AND(INDEX('1 Budget annuel'!$E$14:$E$43,COLUMN()-COLUMN($X$42)+1)="Mensuelle",DAY($L359)=MIN(DAY(INDEX('1 Budget annuel'!$L$14:$L$43,COLUMN()-COLUMN($X$42)+1)),DAY(EOMONTH($L359,0)))),AND(INDEX('1 Budget annuel'!$E$14:$E$43,COLUMN()-COLUMN($X$42)+1)="Trimestrielle",MOD((YEAR($L359)-YEAR(INDEX('1 Budget annuel'!$L$14:$L$43,COLUMN()-COLUMN($X$42)+1)))*12+MONTH($L359)-MONTH(INDEX('1 Budget annuel'!$L$14:$L$43,COLUMN()-COLUMN($X$42)+1)),3)=0,DAY($L359)=MIN(DAY(INDEX('1 Budget annuel'!$L$14:$L$43,COLUMN()-COLUMN($X$42)+1)),DAY(EOMONTH($L359,0)))),AND(INDEX('1 Budget annuel'!$E$14:$E$43,COLUMN()-COLUMN($X$42)+1)="Semestrielle",MOD((YEAR($L359)-YEAR(INDEX('1 Budget annuel'!$L$14:$L$43,COLUMN()-COLUMN($X$42)+1)))*12+MONTH($L359)-MONTH(INDEX('1 Budget annuel'!$L$14:$L$43,COLUMN()-COLUMN($X$42)+1)),6)=0,DAY($L359)=MIN(DAY(INDEX('1 Budget annuel'!$L$14:$L$43,COLUMN()-COLUMN($X$42)+1)),DAY(EOMONTH($L359,0)))),AND(INDEX('1 Budget annuel'!$E$14:$E$43,COLUMN()-COLUMN($X$42)+1)="Annuelle",MOD((YEAR($L359)-YEAR(INDEX('1 Budget annuel'!$L$14:$L$43,COLUMN()-COLUMN($X$42)+1)))*12+MONTH($L359)-MONTH(INDEX('1 Budget annuel'!$L$14:$L$43,COLUMN()-COLUMN($X$42)+1)),12)=0,DAY($L359)=MIN(DAY(INDEX('1 Budget annuel'!$L$14:$L$43,COLUMN()-COLUMN($X$42)+1)),DAY(EOMONTH($L359,0))))),IF(INDEX('1 Budget annuel'!$B$14:$B$43,COLUMN()-COLUMN($X$42)+1)="Entrée",INDEX('1 Budget annuel'!$I$14:$I$43,COLUMN()-COLUMN($X$42)+1),-INDEX('1 Budget annuel'!$I$14:$I$43,COLUMN()-COLUMN($X$42)+1)),0))</x:f>
        <x:v>0</x:v>
      </x:c>
    </x:row>
    <x:row r="360">
      <x:c r="L360" s="114" t="n">
        <x:f>L359+1</x:f>
        <x:v>46554</x:v>
      </x:c>
      <x:c r="M360" s="115" t="b">
        <x:f>AND(L360&gt;=$D$5,L360&lt;=$D$5+363,MOD(L360-$D$5,7)=0)</x:f>
        <x:v>0</x:v>
      </x:c>
      <x:c r="N360" s="116" t="n">
        <x:f>SUM(X360:BA360)</x:f>
        <x:v>0</x:v>
      </x:c>
      <x:c r="O360" s="116" t="n">
        <x:f>IF(M360,$D$10,0)</x:f>
        <x:v>0</x:v>
      </x:c>
      <x:c r="P360" s="116" t="n">
        <x:f>N360-O360</x:f>
        <x:v>0</x:v>
      </x:c>
      <x:c r="Q360" s="116" t="n">
        <x:f>IF(L360&lt;$D$5,0,IF(L360=$D$5,P360,Q359+P360))</x:f>
        <x:v>0</x:v>
      </x:c>
      <x:c r="R360" s="116" t="n">
        <x:f>IF(L360&lt;$D$5,"",$J$10+Q360)</x:f>
        <x:v>0</x:v>
      </x:c>
      <x:c r="S360" s="116" t="n">
        <x:f>IF($L360&lt;$D$5,"",IF($L360=$D$5,$J$10+$N360-IF($M360,IF(INT(($L360-$D$5)/7)&lt;$A$20,$B$20,$D$10),0),S359+$N360-IF($M360,IF(INT(($L360-$D$5)/7)&lt;$A$20,$B$20,$D$10),0)))</x:f>
        <x:v>0</x:v>
      </x:c>
      <x:c r="T360" s="116" t="n">
        <x:f>IF($L360&lt;$D$5,"",IF($L360=$D$5,$J$10+$N360-IF($M360,IF(INT(($L360-$D$5)/7)&lt;$A$21,$B$21,$D$10),0),T359+$N360-IF($M360,IF(INT(($L360-$D$5)/7)&lt;$A$21,$B$21,$D$10),0)))</x:f>
        <x:v>0</x:v>
      </x:c>
      <x:c r="U360" s="116" t="n">
        <x:f>IF($L360&lt;$D$5,"",IF($L360=$D$5,$J$10+$N360-IF($M360,IF(INT(($L360-$D$5)/7)&lt;$A$22,$B$22,$D$10),0),U359+$N360-IF($M360,IF(INT(($L360-$D$5)/7)&lt;$A$22,$B$22,$D$10),0)))</x:f>
        <x:v>0</x:v>
      </x:c>
      <x:c r="V360" s="116" t="n">
        <x:f>IF($L360&lt;$D$5,"",IF($L360=$D$5,$J$10+$N360-IF($M360,IF(INT(($L360-$D$5)/7)&lt;$A$23,$B$23,$D$10),0),V359+$N360-IF($M360,IF(INT(($L360-$D$5)/7)&lt;$A$23,$B$23,$D$10),0)))</x:f>
        <x:v>0</x:v>
      </x:c>
      <x:c r="W360" s="116" t="n">
        <x:f>IF($L360&lt;$D$5,"",IF($L360=$D$5,$J$10+$N360-IF($M360,IF(INT(($L360-$D$5)/7)&lt;$A$24,$B$24,$D$10),0),W359+$N360-IF($M360,IF(INT(($L360-$D$5)/7)&lt;$A$24,$B$24,$D$10),0)))</x:f>
        <x:v>0</x:v>
      </x:c>
      <x:c r="X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Y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Z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A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B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C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D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E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F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G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H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I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J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K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L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M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N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O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P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Q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R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S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T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U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V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W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X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Y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AZ360" s="116"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c r="BA360" s="117" t="n">
        <x:f>IF(OR(INDEX('1 Budget annuel'!$A$14:$A$43,COLUMN()-COLUMN($X$42)+1)&lt;&gt;"Oui",INDEX('1 Budget annuel'!$L$14:$L$43,COLUMN()-COLUMN($X$42)+1)="",AND(INDEX('1 Budget annuel'!$B$14:$B$43,COLUMN()-COLUMN($X$42)+1)="Sortie",INDEX('1 Budget annuel'!$M$14:$M$43,COLUMN()-COLUMN($X$42)+1)="Oui"),$L360&lt;INDEX('1 Budget annuel'!$L$14:$L$43,COLUMN()-COLUMN($X$42)+1),$L360&gt;$D$5+363),0,IF(OR(AND(INDEX('1 Budget annuel'!$E$14:$E$43,COLUMN()-COLUMN($X$42)+1)="Hebdomadaire",MOD($L360-INDEX('1 Budget annuel'!$L$14:$L$43,COLUMN()-COLUMN($X$42)+1),7)=0),AND(INDEX('1 Budget annuel'!$E$14:$E$43,COLUMN()-COLUMN($X$42)+1)="Toutes les 4 semaines",MOD($L360-INDEX('1 Budget annuel'!$L$14:$L$43,COLUMN()-COLUMN($X$42)+1),28)=0),AND(INDEX('1 Budget annuel'!$E$14:$E$43,COLUMN()-COLUMN($X$42)+1)="Mensuelle",DAY($L360)=MIN(DAY(INDEX('1 Budget annuel'!$L$14:$L$43,COLUMN()-COLUMN($X$42)+1)),DAY(EOMONTH($L360,0)))),AND(INDEX('1 Budget annuel'!$E$14:$E$43,COLUMN()-COLUMN($X$42)+1)="Trimestrielle",MOD((YEAR($L360)-YEAR(INDEX('1 Budget annuel'!$L$14:$L$43,COLUMN()-COLUMN($X$42)+1)))*12+MONTH($L360)-MONTH(INDEX('1 Budget annuel'!$L$14:$L$43,COLUMN()-COLUMN($X$42)+1)),3)=0,DAY($L360)=MIN(DAY(INDEX('1 Budget annuel'!$L$14:$L$43,COLUMN()-COLUMN($X$42)+1)),DAY(EOMONTH($L360,0)))),AND(INDEX('1 Budget annuel'!$E$14:$E$43,COLUMN()-COLUMN($X$42)+1)="Semestrielle",MOD((YEAR($L360)-YEAR(INDEX('1 Budget annuel'!$L$14:$L$43,COLUMN()-COLUMN($X$42)+1)))*12+MONTH($L360)-MONTH(INDEX('1 Budget annuel'!$L$14:$L$43,COLUMN()-COLUMN($X$42)+1)),6)=0,DAY($L360)=MIN(DAY(INDEX('1 Budget annuel'!$L$14:$L$43,COLUMN()-COLUMN($X$42)+1)),DAY(EOMONTH($L360,0)))),AND(INDEX('1 Budget annuel'!$E$14:$E$43,COLUMN()-COLUMN($X$42)+1)="Annuelle",MOD((YEAR($L360)-YEAR(INDEX('1 Budget annuel'!$L$14:$L$43,COLUMN()-COLUMN($X$42)+1)))*12+MONTH($L360)-MONTH(INDEX('1 Budget annuel'!$L$14:$L$43,COLUMN()-COLUMN($X$42)+1)),12)=0,DAY($L360)=MIN(DAY(INDEX('1 Budget annuel'!$L$14:$L$43,COLUMN()-COLUMN($X$42)+1)),DAY(EOMONTH($L360,0))))),IF(INDEX('1 Budget annuel'!$B$14:$B$43,COLUMN()-COLUMN($X$42)+1)="Entrée",INDEX('1 Budget annuel'!$I$14:$I$43,COLUMN()-COLUMN($X$42)+1),-INDEX('1 Budget annuel'!$I$14:$I$43,COLUMN()-COLUMN($X$42)+1)),0))</x:f>
        <x:v>0</x:v>
      </x:c>
    </x:row>
    <x:row r="361">
      <x:c r="L361" s="114" t="n">
        <x:f>L360+1</x:f>
        <x:v>46555</x:v>
      </x:c>
      <x:c r="M361" s="115" t="b">
        <x:f>AND(L361&gt;=$D$5,L361&lt;=$D$5+363,MOD(L361-$D$5,7)=0)</x:f>
        <x:v>0</x:v>
      </x:c>
      <x:c r="N361" s="116" t="n">
        <x:f>SUM(X361:BA361)</x:f>
        <x:v>0</x:v>
      </x:c>
      <x:c r="O361" s="116" t="n">
        <x:f>IF(M361,$D$10,0)</x:f>
        <x:v>0</x:v>
      </x:c>
      <x:c r="P361" s="116" t="n">
        <x:f>N361-O361</x:f>
        <x:v>0</x:v>
      </x:c>
      <x:c r="Q361" s="116" t="n">
        <x:f>IF(L361&lt;$D$5,0,IF(L361=$D$5,P361,Q360+P361))</x:f>
        <x:v>0</x:v>
      </x:c>
      <x:c r="R361" s="116" t="n">
        <x:f>IF(L361&lt;$D$5,"",$J$10+Q361)</x:f>
        <x:v>0</x:v>
      </x:c>
      <x:c r="S361" s="116" t="n">
        <x:f>IF($L361&lt;$D$5,"",IF($L361=$D$5,$J$10+$N361-IF($M361,IF(INT(($L361-$D$5)/7)&lt;$A$20,$B$20,$D$10),0),S360+$N361-IF($M361,IF(INT(($L361-$D$5)/7)&lt;$A$20,$B$20,$D$10),0)))</x:f>
        <x:v>0</x:v>
      </x:c>
      <x:c r="T361" s="116" t="n">
        <x:f>IF($L361&lt;$D$5,"",IF($L361=$D$5,$J$10+$N361-IF($M361,IF(INT(($L361-$D$5)/7)&lt;$A$21,$B$21,$D$10),0),T360+$N361-IF($M361,IF(INT(($L361-$D$5)/7)&lt;$A$21,$B$21,$D$10),0)))</x:f>
        <x:v>0</x:v>
      </x:c>
      <x:c r="U361" s="116" t="n">
        <x:f>IF($L361&lt;$D$5,"",IF($L361=$D$5,$J$10+$N361-IF($M361,IF(INT(($L361-$D$5)/7)&lt;$A$22,$B$22,$D$10),0),U360+$N361-IF($M361,IF(INT(($L361-$D$5)/7)&lt;$A$22,$B$22,$D$10),0)))</x:f>
        <x:v>0</x:v>
      </x:c>
      <x:c r="V361" s="116" t="n">
        <x:f>IF($L361&lt;$D$5,"",IF($L361=$D$5,$J$10+$N361-IF($M361,IF(INT(($L361-$D$5)/7)&lt;$A$23,$B$23,$D$10),0),V360+$N361-IF($M361,IF(INT(($L361-$D$5)/7)&lt;$A$23,$B$23,$D$10),0)))</x:f>
        <x:v>0</x:v>
      </x:c>
      <x:c r="W361" s="116" t="n">
        <x:f>IF($L361&lt;$D$5,"",IF($L361=$D$5,$J$10+$N361-IF($M361,IF(INT(($L361-$D$5)/7)&lt;$A$24,$B$24,$D$10),0),W360+$N361-IF($M361,IF(INT(($L361-$D$5)/7)&lt;$A$24,$B$24,$D$10),0)))</x:f>
        <x:v>0</x:v>
      </x:c>
      <x:c r="X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Y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Z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A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B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C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D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E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F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G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H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I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J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K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L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M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N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O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P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Q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R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S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T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U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V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W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X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Y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AZ361" s="116"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c r="BA361" s="117" t="n">
        <x:f>IF(OR(INDEX('1 Budget annuel'!$A$14:$A$43,COLUMN()-COLUMN($X$42)+1)&lt;&gt;"Oui",INDEX('1 Budget annuel'!$L$14:$L$43,COLUMN()-COLUMN($X$42)+1)="",AND(INDEX('1 Budget annuel'!$B$14:$B$43,COLUMN()-COLUMN($X$42)+1)="Sortie",INDEX('1 Budget annuel'!$M$14:$M$43,COLUMN()-COLUMN($X$42)+1)="Oui"),$L361&lt;INDEX('1 Budget annuel'!$L$14:$L$43,COLUMN()-COLUMN($X$42)+1),$L361&gt;$D$5+363),0,IF(OR(AND(INDEX('1 Budget annuel'!$E$14:$E$43,COLUMN()-COLUMN($X$42)+1)="Hebdomadaire",MOD($L361-INDEX('1 Budget annuel'!$L$14:$L$43,COLUMN()-COLUMN($X$42)+1),7)=0),AND(INDEX('1 Budget annuel'!$E$14:$E$43,COLUMN()-COLUMN($X$42)+1)="Toutes les 4 semaines",MOD($L361-INDEX('1 Budget annuel'!$L$14:$L$43,COLUMN()-COLUMN($X$42)+1),28)=0),AND(INDEX('1 Budget annuel'!$E$14:$E$43,COLUMN()-COLUMN($X$42)+1)="Mensuelle",DAY($L361)=MIN(DAY(INDEX('1 Budget annuel'!$L$14:$L$43,COLUMN()-COLUMN($X$42)+1)),DAY(EOMONTH($L361,0)))),AND(INDEX('1 Budget annuel'!$E$14:$E$43,COLUMN()-COLUMN($X$42)+1)="Trimestrielle",MOD((YEAR($L361)-YEAR(INDEX('1 Budget annuel'!$L$14:$L$43,COLUMN()-COLUMN($X$42)+1)))*12+MONTH($L361)-MONTH(INDEX('1 Budget annuel'!$L$14:$L$43,COLUMN()-COLUMN($X$42)+1)),3)=0,DAY($L361)=MIN(DAY(INDEX('1 Budget annuel'!$L$14:$L$43,COLUMN()-COLUMN($X$42)+1)),DAY(EOMONTH($L361,0)))),AND(INDEX('1 Budget annuel'!$E$14:$E$43,COLUMN()-COLUMN($X$42)+1)="Semestrielle",MOD((YEAR($L361)-YEAR(INDEX('1 Budget annuel'!$L$14:$L$43,COLUMN()-COLUMN($X$42)+1)))*12+MONTH($L361)-MONTH(INDEX('1 Budget annuel'!$L$14:$L$43,COLUMN()-COLUMN($X$42)+1)),6)=0,DAY($L361)=MIN(DAY(INDEX('1 Budget annuel'!$L$14:$L$43,COLUMN()-COLUMN($X$42)+1)),DAY(EOMONTH($L361,0)))),AND(INDEX('1 Budget annuel'!$E$14:$E$43,COLUMN()-COLUMN($X$42)+1)="Annuelle",MOD((YEAR($L361)-YEAR(INDEX('1 Budget annuel'!$L$14:$L$43,COLUMN()-COLUMN($X$42)+1)))*12+MONTH($L361)-MONTH(INDEX('1 Budget annuel'!$L$14:$L$43,COLUMN()-COLUMN($X$42)+1)),12)=0,DAY($L361)=MIN(DAY(INDEX('1 Budget annuel'!$L$14:$L$43,COLUMN()-COLUMN($X$42)+1)),DAY(EOMONTH($L361,0))))),IF(INDEX('1 Budget annuel'!$B$14:$B$43,COLUMN()-COLUMN($X$42)+1)="Entrée",INDEX('1 Budget annuel'!$I$14:$I$43,COLUMN()-COLUMN($X$42)+1),-INDEX('1 Budget annuel'!$I$14:$I$43,COLUMN()-COLUMN($X$42)+1)),0))</x:f>
        <x:v>0</x:v>
      </x:c>
    </x:row>
    <x:row r="362">
      <x:c r="L362" s="114" t="n">
        <x:f>L361+1</x:f>
        <x:v>46556</x:v>
      </x:c>
      <x:c r="M362" s="115" t="b">
        <x:f>AND(L362&gt;=$D$5,L362&lt;=$D$5+363,MOD(L362-$D$5,7)=0)</x:f>
        <x:v>0</x:v>
      </x:c>
      <x:c r="N362" s="116" t="n">
        <x:f>SUM(X362:BA362)</x:f>
        <x:v>0</x:v>
      </x:c>
      <x:c r="O362" s="116" t="n">
        <x:f>IF(M362,$D$10,0)</x:f>
        <x:v>0</x:v>
      </x:c>
      <x:c r="P362" s="116" t="n">
        <x:f>N362-O362</x:f>
        <x:v>0</x:v>
      </x:c>
      <x:c r="Q362" s="116" t="n">
        <x:f>IF(L362&lt;$D$5,0,IF(L362=$D$5,P362,Q361+P362))</x:f>
        <x:v>0</x:v>
      </x:c>
      <x:c r="R362" s="116" t="n">
        <x:f>IF(L362&lt;$D$5,"",$J$10+Q362)</x:f>
        <x:v>0</x:v>
      </x:c>
      <x:c r="S362" s="116" t="n">
        <x:f>IF($L362&lt;$D$5,"",IF($L362=$D$5,$J$10+$N362-IF($M362,IF(INT(($L362-$D$5)/7)&lt;$A$20,$B$20,$D$10),0),S361+$N362-IF($M362,IF(INT(($L362-$D$5)/7)&lt;$A$20,$B$20,$D$10),0)))</x:f>
        <x:v>0</x:v>
      </x:c>
      <x:c r="T362" s="116" t="n">
        <x:f>IF($L362&lt;$D$5,"",IF($L362=$D$5,$J$10+$N362-IF($M362,IF(INT(($L362-$D$5)/7)&lt;$A$21,$B$21,$D$10),0),T361+$N362-IF($M362,IF(INT(($L362-$D$5)/7)&lt;$A$21,$B$21,$D$10),0)))</x:f>
        <x:v>0</x:v>
      </x:c>
      <x:c r="U362" s="116" t="n">
        <x:f>IF($L362&lt;$D$5,"",IF($L362=$D$5,$J$10+$N362-IF($M362,IF(INT(($L362-$D$5)/7)&lt;$A$22,$B$22,$D$10),0),U361+$N362-IF($M362,IF(INT(($L362-$D$5)/7)&lt;$A$22,$B$22,$D$10),0)))</x:f>
        <x:v>0</x:v>
      </x:c>
      <x:c r="V362" s="116" t="n">
        <x:f>IF($L362&lt;$D$5,"",IF($L362=$D$5,$J$10+$N362-IF($M362,IF(INT(($L362-$D$5)/7)&lt;$A$23,$B$23,$D$10),0),V361+$N362-IF($M362,IF(INT(($L362-$D$5)/7)&lt;$A$23,$B$23,$D$10),0)))</x:f>
        <x:v>0</x:v>
      </x:c>
      <x:c r="W362" s="116" t="n">
        <x:f>IF($L362&lt;$D$5,"",IF($L362=$D$5,$J$10+$N362-IF($M362,IF(INT(($L362-$D$5)/7)&lt;$A$24,$B$24,$D$10),0),W361+$N362-IF($M362,IF(INT(($L362-$D$5)/7)&lt;$A$24,$B$24,$D$10),0)))</x:f>
        <x:v>0</x:v>
      </x:c>
      <x:c r="X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Y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Z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A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B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C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D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E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F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G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H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I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J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K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L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M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N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O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P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Q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R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S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T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U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V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W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X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Y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AZ362" s="116"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c r="BA362" s="117" t="n">
        <x:f>IF(OR(INDEX('1 Budget annuel'!$A$14:$A$43,COLUMN()-COLUMN($X$42)+1)&lt;&gt;"Oui",INDEX('1 Budget annuel'!$L$14:$L$43,COLUMN()-COLUMN($X$42)+1)="",AND(INDEX('1 Budget annuel'!$B$14:$B$43,COLUMN()-COLUMN($X$42)+1)="Sortie",INDEX('1 Budget annuel'!$M$14:$M$43,COLUMN()-COLUMN($X$42)+1)="Oui"),$L362&lt;INDEX('1 Budget annuel'!$L$14:$L$43,COLUMN()-COLUMN($X$42)+1),$L362&gt;$D$5+363),0,IF(OR(AND(INDEX('1 Budget annuel'!$E$14:$E$43,COLUMN()-COLUMN($X$42)+1)="Hebdomadaire",MOD($L362-INDEX('1 Budget annuel'!$L$14:$L$43,COLUMN()-COLUMN($X$42)+1),7)=0),AND(INDEX('1 Budget annuel'!$E$14:$E$43,COLUMN()-COLUMN($X$42)+1)="Toutes les 4 semaines",MOD($L362-INDEX('1 Budget annuel'!$L$14:$L$43,COLUMN()-COLUMN($X$42)+1),28)=0),AND(INDEX('1 Budget annuel'!$E$14:$E$43,COLUMN()-COLUMN($X$42)+1)="Mensuelle",DAY($L362)=MIN(DAY(INDEX('1 Budget annuel'!$L$14:$L$43,COLUMN()-COLUMN($X$42)+1)),DAY(EOMONTH($L362,0)))),AND(INDEX('1 Budget annuel'!$E$14:$E$43,COLUMN()-COLUMN($X$42)+1)="Trimestrielle",MOD((YEAR($L362)-YEAR(INDEX('1 Budget annuel'!$L$14:$L$43,COLUMN()-COLUMN($X$42)+1)))*12+MONTH($L362)-MONTH(INDEX('1 Budget annuel'!$L$14:$L$43,COLUMN()-COLUMN($X$42)+1)),3)=0,DAY($L362)=MIN(DAY(INDEX('1 Budget annuel'!$L$14:$L$43,COLUMN()-COLUMN($X$42)+1)),DAY(EOMONTH($L362,0)))),AND(INDEX('1 Budget annuel'!$E$14:$E$43,COLUMN()-COLUMN($X$42)+1)="Semestrielle",MOD((YEAR($L362)-YEAR(INDEX('1 Budget annuel'!$L$14:$L$43,COLUMN()-COLUMN($X$42)+1)))*12+MONTH($L362)-MONTH(INDEX('1 Budget annuel'!$L$14:$L$43,COLUMN()-COLUMN($X$42)+1)),6)=0,DAY($L362)=MIN(DAY(INDEX('1 Budget annuel'!$L$14:$L$43,COLUMN()-COLUMN($X$42)+1)),DAY(EOMONTH($L362,0)))),AND(INDEX('1 Budget annuel'!$E$14:$E$43,COLUMN()-COLUMN($X$42)+1)="Annuelle",MOD((YEAR($L362)-YEAR(INDEX('1 Budget annuel'!$L$14:$L$43,COLUMN()-COLUMN($X$42)+1)))*12+MONTH($L362)-MONTH(INDEX('1 Budget annuel'!$L$14:$L$43,COLUMN()-COLUMN($X$42)+1)),12)=0,DAY($L362)=MIN(DAY(INDEX('1 Budget annuel'!$L$14:$L$43,COLUMN()-COLUMN($X$42)+1)),DAY(EOMONTH($L362,0))))),IF(INDEX('1 Budget annuel'!$B$14:$B$43,COLUMN()-COLUMN($X$42)+1)="Entrée",INDEX('1 Budget annuel'!$I$14:$I$43,COLUMN()-COLUMN($X$42)+1),-INDEX('1 Budget annuel'!$I$14:$I$43,COLUMN()-COLUMN($X$42)+1)),0))</x:f>
        <x:v>0</x:v>
      </x:c>
    </x:row>
    <x:row r="363">
      <x:c r="L363" s="114" t="n">
        <x:f>L362+1</x:f>
        <x:v>46557</x:v>
      </x:c>
      <x:c r="M363" s="115" t="b">
        <x:f>AND(L363&gt;=$D$5,L363&lt;=$D$5+363,MOD(L363-$D$5,7)=0)</x:f>
        <x:v>1</x:v>
      </x:c>
      <x:c r="N363" s="116" t="n">
        <x:f>SUM(X363:BA363)</x:f>
        <x:v>0</x:v>
      </x:c>
      <x:c r="O363" s="116" t="n">
        <x:f>IF(M363,$D$10,0)</x:f>
        <x:v>0</x:v>
      </x:c>
      <x:c r="P363" s="116" t="n">
        <x:f>N363-O363</x:f>
        <x:v>0</x:v>
      </x:c>
      <x:c r="Q363" s="116" t="n">
        <x:f>IF(L363&lt;$D$5,0,IF(L363=$D$5,P363,Q362+P363))</x:f>
        <x:v>0</x:v>
      </x:c>
      <x:c r="R363" s="116" t="n">
        <x:f>IF(L363&lt;$D$5,"",$J$10+Q363)</x:f>
        <x:v>0</x:v>
      </x:c>
      <x:c r="S363" s="116" t="n">
        <x:f>IF($L363&lt;$D$5,"",IF($L363=$D$5,$J$10+$N363-IF($M363,IF(INT(($L363-$D$5)/7)&lt;$A$20,$B$20,$D$10),0),S362+$N363-IF($M363,IF(INT(($L363-$D$5)/7)&lt;$A$20,$B$20,$D$10),0)))</x:f>
        <x:v>0</x:v>
      </x:c>
      <x:c r="T363" s="116" t="n">
        <x:f>IF($L363&lt;$D$5,"",IF($L363=$D$5,$J$10+$N363-IF($M363,IF(INT(($L363-$D$5)/7)&lt;$A$21,$B$21,$D$10),0),T362+$N363-IF($M363,IF(INT(($L363-$D$5)/7)&lt;$A$21,$B$21,$D$10),0)))</x:f>
        <x:v>0</x:v>
      </x:c>
      <x:c r="U363" s="116" t="n">
        <x:f>IF($L363&lt;$D$5,"",IF($L363=$D$5,$J$10+$N363-IF($M363,IF(INT(($L363-$D$5)/7)&lt;$A$22,$B$22,$D$10),0),U362+$N363-IF($M363,IF(INT(($L363-$D$5)/7)&lt;$A$22,$B$22,$D$10),0)))</x:f>
        <x:v>0</x:v>
      </x:c>
      <x:c r="V363" s="116" t="n">
        <x:f>IF($L363&lt;$D$5,"",IF($L363=$D$5,$J$10+$N363-IF($M363,IF(INT(($L363-$D$5)/7)&lt;$A$23,$B$23,$D$10),0),V362+$N363-IF($M363,IF(INT(($L363-$D$5)/7)&lt;$A$23,$B$23,$D$10),0)))</x:f>
        <x:v>0</x:v>
      </x:c>
      <x:c r="W363" s="116" t="n">
        <x:f>IF($L363&lt;$D$5,"",IF($L363=$D$5,$J$10+$N363-IF($M363,IF(INT(($L363-$D$5)/7)&lt;$A$24,$B$24,$D$10),0),W362+$N363-IF($M363,IF(INT(($L363-$D$5)/7)&lt;$A$24,$B$24,$D$10),0)))</x:f>
        <x:v>0</x:v>
      </x:c>
      <x:c r="X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Y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Z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A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B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C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D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E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F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G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H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I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J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K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L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M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N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O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P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Q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R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S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T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U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V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W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X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Y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AZ363" s="116"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c r="BA363" s="117" t="n">
        <x:f>IF(OR(INDEX('1 Budget annuel'!$A$14:$A$43,COLUMN()-COLUMN($X$42)+1)&lt;&gt;"Oui",INDEX('1 Budget annuel'!$L$14:$L$43,COLUMN()-COLUMN($X$42)+1)="",AND(INDEX('1 Budget annuel'!$B$14:$B$43,COLUMN()-COLUMN($X$42)+1)="Sortie",INDEX('1 Budget annuel'!$M$14:$M$43,COLUMN()-COLUMN($X$42)+1)="Oui"),$L363&lt;INDEX('1 Budget annuel'!$L$14:$L$43,COLUMN()-COLUMN($X$42)+1),$L363&gt;$D$5+363),0,IF(OR(AND(INDEX('1 Budget annuel'!$E$14:$E$43,COLUMN()-COLUMN($X$42)+1)="Hebdomadaire",MOD($L363-INDEX('1 Budget annuel'!$L$14:$L$43,COLUMN()-COLUMN($X$42)+1),7)=0),AND(INDEX('1 Budget annuel'!$E$14:$E$43,COLUMN()-COLUMN($X$42)+1)="Toutes les 4 semaines",MOD($L363-INDEX('1 Budget annuel'!$L$14:$L$43,COLUMN()-COLUMN($X$42)+1),28)=0),AND(INDEX('1 Budget annuel'!$E$14:$E$43,COLUMN()-COLUMN($X$42)+1)="Mensuelle",DAY($L363)=MIN(DAY(INDEX('1 Budget annuel'!$L$14:$L$43,COLUMN()-COLUMN($X$42)+1)),DAY(EOMONTH($L363,0)))),AND(INDEX('1 Budget annuel'!$E$14:$E$43,COLUMN()-COLUMN($X$42)+1)="Trimestrielle",MOD((YEAR($L363)-YEAR(INDEX('1 Budget annuel'!$L$14:$L$43,COLUMN()-COLUMN($X$42)+1)))*12+MONTH($L363)-MONTH(INDEX('1 Budget annuel'!$L$14:$L$43,COLUMN()-COLUMN($X$42)+1)),3)=0,DAY($L363)=MIN(DAY(INDEX('1 Budget annuel'!$L$14:$L$43,COLUMN()-COLUMN($X$42)+1)),DAY(EOMONTH($L363,0)))),AND(INDEX('1 Budget annuel'!$E$14:$E$43,COLUMN()-COLUMN($X$42)+1)="Semestrielle",MOD((YEAR($L363)-YEAR(INDEX('1 Budget annuel'!$L$14:$L$43,COLUMN()-COLUMN($X$42)+1)))*12+MONTH($L363)-MONTH(INDEX('1 Budget annuel'!$L$14:$L$43,COLUMN()-COLUMN($X$42)+1)),6)=0,DAY($L363)=MIN(DAY(INDEX('1 Budget annuel'!$L$14:$L$43,COLUMN()-COLUMN($X$42)+1)),DAY(EOMONTH($L363,0)))),AND(INDEX('1 Budget annuel'!$E$14:$E$43,COLUMN()-COLUMN($X$42)+1)="Annuelle",MOD((YEAR($L363)-YEAR(INDEX('1 Budget annuel'!$L$14:$L$43,COLUMN()-COLUMN($X$42)+1)))*12+MONTH($L363)-MONTH(INDEX('1 Budget annuel'!$L$14:$L$43,COLUMN()-COLUMN($X$42)+1)),12)=0,DAY($L363)=MIN(DAY(INDEX('1 Budget annuel'!$L$14:$L$43,COLUMN()-COLUMN($X$42)+1)),DAY(EOMONTH($L363,0))))),IF(INDEX('1 Budget annuel'!$B$14:$B$43,COLUMN()-COLUMN($X$42)+1)="Entrée",INDEX('1 Budget annuel'!$I$14:$I$43,COLUMN()-COLUMN($X$42)+1),-INDEX('1 Budget annuel'!$I$14:$I$43,COLUMN()-COLUMN($X$42)+1)),0))</x:f>
        <x:v>0</x:v>
      </x:c>
    </x:row>
    <x:row r="364">
      <x:c r="L364" s="114" t="n">
        <x:f>L363+1</x:f>
        <x:v>46558</x:v>
      </x:c>
      <x:c r="M364" s="115" t="b">
        <x:f>AND(L364&gt;=$D$5,L364&lt;=$D$5+363,MOD(L364-$D$5,7)=0)</x:f>
        <x:v>0</x:v>
      </x:c>
      <x:c r="N364" s="116" t="n">
        <x:f>SUM(X364:BA364)</x:f>
        <x:v>0</x:v>
      </x:c>
      <x:c r="O364" s="116" t="n">
        <x:f>IF(M364,$D$10,0)</x:f>
        <x:v>0</x:v>
      </x:c>
      <x:c r="P364" s="116" t="n">
        <x:f>N364-O364</x:f>
        <x:v>0</x:v>
      </x:c>
      <x:c r="Q364" s="116" t="n">
        <x:f>IF(L364&lt;$D$5,0,IF(L364=$D$5,P364,Q363+P364))</x:f>
        <x:v>0</x:v>
      </x:c>
      <x:c r="R364" s="116" t="n">
        <x:f>IF(L364&lt;$D$5,"",$J$10+Q364)</x:f>
        <x:v>0</x:v>
      </x:c>
      <x:c r="S364" s="116" t="n">
        <x:f>IF($L364&lt;$D$5,"",IF($L364=$D$5,$J$10+$N364-IF($M364,IF(INT(($L364-$D$5)/7)&lt;$A$20,$B$20,$D$10),0),S363+$N364-IF($M364,IF(INT(($L364-$D$5)/7)&lt;$A$20,$B$20,$D$10),0)))</x:f>
        <x:v>0</x:v>
      </x:c>
      <x:c r="T364" s="116" t="n">
        <x:f>IF($L364&lt;$D$5,"",IF($L364=$D$5,$J$10+$N364-IF($M364,IF(INT(($L364-$D$5)/7)&lt;$A$21,$B$21,$D$10),0),T363+$N364-IF($M364,IF(INT(($L364-$D$5)/7)&lt;$A$21,$B$21,$D$10),0)))</x:f>
        <x:v>0</x:v>
      </x:c>
      <x:c r="U364" s="116" t="n">
        <x:f>IF($L364&lt;$D$5,"",IF($L364=$D$5,$J$10+$N364-IF($M364,IF(INT(($L364-$D$5)/7)&lt;$A$22,$B$22,$D$10),0),U363+$N364-IF($M364,IF(INT(($L364-$D$5)/7)&lt;$A$22,$B$22,$D$10),0)))</x:f>
        <x:v>0</x:v>
      </x:c>
      <x:c r="V364" s="116" t="n">
        <x:f>IF($L364&lt;$D$5,"",IF($L364=$D$5,$J$10+$N364-IF($M364,IF(INT(($L364-$D$5)/7)&lt;$A$23,$B$23,$D$10),0),V363+$N364-IF($M364,IF(INT(($L364-$D$5)/7)&lt;$A$23,$B$23,$D$10),0)))</x:f>
        <x:v>0</x:v>
      </x:c>
      <x:c r="W364" s="116" t="n">
        <x:f>IF($L364&lt;$D$5,"",IF($L364=$D$5,$J$10+$N364-IF($M364,IF(INT(($L364-$D$5)/7)&lt;$A$24,$B$24,$D$10),0),W363+$N364-IF($M364,IF(INT(($L364-$D$5)/7)&lt;$A$24,$B$24,$D$10),0)))</x:f>
        <x:v>0</x:v>
      </x:c>
      <x:c r="X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Y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Z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A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B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C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D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E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F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G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H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I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J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K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L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M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N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O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P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Q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R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S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T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U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V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W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X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Y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AZ364" s="116"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c r="BA364" s="117" t="n">
        <x:f>IF(OR(INDEX('1 Budget annuel'!$A$14:$A$43,COLUMN()-COLUMN($X$42)+1)&lt;&gt;"Oui",INDEX('1 Budget annuel'!$L$14:$L$43,COLUMN()-COLUMN($X$42)+1)="",AND(INDEX('1 Budget annuel'!$B$14:$B$43,COLUMN()-COLUMN($X$42)+1)="Sortie",INDEX('1 Budget annuel'!$M$14:$M$43,COLUMN()-COLUMN($X$42)+1)="Oui"),$L364&lt;INDEX('1 Budget annuel'!$L$14:$L$43,COLUMN()-COLUMN($X$42)+1),$L364&gt;$D$5+363),0,IF(OR(AND(INDEX('1 Budget annuel'!$E$14:$E$43,COLUMN()-COLUMN($X$42)+1)="Hebdomadaire",MOD($L364-INDEX('1 Budget annuel'!$L$14:$L$43,COLUMN()-COLUMN($X$42)+1),7)=0),AND(INDEX('1 Budget annuel'!$E$14:$E$43,COLUMN()-COLUMN($X$42)+1)="Toutes les 4 semaines",MOD($L364-INDEX('1 Budget annuel'!$L$14:$L$43,COLUMN()-COLUMN($X$42)+1),28)=0),AND(INDEX('1 Budget annuel'!$E$14:$E$43,COLUMN()-COLUMN($X$42)+1)="Mensuelle",DAY($L364)=MIN(DAY(INDEX('1 Budget annuel'!$L$14:$L$43,COLUMN()-COLUMN($X$42)+1)),DAY(EOMONTH($L364,0)))),AND(INDEX('1 Budget annuel'!$E$14:$E$43,COLUMN()-COLUMN($X$42)+1)="Trimestrielle",MOD((YEAR($L364)-YEAR(INDEX('1 Budget annuel'!$L$14:$L$43,COLUMN()-COLUMN($X$42)+1)))*12+MONTH($L364)-MONTH(INDEX('1 Budget annuel'!$L$14:$L$43,COLUMN()-COLUMN($X$42)+1)),3)=0,DAY($L364)=MIN(DAY(INDEX('1 Budget annuel'!$L$14:$L$43,COLUMN()-COLUMN($X$42)+1)),DAY(EOMONTH($L364,0)))),AND(INDEX('1 Budget annuel'!$E$14:$E$43,COLUMN()-COLUMN($X$42)+1)="Semestrielle",MOD((YEAR($L364)-YEAR(INDEX('1 Budget annuel'!$L$14:$L$43,COLUMN()-COLUMN($X$42)+1)))*12+MONTH($L364)-MONTH(INDEX('1 Budget annuel'!$L$14:$L$43,COLUMN()-COLUMN($X$42)+1)),6)=0,DAY($L364)=MIN(DAY(INDEX('1 Budget annuel'!$L$14:$L$43,COLUMN()-COLUMN($X$42)+1)),DAY(EOMONTH($L364,0)))),AND(INDEX('1 Budget annuel'!$E$14:$E$43,COLUMN()-COLUMN($X$42)+1)="Annuelle",MOD((YEAR($L364)-YEAR(INDEX('1 Budget annuel'!$L$14:$L$43,COLUMN()-COLUMN($X$42)+1)))*12+MONTH($L364)-MONTH(INDEX('1 Budget annuel'!$L$14:$L$43,COLUMN()-COLUMN($X$42)+1)),12)=0,DAY($L364)=MIN(DAY(INDEX('1 Budget annuel'!$L$14:$L$43,COLUMN()-COLUMN($X$42)+1)),DAY(EOMONTH($L364,0))))),IF(INDEX('1 Budget annuel'!$B$14:$B$43,COLUMN()-COLUMN($X$42)+1)="Entrée",INDEX('1 Budget annuel'!$I$14:$I$43,COLUMN()-COLUMN($X$42)+1),-INDEX('1 Budget annuel'!$I$14:$I$43,COLUMN()-COLUMN($X$42)+1)),0))</x:f>
        <x:v>0</x:v>
      </x:c>
    </x:row>
    <x:row r="365">
      <x:c r="L365" s="114" t="n">
        <x:f>L364+1</x:f>
        <x:v>46559</x:v>
      </x:c>
      <x:c r="M365" s="115" t="b">
        <x:f>AND(L365&gt;=$D$5,L365&lt;=$D$5+363,MOD(L365-$D$5,7)=0)</x:f>
        <x:v>0</x:v>
      </x:c>
      <x:c r="N365" s="116" t="n">
        <x:f>SUM(X365:BA365)</x:f>
        <x:v>0</x:v>
      </x:c>
      <x:c r="O365" s="116" t="n">
        <x:f>IF(M365,$D$10,0)</x:f>
        <x:v>0</x:v>
      </x:c>
      <x:c r="P365" s="116" t="n">
        <x:f>N365-O365</x:f>
        <x:v>0</x:v>
      </x:c>
      <x:c r="Q365" s="116" t="n">
        <x:f>IF(L365&lt;$D$5,0,IF(L365=$D$5,P365,Q364+P365))</x:f>
        <x:v>0</x:v>
      </x:c>
      <x:c r="R365" s="116" t="n">
        <x:f>IF(L365&lt;$D$5,"",$J$10+Q365)</x:f>
        <x:v>0</x:v>
      </x:c>
      <x:c r="S365" s="116" t="n">
        <x:f>IF($L365&lt;$D$5,"",IF($L365=$D$5,$J$10+$N365-IF($M365,IF(INT(($L365-$D$5)/7)&lt;$A$20,$B$20,$D$10),0),S364+$N365-IF($M365,IF(INT(($L365-$D$5)/7)&lt;$A$20,$B$20,$D$10),0)))</x:f>
        <x:v>0</x:v>
      </x:c>
      <x:c r="T365" s="116" t="n">
        <x:f>IF($L365&lt;$D$5,"",IF($L365=$D$5,$J$10+$N365-IF($M365,IF(INT(($L365-$D$5)/7)&lt;$A$21,$B$21,$D$10),0),T364+$N365-IF($M365,IF(INT(($L365-$D$5)/7)&lt;$A$21,$B$21,$D$10),0)))</x:f>
        <x:v>0</x:v>
      </x:c>
      <x:c r="U365" s="116" t="n">
        <x:f>IF($L365&lt;$D$5,"",IF($L365=$D$5,$J$10+$N365-IF($M365,IF(INT(($L365-$D$5)/7)&lt;$A$22,$B$22,$D$10),0),U364+$N365-IF($M365,IF(INT(($L365-$D$5)/7)&lt;$A$22,$B$22,$D$10),0)))</x:f>
        <x:v>0</x:v>
      </x:c>
      <x:c r="V365" s="116" t="n">
        <x:f>IF($L365&lt;$D$5,"",IF($L365=$D$5,$J$10+$N365-IF($M365,IF(INT(($L365-$D$5)/7)&lt;$A$23,$B$23,$D$10),0),V364+$N365-IF($M365,IF(INT(($L365-$D$5)/7)&lt;$A$23,$B$23,$D$10),0)))</x:f>
        <x:v>0</x:v>
      </x:c>
      <x:c r="W365" s="116" t="n">
        <x:f>IF($L365&lt;$D$5,"",IF($L365=$D$5,$J$10+$N365-IF($M365,IF(INT(($L365-$D$5)/7)&lt;$A$24,$B$24,$D$10),0),W364+$N365-IF($M365,IF(INT(($L365-$D$5)/7)&lt;$A$24,$B$24,$D$10),0)))</x:f>
        <x:v>0</x:v>
      </x:c>
      <x:c r="X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Y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Z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A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B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C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D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E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F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G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H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I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J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K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L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M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N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O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P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Q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R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S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T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U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V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W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X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Y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AZ365" s="116"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c r="BA365" s="117" t="n">
        <x:f>IF(OR(INDEX('1 Budget annuel'!$A$14:$A$43,COLUMN()-COLUMN($X$42)+1)&lt;&gt;"Oui",INDEX('1 Budget annuel'!$L$14:$L$43,COLUMN()-COLUMN($X$42)+1)="",AND(INDEX('1 Budget annuel'!$B$14:$B$43,COLUMN()-COLUMN($X$42)+1)="Sortie",INDEX('1 Budget annuel'!$M$14:$M$43,COLUMN()-COLUMN($X$42)+1)="Oui"),$L365&lt;INDEX('1 Budget annuel'!$L$14:$L$43,COLUMN()-COLUMN($X$42)+1),$L365&gt;$D$5+363),0,IF(OR(AND(INDEX('1 Budget annuel'!$E$14:$E$43,COLUMN()-COLUMN($X$42)+1)="Hebdomadaire",MOD($L365-INDEX('1 Budget annuel'!$L$14:$L$43,COLUMN()-COLUMN($X$42)+1),7)=0),AND(INDEX('1 Budget annuel'!$E$14:$E$43,COLUMN()-COLUMN($X$42)+1)="Toutes les 4 semaines",MOD($L365-INDEX('1 Budget annuel'!$L$14:$L$43,COLUMN()-COLUMN($X$42)+1),28)=0),AND(INDEX('1 Budget annuel'!$E$14:$E$43,COLUMN()-COLUMN($X$42)+1)="Mensuelle",DAY($L365)=MIN(DAY(INDEX('1 Budget annuel'!$L$14:$L$43,COLUMN()-COLUMN($X$42)+1)),DAY(EOMONTH($L365,0)))),AND(INDEX('1 Budget annuel'!$E$14:$E$43,COLUMN()-COLUMN($X$42)+1)="Trimestrielle",MOD((YEAR($L365)-YEAR(INDEX('1 Budget annuel'!$L$14:$L$43,COLUMN()-COLUMN($X$42)+1)))*12+MONTH($L365)-MONTH(INDEX('1 Budget annuel'!$L$14:$L$43,COLUMN()-COLUMN($X$42)+1)),3)=0,DAY($L365)=MIN(DAY(INDEX('1 Budget annuel'!$L$14:$L$43,COLUMN()-COLUMN($X$42)+1)),DAY(EOMONTH($L365,0)))),AND(INDEX('1 Budget annuel'!$E$14:$E$43,COLUMN()-COLUMN($X$42)+1)="Semestrielle",MOD((YEAR($L365)-YEAR(INDEX('1 Budget annuel'!$L$14:$L$43,COLUMN()-COLUMN($X$42)+1)))*12+MONTH($L365)-MONTH(INDEX('1 Budget annuel'!$L$14:$L$43,COLUMN()-COLUMN($X$42)+1)),6)=0,DAY($L365)=MIN(DAY(INDEX('1 Budget annuel'!$L$14:$L$43,COLUMN()-COLUMN($X$42)+1)),DAY(EOMONTH($L365,0)))),AND(INDEX('1 Budget annuel'!$E$14:$E$43,COLUMN()-COLUMN($X$42)+1)="Annuelle",MOD((YEAR($L365)-YEAR(INDEX('1 Budget annuel'!$L$14:$L$43,COLUMN()-COLUMN($X$42)+1)))*12+MONTH($L365)-MONTH(INDEX('1 Budget annuel'!$L$14:$L$43,COLUMN()-COLUMN($X$42)+1)),12)=0,DAY($L365)=MIN(DAY(INDEX('1 Budget annuel'!$L$14:$L$43,COLUMN()-COLUMN($X$42)+1)),DAY(EOMONTH($L365,0))))),IF(INDEX('1 Budget annuel'!$B$14:$B$43,COLUMN()-COLUMN($X$42)+1)="Entrée",INDEX('1 Budget annuel'!$I$14:$I$43,COLUMN()-COLUMN($X$42)+1),-INDEX('1 Budget annuel'!$I$14:$I$43,COLUMN()-COLUMN($X$42)+1)),0))</x:f>
        <x:v>0</x:v>
      </x:c>
    </x:row>
    <x:row r="366">
      <x:c r="L366" s="114" t="n">
        <x:f>L365+1</x:f>
        <x:v>46560</x:v>
      </x:c>
      <x:c r="M366" s="115" t="b">
        <x:f>AND(L366&gt;=$D$5,L366&lt;=$D$5+363,MOD(L366-$D$5,7)=0)</x:f>
        <x:v>0</x:v>
      </x:c>
      <x:c r="N366" s="116" t="n">
        <x:f>SUM(X366:BA366)</x:f>
        <x:v>0</x:v>
      </x:c>
      <x:c r="O366" s="116" t="n">
        <x:f>IF(M366,$D$10,0)</x:f>
        <x:v>0</x:v>
      </x:c>
      <x:c r="P366" s="116" t="n">
        <x:f>N366-O366</x:f>
        <x:v>0</x:v>
      </x:c>
      <x:c r="Q366" s="116" t="n">
        <x:f>IF(L366&lt;$D$5,0,IF(L366=$D$5,P366,Q365+P366))</x:f>
        <x:v>0</x:v>
      </x:c>
      <x:c r="R366" s="116" t="n">
        <x:f>IF(L366&lt;$D$5,"",$J$10+Q366)</x:f>
        <x:v>0</x:v>
      </x:c>
      <x:c r="S366" s="116" t="n">
        <x:f>IF($L366&lt;$D$5,"",IF($L366=$D$5,$J$10+$N366-IF($M366,IF(INT(($L366-$D$5)/7)&lt;$A$20,$B$20,$D$10),0),S365+$N366-IF($M366,IF(INT(($L366-$D$5)/7)&lt;$A$20,$B$20,$D$10),0)))</x:f>
        <x:v>0</x:v>
      </x:c>
      <x:c r="T366" s="116" t="n">
        <x:f>IF($L366&lt;$D$5,"",IF($L366=$D$5,$J$10+$N366-IF($M366,IF(INT(($L366-$D$5)/7)&lt;$A$21,$B$21,$D$10),0),T365+$N366-IF($M366,IF(INT(($L366-$D$5)/7)&lt;$A$21,$B$21,$D$10),0)))</x:f>
        <x:v>0</x:v>
      </x:c>
      <x:c r="U366" s="116" t="n">
        <x:f>IF($L366&lt;$D$5,"",IF($L366=$D$5,$J$10+$N366-IF($M366,IF(INT(($L366-$D$5)/7)&lt;$A$22,$B$22,$D$10),0),U365+$N366-IF($M366,IF(INT(($L366-$D$5)/7)&lt;$A$22,$B$22,$D$10),0)))</x:f>
        <x:v>0</x:v>
      </x:c>
      <x:c r="V366" s="116" t="n">
        <x:f>IF($L366&lt;$D$5,"",IF($L366=$D$5,$J$10+$N366-IF($M366,IF(INT(($L366-$D$5)/7)&lt;$A$23,$B$23,$D$10),0),V365+$N366-IF($M366,IF(INT(($L366-$D$5)/7)&lt;$A$23,$B$23,$D$10),0)))</x:f>
        <x:v>0</x:v>
      </x:c>
      <x:c r="W366" s="116" t="n">
        <x:f>IF($L366&lt;$D$5,"",IF($L366=$D$5,$J$10+$N366-IF($M366,IF(INT(($L366-$D$5)/7)&lt;$A$24,$B$24,$D$10),0),W365+$N366-IF($M366,IF(INT(($L366-$D$5)/7)&lt;$A$24,$B$24,$D$10),0)))</x:f>
        <x:v>0</x:v>
      </x:c>
      <x:c r="X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Y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Z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A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B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C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D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E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F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G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H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I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J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K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L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M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N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O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P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Q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R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S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T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U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V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W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X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Y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AZ366" s="116"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c r="BA366" s="117" t="n">
        <x:f>IF(OR(INDEX('1 Budget annuel'!$A$14:$A$43,COLUMN()-COLUMN($X$42)+1)&lt;&gt;"Oui",INDEX('1 Budget annuel'!$L$14:$L$43,COLUMN()-COLUMN($X$42)+1)="",AND(INDEX('1 Budget annuel'!$B$14:$B$43,COLUMN()-COLUMN($X$42)+1)="Sortie",INDEX('1 Budget annuel'!$M$14:$M$43,COLUMN()-COLUMN($X$42)+1)="Oui"),$L366&lt;INDEX('1 Budget annuel'!$L$14:$L$43,COLUMN()-COLUMN($X$42)+1),$L366&gt;$D$5+363),0,IF(OR(AND(INDEX('1 Budget annuel'!$E$14:$E$43,COLUMN()-COLUMN($X$42)+1)="Hebdomadaire",MOD($L366-INDEX('1 Budget annuel'!$L$14:$L$43,COLUMN()-COLUMN($X$42)+1),7)=0),AND(INDEX('1 Budget annuel'!$E$14:$E$43,COLUMN()-COLUMN($X$42)+1)="Toutes les 4 semaines",MOD($L366-INDEX('1 Budget annuel'!$L$14:$L$43,COLUMN()-COLUMN($X$42)+1),28)=0),AND(INDEX('1 Budget annuel'!$E$14:$E$43,COLUMN()-COLUMN($X$42)+1)="Mensuelle",DAY($L366)=MIN(DAY(INDEX('1 Budget annuel'!$L$14:$L$43,COLUMN()-COLUMN($X$42)+1)),DAY(EOMONTH($L366,0)))),AND(INDEX('1 Budget annuel'!$E$14:$E$43,COLUMN()-COLUMN($X$42)+1)="Trimestrielle",MOD((YEAR($L366)-YEAR(INDEX('1 Budget annuel'!$L$14:$L$43,COLUMN()-COLUMN($X$42)+1)))*12+MONTH($L366)-MONTH(INDEX('1 Budget annuel'!$L$14:$L$43,COLUMN()-COLUMN($X$42)+1)),3)=0,DAY($L366)=MIN(DAY(INDEX('1 Budget annuel'!$L$14:$L$43,COLUMN()-COLUMN($X$42)+1)),DAY(EOMONTH($L366,0)))),AND(INDEX('1 Budget annuel'!$E$14:$E$43,COLUMN()-COLUMN($X$42)+1)="Semestrielle",MOD((YEAR($L366)-YEAR(INDEX('1 Budget annuel'!$L$14:$L$43,COLUMN()-COLUMN($X$42)+1)))*12+MONTH($L366)-MONTH(INDEX('1 Budget annuel'!$L$14:$L$43,COLUMN()-COLUMN($X$42)+1)),6)=0,DAY($L366)=MIN(DAY(INDEX('1 Budget annuel'!$L$14:$L$43,COLUMN()-COLUMN($X$42)+1)),DAY(EOMONTH($L366,0)))),AND(INDEX('1 Budget annuel'!$E$14:$E$43,COLUMN()-COLUMN($X$42)+1)="Annuelle",MOD((YEAR($L366)-YEAR(INDEX('1 Budget annuel'!$L$14:$L$43,COLUMN()-COLUMN($X$42)+1)))*12+MONTH($L366)-MONTH(INDEX('1 Budget annuel'!$L$14:$L$43,COLUMN()-COLUMN($X$42)+1)),12)=0,DAY($L366)=MIN(DAY(INDEX('1 Budget annuel'!$L$14:$L$43,COLUMN()-COLUMN($X$42)+1)),DAY(EOMONTH($L366,0))))),IF(INDEX('1 Budget annuel'!$B$14:$B$43,COLUMN()-COLUMN($X$42)+1)="Entrée",INDEX('1 Budget annuel'!$I$14:$I$43,COLUMN()-COLUMN($X$42)+1),-INDEX('1 Budget annuel'!$I$14:$I$43,COLUMN()-COLUMN($X$42)+1)),0))</x:f>
        <x:v>0</x:v>
      </x:c>
    </x:row>
    <x:row r="367">
      <x:c r="L367" s="114" t="n">
        <x:f>L366+1</x:f>
        <x:v>46561</x:v>
      </x:c>
      <x:c r="M367" s="115" t="b">
        <x:f>AND(L367&gt;=$D$5,L367&lt;=$D$5+363,MOD(L367-$D$5,7)=0)</x:f>
        <x:v>0</x:v>
      </x:c>
      <x:c r="N367" s="116" t="n">
        <x:f>SUM(X367:BA367)</x:f>
        <x:v>0</x:v>
      </x:c>
      <x:c r="O367" s="116" t="n">
        <x:f>IF(M367,$D$10,0)</x:f>
        <x:v>0</x:v>
      </x:c>
      <x:c r="P367" s="116" t="n">
        <x:f>N367-O367</x:f>
        <x:v>0</x:v>
      </x:c>
      <x:c r="Q367" s="116" t="n">
        <x:f>IF(L367&lt;$D$5,0,IF(L367=$D$5,P367,Q366+P367))</x:f>
        <x:v>0</x:v>
      </x:c>
      <x:c r="R367" s="116" t="n">
        <x:f>IF(L367&lt;$D$5,"",$J$10+Q367)</x:f>
        <x:v>0</x:v>
      </x:c>
      <x:c r="S367" s="116" t="n">
        <x:f>IF($L367&lt;$D$5,"",IF($L367=$D$5,$J$10+$N367-IF($M367,IF(INT(($L367-$D$5)/7)&lt;$A$20,$B$20,$D$10),0),S366+$N367-IF($M367,IF(INT(($L367-$D$5)/7)&lt;$A$20,$B$20,$D$10),0)))</x:f>
        <x:v>0</x:v>
      </x:c>
      <x:c r="T367" s="116" t="n">
        <x:f>IF($L367&lt;$D$5,"",IF($L367=$D$5,$J$10+$N367-IF($M367,IF(INT(($L367-$D$5)/7)&lt;$A$21,$B$21,$D$10),0),T366+$N367-IF($M367,IF(INT(($L367-$D$5)/7)&lt;$A$21,$B$21,$D$10),0)))</x:f>
        <x:v>0</x:v>
      </x:c>
      <x:c r="U367" s="116" t="n">
        <x:f>IF($L367&lt;$D$5,"",IF($L367=$D$5,$J$10+$N367-IF($M367,IF(INT(($L367-$D$5)/7)&lt;$A$22,$B$22,$D$10),0),U366+$N367-IF($M367,IF(INT(($L367-$D$5)/7)&lt;$A$22,$B$22,$D$10),0)))</x:f>
        <x:v>0</x:v>
      </x:c>
      <x:c r="V367" s="116" t="n">
        <x:f>IF($L367&lt;$D$5,"",IF($L367=$D$5,$J$10+$N367-IF($M367,IF(INT(($L367-$D$5)/7)&lt;$A$23,$B$23,$D$10),0),V366+$N367-IF($M367,IF(INT(($L367-$D$5)/7)&lt;$A$23,$B$23,$D$10),0)))</x:f>
        <x:v>0</x:v>
      </x:c>
      <x:c r="W367" s="116" t="n">
        <x:f>IF($L367&lt;$D$5,"",IF($L367=$D$5,$J$10+$N367-IF($M367,IF(INT(($L367-$D$5)/7)&lt;$A$24,$B$24,$D$10),0),W366+$N367-IF($M367,IF(INT(($L367-$D$5)/7)&lt;$A$24,$B$24,$D$10),0)))</x:f>
        <x:v>0</x:v>
      </x:c>
      <x:c r="X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Y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Z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A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B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C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D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E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F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G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H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I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J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K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L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M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N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O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P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Q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R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S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T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U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V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W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X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Y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AZ367" s="116"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c r="BA367" s="117" t="n">
        <x:f>IF(OR(INDEX('1 Budget annuel'!$A$14:$A$43,COLUMN()-COLUMN($X$42)+1)&lt;&gt;"Oui",INDEX('1 Budget annuel'!$L$14:$L$43,COLUMN()-COLUMN($X$42)+1)="",AND(INDEX('1 Budget annuel'!$B$14:$B$43,COLUMN()-COLUMN($X$42)+1)="Sortie",INDEX('1 Budget annuel'!$M$14:$M$43,COLUMN()-COLUMN($X$42)+1)="Oui"),$L367&lt;INDEX('1 Budget annuel'!$L$14:$L$43,COLUMN()-COLUMN($X$42)+1),$L367&gt;$D$5+363),0,IF(OR(AND(INDEX('1 Budget annuel'!$E$14:$E$43,COLUMN()-COLUMN($X$42)+1)="Hebdomadaire",MOD($L367-INDEX('1 Budget annuel'!$L$14:$L$43,COLUMN()-COLUMN($X$42)+1),7)=0),AND(INDEX('1 Budget annuel'!$E$14:$E$43,COLUMN()-COLUMN($X$42)+1)="Toutes les 4 semaines",MOD($L367-INDEX('1 Budget annuel'!$L$14:$L$43,COLUMN()-COLUMN($X$42)+1),28)=0),AND(INDEX('1 Budget annuel'!$E$14:$E$43,COLUMN()-COLUMN($X$42)+1)="Mensuelle",DAY($L367)=MIN(DAY(INDEX('1 Budget annuel'!$L$14:$L$43,COLUMN()-COLUMN($X$42)+1)),DAY(EOMONTH($L367,0)))),AND(INDEX('1 Budget annuel'!$E$14:$E$43,COLUMN()-COLUMN($X$42)+1)="Trimestrielle",MOD((YEAR($L367)-YEAR(INDEX('1 Budget annuel'!$L$14:$L$43,COLUMN()-COLUMN($X$42)+1)))*12+MONTH($L367)-MONTH(INDEX('1 Budget annuel'!$L$14:$L$43,COLUMN()-COLUMN($X$42)+1)),3)=0,DAY($L367)=MIN(DAY(INDEX('1 Budget annuel'!$L$14:$L$43,COLUMN()-COLUMN($X$42)+1)),DAY(EOMONTH($L367,0)))),AND(INDEX('1 Budget annuel'!$E$14:$E$43,COLUMN()-COLUMN($X$42)+1)="Semestrielle",MOD((YEAR($L367)-YEAR(INDEX('1 Budget annuel'!$L$14:$L$43,COLUMN()-COLUMN($X$42)+1)))*12+MONTH($L367)-MONTH(INDEX('1 Budget annuel'!$L$14:$L$43,COLUMN()-COLUMN($X$42)+1)),6)=0,DAY($L367)=MIN(DAY(INDEX('1 Budget annuel'!$L$14:$L$43,COLUMN()-COLUMN($X$42)+1)),DAY(EOMONTH($L367,0)))),AND(INDEX('1 Budget annuel'!$E$14:$E$43,COLUMN()-COLUMN($X$42)+1)="Annuelle",MOD((YEAR($L367)-YEAR(INDEX('1 Budget annuel'!$L$14:$L$43,COLUMN()-COLUMN($X$42)+1)))*12+MONTH($L367)-MONTH(INDEX('1 Budget annuel'!$L$14:$L$43,COLUMN()-COLUMN($X$42)+1)),12)=0,DAY($L367)=MIN(DAY(INDEX('1 Budget annuel'!$L$14:$L$43,COLUMN()-COLUMN($X$42)+1)),DAY(EOMONTH($L367,0))))),IF(INDEX('1 Budget annuel'!$B$14:$B$43,COLUMN()-COLUMN($X$42)+1)="Entrée",INDEX('1 Budget annuel'!$I$14:$I$43,COLUMN()-COLUMN($X$42)+1),-INDEX('1 Budget annuel'!$I$14:$I$43,COLUMN()-COLUMN($X$42)+1)),0))</x:f>
        <x:v>0</x:v>
      </x:c>
    </x:row>
    <x:row r="368">
      <x:c r="L368" s="114" t="n">
        <x:f>L367+1</x:f>
        <x:v>46562</x:v>
      </x:c>
      <x:c r="M368" s="115" t="b">
        <x:f>AND(L368&gt;=$D$5,L368&lt;=$D$5+363,MOD(L368-$D$5,7)=0)</x:f>
        <x:v>0</x:v>
      </x:c>
      <x:c r="N368" s="116" t="n">
        <x:f>SUM(X368:BA368)</x:f>
        <x:v>0</x:v>
      </x:c>
      <x:c r="O368" s="116" t="n">
        <x:f>IF(M368,$D$10,0)</x:f>
        <x:v>0</x:v>
      </x:c>
      <x:c r="P368" s="116" t="n">
        <x:f>N368-O368</x:f>
        <x:v>0</x:v>
      </x:c>
      <x:c r="Q368" s="116" t="n">
        <x:f>IF(L368&lt;$D$5,0,IF(L368=$D$5,P368,Q367+P368))</x:f>
        <x:v>0</x:v>
      </x:c>
      <x:c r="R368" s="116" t="n">
        <x:f>IF(L368&lt;$D$5,"",$J$10+Q368)</x:f>
        <x:v>0</x:v>
      </x:c>
      <x:c r="S368" s="116" t="n">
        <x:f>IF($L368&lt;$D$5,"",IF($L368=$D$5,$J$10+$N368-IF($M368,IF(INT(($L368-$D$5)/7)&lt;$A$20,$B$20,$D$10),0),S367+$N368-IF($M368,IF(INT(($L368-$D$5)/7)&lt;$A$20,$B$20,$D$10),0)))</x:f>
        <x:v>0</x:v>
      </x:c>
      <x:c r="T368" s="116" t="n">
        <x:f>IF($L368&lt;$D$5,"",IF($L368=$D$5,$J$10+$N368-IF($M368,IF(INT(($L368-$D$5)/7)&lt;$A$21,$B$21,$D$10),0),T367+$N368-IF($M368,IF(INT(($L368-$D$5)/7)&lt;$A$21,$B$21,$D$10),0)))</x:f>
        <x:v>0</x:v>
      </x:c>
      <x:c r="U368" s="116" t="n">
        <x:f>IF($L368&lt;$D$5,"",IF($L368=$D$5,$J$10+$N368-IF($M368,IF(INT(($L368-$D$5)/7)&lt;$A$22,$B$22,$D$10),0),U367+$N368-IF($M368,IF(INT(($L368-$D$5)/7)&lt;$A$22,$B$22,$D$10),0)))</x:f>
        <x:v>0</x:v>
      </x:c>
      <x:c r="V368" s="116" t="n">
        <x:f>IF($L368&lt;$D$5,"",IF($L368=$D$5,$J$10+$N368-IF($M368,IF(INT(($L368-$D$5)/7)&lt;$A$23,$B$23,$D$10),0),V367+$N368-IF($M368,IF(INT(($L368-$D$5)/7)&lt;$A$23,$B$23,$D$10),0)))</x:f>
        <x:v>0</x:v>
      </x:c>
      <x:c r="W368" s="116" t="n">
        <x:f>IF($L368&lt;$D$5,"",IF($L368=$D$5,$J$10+$N368-IF($M368,IF(INT(($L368-$D$5)/7)&lt;$A$24,$B$24,$D$10),0),W367+$N368-IF($M368,IF(INT(($L368-$D$5)/7)&lt;$A$24,$B$24,$D$10),0)))</x:f>
        <x:v>0</x:v>
      </x:c>
      <x:c r="X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Y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Z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A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B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C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D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E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F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G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H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I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J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K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L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M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N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O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P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Q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R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S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T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U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V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W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X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Y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AZ368" s="116"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c r="BA368" s="117" t="n">
        <x:f>IF(OR(INDEX('1 Budget annuel'!$A$14:$A$43,COLUMN()-COLUMN($X$42)+1)&lt;&gt;"Oui",INDEX('1 Budget annuel'!$L$14:$L$43,COLUMN()-COLUMN($X$42)+1)="",AND(INDEX('1 Budget annuel'!$B$14:$B$43,COLUMN()-COLUMN($X$42)+1)="Sortie",INDEX('1 Budget annuel'!$M$14:$M$43,COLUMN()-COLUMN($X$42)+1)="Oui"),$L368&lt;INDEX('1 Budget annuel'!$L$14:$L$43,COLUMN()-COLUMN($X$42)+1),$L368&gt;$D$5+363),0,IF(OR(AND(INDEX('1 Budget annuel'!$E$14:$E$43,COLUMN()-COLUMN($X$42)+1)="Hebdomadaire",MOD($L368-INDEX('1 Budget annuel'!$L$14:$L$43,COLUMN()-COLUMN($X$42)+1),7)=0),AND(INDEX('1 Budget annuel'!$E$14:$E$43,COLUMN()-COLUMN($X$42)+1)="Toutes les 4 semaines",MOD($L368-INDEX('1 Budget annuel'!$L$14:$L$43,COLUMN()-COLUMN($X$42)+1),28)=0),AND(INDEX('1 Budget annuel'!$E$14:$E$43,COLUMN()-COLUMN($X$42)+1)="Mensuelle",DAY($L368)=MIN(DAY(INDEX('1 Budget annuel'!$L$14:$L$43,COLUMN()-COLUMN($X$42)+1)),DAY(EOMONTH($L368,0)))),AND(INDEX('1 Budget annuel'!$E$14:$E$43,COLUMN()-COLUMN($X$42)+1)="Trimestrielle",MOD((YEAR($L368)-YEAR(INDEX('1 Budget annuel'!$L$14:$L$43,COLUMN()-COLUMN($X$42)+1)))*12+MONTH($L368)-MONTH(INDEX('1 Budget annuel'!$L$14:$L$43,COLUMN()-COLUMN($X$42)+1)),3)=0,DAY($L368)=MIN(DAY(INDEX('1 Budget annuel'!$L$14:$L$43,COLUMN()-COLUMN($X$42)+1)),DAY(EOMONTH($L368,0)))),AND(INDEX('1 Budget annuel'!$E$14:$E$43,COLUMN()-COLUMN($X$42)+1)="Semestrielle",MOD((YEAR($L368)-YEAR(INDEX('1 Budget annuel'!$L$14:$L$43,COLUMN()-COLUMN($X$42)+1)))*12+MONTH($L368)-MONTH(INDEX('1 Budget annuel'!$L$14:$L$43,COLUMN()-COLUMN($X$42)+1)),6)=0,DAY($L368)=MIN(DAY(INDEX('1 Budget annuel'!$L$14:$L$43,COLUMN()-COLUMN($X$42)+1)),DAY(EOMONTH($L368,0)))),AND(INDEX('1 Budget annuel'!$E$14:$E$43,COLUMN()-COLUMN($X$42)+1)="Annuelle",MOD((YEAR($L368)-YEAR(INDEX('1 Budget annuel'!$L$14:$L$43,COLUMN()-COLUMN($X$42)+1)))*12+MONTH($L368)-MONTH(INDEX('1 Budget annuel'!$L$14:$L$43,COLUMN()-COLUMN($X$42)+1)),12)=0,DAY($L368)=MIN(DAY(INDEX('1 Budget annuel'!$L$14:$L$43,COLUMN()-COLUMN($X$42)+1)),DAY(EOMONTH($L368,0))))),IF(INDEX('1 Budget annuel'!$B$14:$B$43,COLUMN()-COLUMN($X$42)+1)="Entrée",INDEX('1 Budget annuel'!$I$14:$I$43,COLUMN()-COLUMN($X$42)+1),-INDEX('1 Budget annuel'!$I$14:$I$43,COLUMN()-COLUMN($X$42)+1)),0))</x:f>
        <x:v>0</x:v>
      </x:c>
    </x:row>
    <x:row r="369">
      <x:c r="L369" s="114" t="n">
        <x:f>L368+1</x:f>
        <x:v>46563</x:v>
      </x:c>
      <x:c r="M369" s="115" t="b">
        <x:f>AND(L369&gt;=$D$5,L369&lt;=$D$5+363,MOD(L369-$D$5,7)=0)</x:f>
        <x:v>0</x:v>
      </x:c>
      <x:c r="N369" s="116" t="n">
        <x:f>SUM(X369:BA369)</x:f>
        <x:v>0</x:v>
      </x:c>
      <x:c r="O369" s="116" t="n">
        <x:f>IF(M369,$D$10,0)</x:f>
        <x:v>0</x:v>
      </x:c>
      <x:c r="P369" s="116" t="n">
        <x:f>N369-O369</x:f>
        <x:v>0</x:v>
      </x:c>
      <x:c r="Q369" s="116" t="n">
        <x:f>IF(L369&lt;$D$5,0,IF(L369=$D$5,P369,Q368+P369))</x:f>
        <x:v>0</x:v>
      </x:c>
      <x:c r="R369" s="116" t="n">
        <x:f>IF(L369&lt;$D$5,"",$J$10+Q369)</x:f>
        <x:v>0</x:v>
      </x:c>
      <x:c r="S369" s="116" t="n">
        <x:f>IF($L369&lt;$D$5,"",IF($L369=$D$5,$J$10+$N369-IF($M369,IF(INT(($L369-$D$5)/7)&lt;$A$20,$B$20,$D$10),0),S368+$N369-IF($M369,IF(INT(($L369-$D$5)/7)&lt;$A$20,$B$20,$D$10),0)))</x:f>
        <x:v>0</x:v>
      </x:c>
      <x:c r="T369" s="116" t="n">
        <x:f>IF($L369&lt;$D$5,"",IF($L369=$D$5,$J$10+$N369-IF($M369,IF(INT(($L369-$D$5)/7)&lt;$A$21,$B$21,$D$10),0),T368+$N369-IF($M369,IF(INT(($L369-$D$5)/7)&lt;$A$21,$B$21,$D$10),0)))</x:f>
        <x:v>0</x:v>
      </x:c>
      <x:c r="U369" s="116" t="n">
        <x:f>IF($L369&lt;$D$5,"",IF($L369=$D$5,$J$10+$N369-IF($M369,IF(INT(($L369-$D$5)/7)&lt;$A$22,$B$22,$D$10),0),U368+$N369-IF($M369,IF(INT(($L369-$D$5)/7)&lt;$A$22,$B$22,$D$10),0)))</x:f>
        <x:v>0</x:v>
      </x:c>
      <x:c r="V369" s="116" t="n">
        <x:f>IF($L369&lt;$D$5,"",IF($L369=$D$5,$J$10+$N369-IF($M369,IF(INT(($L369-$D$5)/7)&lt;$A$23,$B$23,$D$10),0),V368+$N369-IF($M369,IF(INT(($L369-$D$5)/7)&lt;$A$23,$B$23,$D$10),0)))</x:f>
        <x:v>0</x:v>
      </x:c>
      <x:c r="W369" s="116" t="n">
        <x:f>IF($L369&lt;$D$5,"",IF($L369=$D$5,$J$10+$N369-IF($M369,IF(INT(($L369-$D$5)/7)&lt;$A$24,$B$24,$D$10),0),W368+$N369-IF($M369,IF(INT(($L369-$D$5)/7)&lt;$A$24,$B$24,$D$10),0)))</x:f>
        <x:v>0</x:v>
      </x:c>
      <x:c r="X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Y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Z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A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B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C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D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E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F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G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H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I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J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K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L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M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N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O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P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Q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R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S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T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U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V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W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X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Y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AZ369" s="116"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c r="BA369" s="117" t="n">
        <x:f>IF(OR(INDEX('1 Budget annuel'!$A$14:$A$43,COLUMN()-COLUMN($X$42)+1)&lt;&gt;"Oui",INDEX('1 Budget annuel'!$L$14:$L$43,COLUMN()-COLUMN($X$42)+1)="",AND(INDEX('1 Budget annuel'!$B$14:$B$43,COLUMN()-COLUMN($X$42)+1)="Sortie",INDEX('1 Budget annuel'!$M$14:$M$43,COLUMN()-COLUMN($X$42)+1)="Oui"),$L369&lt;INDEX('1 Budget annuel'!$L$14:$L$43,COLUMN()-COLUMN($X$42)+1),$L369&gt;$D$5+363),0,IF(OR(AND(INDEX('1 Budget annuel'!$E$14:$E$43,COLUMN()-COLUMN($X$42)+1)="Hebdomadaire",MOD($L369-INDEX('1 Budget annuel'!$L$14:$L$43,COLUMN()-COLUMN($X$42)+1),7)=0),AND(INDEX('1 Budget annuel'!$E$14:$E$43,COLUMN()-COLUMN($X$42)+1)="Toutes les 4 semaines",MOD($L369-INDEX('1 Budget annuel'!$L$14:$L$43,COLUMN()-COLUMN($X$42)+1),28)=0),AND(INDEX('1 Budget annuel'!$E$14:$E$43,COLUMN()-COLUMN($X$42)+1)="Mensuelle",DAY($L369)=MIN(DAY(INDEX('1 Budget annuel'!$L$14:$L$43,COLUMN()-COLUMN($X$42)+1)),DAY(EOMONTH($L369,0)))),AND(INDEX('1 Budget annuel'!$E$14:$E$43,COLUMN()-COLUMN($X$42)+1)="Trimestrielle",MOD((YEAR($L369)-YEAR(INDEX('1 Budget annuel'!$L$14:$L$43,COLUMN()-COLUMN($X$42)+1)))*12+MONTH($L369)-MONTH(INDEX('1 Budget annuel'!$L$14:$L$43,COLUMN()-COLUMN($X$42)+1)),3)=0,DAY($L369)=MIN(DAY(INDEX('1 Budget annuel'!$L$14:$L$43,COLUMN()-COLUMN($X$42)+1)),DAY(EOMONTH($L369,0)))),AND(INDEX('1 Budget annuel'!$E$14:$E$43,COLUMN()-COLUMN($X$42)+1)="Semestrielle",MOD((YEAR($L369)-YEAR(INDEX('1 Budget annuel'!$L$14:$L$43,COLUMN()-COLUMN($X$42)+1)))*12+MONTH($L369)-MONTH(INDEX('1 Budget annuel'!$L$14:$L$43,COLUMN()-COLUMN($X$42)+1)),6)=0,DAY($L369)=MIN(DAY(INDEX('1 Budget annuel'!$L$14:$L$43,COLUMN()-COLUMN($X$42)+1)),DAY(EOMONTH($L369,0)))),AND(INDEX('1 Budget annuel'!$E$14:$E$43,COLUMN()-COLUMN($X$42)+1)="Annuelle",MOD((YEAR($L369)-YEAR(INDEX('1 Budget annuel'!$L$14:$L$43,COLUMN()-COLUMN($X$42)+1)))*12+MONTH($L369)-MONTH(INDEX('1 Budget annuel'!$L$14:$L$43,COLUMN()-COLUMN($X$42)+1)),12)=0,DAY($L369)=MIN(DAY(INDEX('1 Budget annuel'!$L$14:$L$43,COLUMN()-COLUMN($X$42)+1)),DAY(EOMONTH($L369,0))))),IF(INDEX('1 Budget annuel'!$B$14:$B$43,COLUMN()-COLUMN($X$42)+1)="Entrée",INDEX('1 Budget annuel'!$I$14:$I$43,COLUMN()-COLUMN($X$42)+1),-INDEX('1 Budget annuel'!$I$14:$I$43,COLUMN()-COLUMN($X$42)+1)),0))</x:f>
        <x:v>0</x:v>
      </x:c>
    </x:row>
    <x:row r="370">
      <x:c r="L370" s="114" t="n">
        <x:f>L369+1</x:f>
        <x:v>46564</x:v>
      </x:c>
      <x:c r="M370" s="115" t="b">
        <x:f>AND(L370&gt;=$D$5,L370&lt;=$D$5+363,MOD(L370-$D$5,7)=0)</x:f>
        <x:v>1</x:v>
      </x:c>
      <x:c r="N370" s="116" t="n">
        <x:f>SUM(X370:BA370)</x:f>
        <x:v>0</x:v>
      </x:c>
      <x:c r="O370" s="116" t="n">
        <x:f>IF(M370,$D$10,0)</x:f>
        <x:v>0</x:v>
      </x:c>
      <x:c r="P370" s="116" t="n">
        <x:f>N370-O370</x:f>
        <x:v>0</x:v>
      </x:c>
      <x:c r="Q370" s="116" t="n">
        <x:f>IF(L370&lt;$D$5,0,IF(L370=$D$5,P370,Q369+P370))</x:f>
        <x:v>0</x:v>
      </x:c>
      <x:c r="R370" s="116" t="n">
        <x:f>IF(L370&lt;$D$5,"",$J$10+Q370)</x:f>
        <x:v>0</x:v>
      </x:c>
      <x:c r="S370" s="116" t="n">
        <x:f>IF($L370&lt;$D$5,"",IF($L370=$D$5,$J$10+$N370-IF($M370,IF(INT(($L370-$D$5)/7)&lt;$A$20,$B$20,$D$10),0),S369+$N370-IF($M370,IF(INT(($L370-$D$5)/7)&lt;$A$20,$B$20,$D$10),0)))</x:f>
        <x:v>0</x:v>
      </x:c>
      <x:c r="T370" s="116" t="n">
        <x:f>IF($L370&lt;$D$5,"",IF($L370=$D$5,$J$10+$N370-IF($M370,IF(INT(($L370-$D$5)/7)&lt;$A$21,$B$21,$D$10),0),T369+$N370-IF($M370,IF(INT(($L370-$D$5)/7)&lt;$A$21,$B$21,$D$10),0)))</x:f>
        <x:v>0</x:v>
      </x:c>
      <x:c r="U370" s="116" t="n">
        <x:f>IF($L370&lt;$D$5,"",IF($L370=$D$5,$J$10+$N370-IF($M370,IF(INT(($L370-$D$5)/7)&lt;$A$22,$B$22,$D$10),0),U369+$N370-IF($M370,IF(INT(($L370-$D$5)/7)&lt;$A$22,$B$22,$D$10),0)))</x:f>
        <x:v>0</x:v>
      </x:c>
      <x:c r="V370" s="116" t="n">
        <x:f>IF($L370&lt;$D$5,"",IF($L370=$D$5,$J$10+$N370-IF($M370,IF(INT(($L370-$D$5)/7)&lt;$A$23,$B$23,$D$10),0),V369+$N370-IF($M370,IF(INT(($L370-$D$5)/7)&lt;$A$23,$B$23,$D$10),0)))</x:f>
        <x:v>0</x:v>
      </x:c>
      <x:c r="W370" s="116" t="n">
        <x:f>IF($L370&lt;$D$5,"",IF($L370=$D$5,$J$10+$N370-IF($M370,IF(INT(($L370-$D$5)/7)&lt;$A$24,$B$24,$D$10),0),W369+$N370-IF($M370,IF(INT(($L370-$D$5)/7)&lt;$A$24,$B$24,$D$10),0)))</x:f>
        <x:v>0</x:v>
      </x:c>
      <x:c r="X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Y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Z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A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B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C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D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E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F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G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H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I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J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K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L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M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N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O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P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Q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R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S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T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U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V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W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X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Y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AZ370" s="116"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c r="BA370" s="117" t="n">
        <x:f>IF(OR(INDEX('1 Budget annuel'!$A$14:$A$43,COLUMN()-COLUMN($X$42)+1)&lt;&gt;"Oui",INDEX('1 Budget annuel'!$L$14:$L$43,COLUMN()-COLUMN($X$42)+1)="",AND(INDEX('1 Budget annuel'!$B$14:$B$43,COLUMN()-COLUMN($X$42)+1)="Sortie",INDEX('1 Budget annuel'!$M$14:$M$43,COLUMN()-COLUMN($X$42)+1)="Oui"),$L370&lt;INDEX('1 Budget annuel'!$L$14:$L$43,COLUMN()-COLUMN($X$42)+1),$L370&gt;$D$5+363),0,IF(OR(AND(INDEX('1 Budget annuel'!$E$14:$E$43,COLUMN()-COLUMN($X$42)+1)="Hebdomadaire",MOD($L370-INDEX('1 Budget annuel'!$L$14:$L$43,COLUMN()-COLUMN($X$42)+1),7)=0),AND(INDEX('1 Budget annuel'!$E$14:$E$43,COLUMN()-COLUMN($X$42)+1)="Toutes les 4 semaines",MOD($L370-INDEX('1 Budget annuel'!$L$14:$L$43,COLUMN()-COLUMN($X$42)+1),28)=0),AND(INDEX('1 Budget annuel'!$E$14:$E$43,COLUMN()-COLUMN($X$42)+1)="Mensuelle",DAY($L370)=MIN(DAY(INDEX('1 Budget annuel'!$L$14:$L$43,COLUMN()-COLUMN($X$42)+1)),DAY(EOMONTH($L370,0)))),AND(INDEX('1 Budget annuel'!$E$14:$E$43,COLUMN()-COLUMN($X$42)+1)="Trimestrielle",MOD((YEAR($L370)-YEAR(INDEX('1 Budget annuel'!$L$14:$L$43,COLUMN()-COLUMN($X$42)+1)))*12+MONTH($L370)-MONTH(INDEX('1 Budget annuel'!$L$14:$L$43,COLUMN()-COLUMN($X$42)+1)),3)=0,DAY($L370)=MIN(DAY(INDEX('1 Budget annuel'!$L$14:$L$43,COLUMN()-COLUMN($X$42)+1)),DAY(EOMONTH($L370,0)))),AND(INDEX('1 Budget annuel'!$E$14:$E$43,COLUMN()-COLUMN($X$42)+1)="Semestrielle",MOD((YEAR($L370)-YEAR(INDEX('1 Budget annuel'!$L$14:$L$43,COLUMN()-COLUMN($X$42)+1)))*12+MONTH($L370)-MONTH(INDEX('1 Budget annuel'!$L$14:$L$43,COLUMN()-COLUMN($X$42)+1)),6)=0,DAY($L370)=MIN(DAY(INDEX('1 Budget annuel'!$L$14:$L$43,COLUMN()-COLUMN($X$42)+1)),DAY(EOMONTH($L370,0)))),AND(INDEX('1 Budget annuel'!$E$14:$E$43,COLUMN()-COLUMN($X$42)+1)="Annuelle",MOD((YEAR($L370)-YEAR(INDEX('1 Budget annuel'!$L$14:$L$43,COLUMN()-COLUMN($X$42)+1)))*12+MONTH($L370)-MONTH(INDEX('1 Budget annuel'!$L$14:$L$43,COLUMN()-COLUMN($X$42)+1)),12)=0,DAY($L370)=MIN(DAY(INDEX('1 Budget annuel'!$L$14:$L$43,COLUMN()-COLUMN($X$42)+1)),DAY(EOMONTH($L370,0))))),IF(INDEX('1 Budget annuel'!$B$14:$B$43,COLUMN()-COLUMN($X$42)+1)="Entrée",INDEX('1 Budget annuel'!$I$14:$I$43,COLUMN()-COLUMN($X$42)+1),-INDEX('1 Budget annuel'!$I$14:$I$43,COLUMN()-COLUMN($X$42)+1)),0))</x:f>
        <x:v>0</x:v>
      </x:c>
    </x:row>
    <x:row r="371">
      <x:c r="L371" s="114" t="n">
        <x:f>L370+1</x:f>
        <x:v>46565</x:v>
      </x:c>
      <x:c r="M371" s="115" t="b">
        <x:f>AND(L371&gt;=$D$5,L371&lt;=$D$5+363,MOD(L371-$D$5,7)=0)</x:f>
        <x:v>0</x:v>
      </x:c>
      <x:c r="N371" s="116" t="n">
        <x:f>SUM(X371:BA371)</x:f>
        <x:v>0</x:v>
      </x:c>
      <x:c r="O371" s="116" t="n">
        <x:f>IF(M371,$D$10,0)</x:f>
        <x:v>0</x:v>
      </x:c>
      <x:c r="P371" s="116" t="n">
        <x:f>N371-O371</x:f>
        <x:v>0</x:v>
      </x:c>
      <x:c r="Q371" s="116" t="n">
        <x:f>IF(L371&lt;$D$5,0,IF(L371=$D$5,P371,Q370+P371))</x:f>
        <x:v>0</x:v>
      </x:c>
      <x:c r="R371" s="116" t="n">
        <x:f>IF(L371&lt;$D$5,"",$J$10+Q371)</x:f>
        <x:v>0</x:v>
      </x:c>
      <x:c r="S371" s="116" t="n">
        <x:f>IF($L371&lt;$D$5,"",IF($L371=$D$5,$J$10+$N371-IF($M371,IF(INT(($L371-$D$5)/7)&lt;$A$20,$B$20,$D$10),0),S370+$N371-IF($M371,IF(INT(($L371-$D$5)/7)&lt;$A$20,$B$20,$D$10),0)))</x:f>
        <x:v>0</x:v>
      </x:c>
      <x:c r="T371" s="116" t="n">
        <x:f>IF($L371&lt;$D$5,"",IF($L371=$D$5,$J$10+$N371-IF($M371,IF(INT(($L371-$D$5)/7)&lt;$A$21,$B$21,$D$10),0),T370+$N371-IF($M371,IF(INT(($L371-$D$5)/7)&lt;$A$21,$B$21,$D$10),0)))</x:f>
        <x:v>0</x:v>
      </x:c>
      <x:c r="U371" s="116" t="n">
        <x:f>IF($L371&lt;$D$5,"",IF($L371=$D$5,$J$10+$N371-IF($M371,IF(INT(($L371-$D$5)/7)&lt;$A$22,$B$22,$D$10),0),U370+$N371-IF($M371,IF(INT(($L371-$D$5)/7)&lt;$A$22,$B$22,$D$10),0)))</x:f>
        <x:v>0</x:v>
      </x:c>
      <x:c r="V371" s="116" t="n">
        <x:f>IF($L371&lt;$D$5,"",IF($L371=$D$5,$J$10+$N371-IF($M371,IF(INT(($L371-$D$5)/7)&lt;$A$23,$B$23,$D$10),0),V370+$N371-IF($M371,IF(INT(($L371-$D$5)/7)&lt;$A$23,$B$23,$D$10),0)))</x:f>
        <x:v>0</x:v>
      </x:c>
      <x:c r="W371" s="116" t="n">
        <x:f>IF($L371&lt;$D$5,"",IF($L371=$D$5,$J$10+$N371-IF($M371,IF(INT(($L371-$D$5)/7)&lt;$A$24,$B$24,$D$10),0),W370+$N371-IF($M371,IF(INT(($L371-$D$5)/7)&lt;$A$24,$B$24,$D$10),0)))</x:f>
        <x:v>0</x:v>
      </x:c>
      <x:c r="X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Y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Z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A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B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C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D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E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F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G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H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I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J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K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L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M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N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O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P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Q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R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S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T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U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V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W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X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Y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AZ371" s="116"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c r="BA371" s="117" t="n">
        <x:f>IF(OR(INDEX('1 Budget annuel'!$A$14:$A$43,COLUMN()-COLUMN($X$42)+1)&lt;&gt;"Oui",INDEX('1 Budget annuel'!$L$14:$L$43,COLUMN()-COLUMN($X$42)+1)="",AND(INDEX('1 Budget annuel'!$B$14:$B$43,COLUMN()-COLUMN($X$42)+1)="Sortie",INDEX('1 Budget annuel'!$M$14:$M$43,COLUMN()-COLUMN($X$42)+1)="Oui"),$L371&lt;INDEX('1 Budget annuel'!$L$14:$L$43,COLUMN()-COLUMN($X$42)+1),$L371&gt;$D$5+363),0,IF(OR(AND(INDEX('1 Budget annuel'!$E$14:$E$43,COLUMN()-COLUMN($X$42)+1)="Hebdomadaire",MOD($L371-INDEX('1 Budget annuel'!$L$14:$L$43,COLUMN()-COLUMN($X$42)+1),7)=0),AND(INDEX('1 Budget annuel'!$E$14:$E$43,COLUMN()-COLUMN($X$42)+1)="Toutes les 4 semaines",MOD($L371-INDEX('1 Budget annuel'!$L$14:$L$43,COLUMN()-COLUMN($X$42)+1),28)=0),AND(INDEX('1 Budget annuel'!$E$14:$E$43,COLUMN()-COLUMN($X$42)+1)="Mensuelle",DAY($L371)=MIN(DAY(INDEX('1 Budget annuel'!$L$14:$L$43,COLUMN()-COLUMN($X$42)+1)),DAY(EOMONTH($L371,0)))),AND(INDEX('1 Budget annuel'!$E$14:$E$43,COLUMN()-COLUMN($X$42)+1)="Trimestrielle",MOD((YEAR($L371)-YEAR(INDEX('1 Budget annuel'!$L$14:$L$43,COLUMN()-COLUMN($X$42)+1)))*12+MONTH($L371)-MONTH(INDEX('1 Budget annuel'!$L$14:$L$43,COLUMN()-COLUMN($X$42)+1)),3)=0,DAY($L371)=MIN(DAY(INDEX('1 Budget annuel'!$L$14:$L$43,COLUMN()-COLUMN($X$42)+1)),DAY(EOMONTH($L371,0)))),AND(INDEX('1 Budget annuel'!$E$14:$E$43,COLUMN()-COLUMN($X$42)+1)="Semestrielle",MOD((YEAR($L371)-YEAR(INDEX('1 Budget annuel'!$L$14:$L$43,COLUMN()-COLUMN($X$42)+1)))*12+MONTH($L371)-MONTH(INDEX('1 Budget annuel'!$L$14:$L$43,COLUMN()-COLUMN($X$42)+1)),6)=0,DAY($L371)=MIN(DAY(INDEX('1 Budget annuel'!$L$14:$L$43,COLUMN()-COLUMN($X$42)+1)),DAY(EOMONTH($L371,0)))),AND(INDEX('1 Budget annuel'!$E$14:$E$43,COLUMN()-COLUMN($X$42)+1)="Annuelle",MOD((YEAR($L371)-YEAR(INDEX('1 Budget annuel'!$L$14:$L$43,COLUMN()-COLUMN($X$42)+1)))*12+MONTH($L371)-MONTH(INDEX('1 Budget annuel'!$L$14:$L$43,COLUMN()-COLUMN($X$42)+1)),12)=0,DAY($L371)=MIN(DAY(INDEX('1 Budget annuel'!$L$14:$L$43,COLUMN()-COLUMN($X$42)+1)),DAY(EOMONTH($L371,0))))),IF(INDEX('1 Budget annuel'!$B$14:$B$43,COLUMN()-COLUMN($X$42)+1)="Entrée",INDEX('1 Budget annuel'!$I$14:$I$43,COLUMN()-COLUMN($X$42)+1),-INDEX('1 Budget annuel'!$I$14:$I$43,COLUMN()-COLUMN($X$42)+1)),0))</x:f>
        <x:v>0</x:v>
      </x:c>
    </x:row>
    <x:row r="372">
      <x:c r="L372" s="114" t="n">
        <x:f>L371+1</x:f>
        <x:v>46566</x:v>
      </x:c>
      <x:c r="M372" s="115" t="b">
        <x:f>AND(L372&gt;=$D$5,L372&lt;=$D$5+363,MOD(L372-$D$5,7)=0)</x:f>
        <x:v>0</x:v>
      </x:c>
      <x:c r="N372" s="116" t="n">
        <x:f>SUM(X372:BA372)</x:f>
        <x:v>0</x:v>
      </x:c>
      <x:c r="O372" s="116" t="n">
        <x:f>IF(M372,$D$10,0)</x:f>
        <x:v>0</x:v>
      </x:c>
      <x:c r="P372" s="116" t="n">
        <x:f>N372-O372</x:f>
        <x:v>0</x:v>
      </x:c>
      <x:c r="Q372" s="116" t="n">
        <x:f>IF(L372&lt;$D$5,0,IF(L372=$D$5,P372,Q371+P372))</x:f>
        <x:v>0</x:v>
      </x:c>
      <x:c r="R372" s="116" t="n">
        <x:f>IF(L372&lt;$D$5,"",$J$10+Q372)</x:f>
        <x:v>0</x:v>
      </x:c>
      <x:c r="S372" s="116" t="n">
        <x:f>IF($L372&lt;$D$5,"",IF($L372=$D$5,$J$10+$N372-IF($M372,IF(INT(($L372-$D$5)/7)&lt;$A$20,$B$20,$D$10),0),S371+$N372-IF($M372,IF(INT(($L372-$D$5)/7)&lt;$A$20,$B$20,$D$10),0)))</x:f>
        <x:v>0</x:v>
      </x:c>
      <x:c r="T372" s="116" t="n">
        <x:f>IF($L372&lt;$D$5,"",IF($L372=$D$5,$J$10+$N372-IF($M372,IF(INT(($L372-$D$5)/7)&lt;$A$21,$B$21,$D$10),0),T371+$N372-IF($M372,IF(INT(($L372-$D$5)/7)&lt;$A$21,$B$21,$D$10),0)))</x:f>
        <x:v>0</x:v>
      </x:c>
      <x:c r="U372" s="116" t="n">
        <x:f>IF($L372&lt;$D$5,"",IF($L372=$D$5,$J$10+$N372-IF($M372,IF(INT(($L372-$D$5)/7)&lt;$A$22,$B$22,$D$10),0),U371+$N372-IF($M372,IF(INT(($L372-$D$5)/7)&lt;$A$22,$B$22,$D$10),0)))</x:f>
        <x:v>0</x:v>
      </x:c>
      <x:c r="V372" s="116" t="n">
        <x:f>IF($L372&lt;$D$5,"",IF($L372=$D$5,$J$10+$N372-IF($M372,IF(INT(($L372-$D$5)/7)&lt;$A$23,$B$23,$D$10),0),V371+$N372-IF($M372,IF(INT(($L372-$D$5)/7)&lt;$A$23,$B$23,$D$10),0)))</x:f>
        <x:v>0</x:v>
      </x:c>
      <x:c r="W372" s="116" t="n">
        <x:f>IF($L372&lt;$D$5,"",IF($L372=$D$5,$J$10+$N372-IF($M372,IF(INT(($L372-$D$5)/7)&lt;$A$24,$B$24,$D$10),0),W371+$N372-IF($M372,IF(INT(($L372-$D$5)/7)&lt;$A$24,$B$24,$D$10),0)))</x:f>
        <x:v>0</x:v>
      </x:c>
      <x:c r="X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Y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Z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A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B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C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D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E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F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G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H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I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J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K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L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M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N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O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P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Q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R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S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T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U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V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W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X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Y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AZ372" s="116"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c r="BA372" s="117" t="n">
        <x:f>IF(OR(INDEX('1 Budget annuel'!$A$14:$A$43,COLUMN()-COLUMN($X$42)+1)&lt;&gt;"Oui",INDEX('1 Budget annuel'!$L$14:$L$43,COLUMN()-COLUMN($X$42)+1)="",AND(INDEX('1 Budget annuel'!$B$14:$B$43,COLUMN()-COLUMN($X$42)+1)="Sortie",INDEX('1 Budget annuel'!$M$14:$M$43,COLUMN()-COLUMN($X$42)+1)="Oui"),$L372&lt;INDEX('1 Budget annuel'!$L$14:$L$43,COLUMN()-COLUMN($X$42)+1),$L372&gt;$D$5+363),0,IF(OR(AND(INDEX('1 Budget annuel'!$E$14:$E$43,COLUMN()-COLUMN($X$42)+1)="Hebdomadaire",MOD($L372-INDEX('1 Budget annuel'!$L$14:$L$43,COLUMN()-COLUMN($X$42)+1),7)=0),AND(INDEX('1 Budget annuel'!$E$14:$E$43,COLUMN()-COLUMN($X$42)+1)="Toutes les 4 semaines",MOD($L372-INDEX('1 Budget annuel'!$L$14:$L$43,COLUMN()-COLUMN($X$42)+1),28)=0),AND(INDEX('1 Budget annuel'!$E$14:$E$43,COLUMN()-COLUMN($X$42)+1)="Mensuelle",DAY($L372)=MIN(DAY(INDEX('1 Budget annuel'!$L$14:$L$43,COLUMN()-COLUMN($X$42)+1)),DAY(EOMONTH($L372,0)))),AND(INDEX('1 Budget annuel'!$E$14:$E$43,COLUMN()-COLUMN($X$42)+1)="Trimestrielle",MOD((YEAR($L372)-YEAR(INDEX('1 Budget annuel'!$L$14:$L$43,COLUMN()-COLUMN($X$42)+1)))*12+MONTH($L372)-MONTH(INDEX('1 Budget annuel'!$L$14:$L$43,COLUMN()-COLUMN($X$42)+1)),3)=0,DAY($L372)=MIN(DAY(INDEX('1 Budget annuel'!$L$14:$L$43,COLUMN()-COLUMN($X$42)+1)),DAY(EOMONTH($L372,0)))),AND(INDEX('1 Budget annuel'!$E$14:$E$43,COLUMN()-COLUMN($X$42)+1)="Semestrielle",MOD((YEAR($L372)-YEAR(INDEX('1 Budget annuel'!$L$14:$L$43,COLUMN()-COLUMN($X$42)+1)))*12+MONTH($L372)-MONTH(INDEX('1 Budget annuel'!$L$14:$L$43,COLUMN()-COLUMN($X$42)+1)),6)=0,DAY($L372)=MIN(DAY(INDEX('1 Budget annuel'!$L$14:$L$43,COLUMN()-COLUMN($X$42)+1)),DAY(EOMONTH($L372,0)))),AND(INDEX('1 Budget annuel'!$E$14:$E$43,COLUMN()-COLUMN($X$42)+1)="Annuelle",MOD((YEAR($L372)-YEAR(INDEX('1 Budget annuel'!$L$14:$L$43,COLUMN()-COLUMN($X$42)+1)))*12+MONTH($L372)-MONTH(INDEX('1 Budget annuel'!$L$14:$L$43,COLUMN()-COLUMN($X$42)+1)),12)=0,DAY($L372)=MIN(DAY(INDEX('1 Budget annuel'!$L$14:$L$43,COLUMN()-COLUMN($X$42)+1)),DAY(EOMONTH($L372,0))))),IF(INDEX('1 Budget annuel'!$B$14:$B$43,COLUMN()-COLUMN($X$42)+1)="Entrée",INDEX('1 Budget annuel'!$I$14:$I$43,COLUMN()-COLUMN($X$42)+1),-INDEX('1 Budget annuel'!$I$14:$I$43,COLUMN()-COLUMN($X$42)+1)),0))</x:f>
        <x:v>0</x:v>
      </x:c>
    </x:row>
    <x:row r="373">
      <x:c r="L373" s="114" t="n">
        <x:f>L372+1</x:f>
        <x:v>46567</x:v>
      </x:c>
      <x:c r="M373" s="115" t="b">
        <x:f>AND(L373&gt;=$D$5,L373&lt;=$D$5+363,MOD(L373-$D$5,7)=0)</x:f>
        <x:v>0</x:v>
      </x:c>
      <x:c r="N373" s="116" t="n">
        <x:f>SUM(X373:BA373)</x:f>
        <x:v>0</x:v>
      </x:c>
      <x:c r="O373" s="116" t="n">
        <x:f>IF(M373,$D$10,0)</x:f>
        <x:v>0</x:v>
      </x:c>
      <x:c r="P373" s="116" t="n">
        <x:f>N373-O373</x:f>
        <x:v>0</x:v>
      </x:c>
      <x:c r="Q373" s="116" t="n">
        <x:f>IF(L373&lt;$D$5,0,IF(L373=$D$5,P373,Q372+P373))</x:f>
        <x:v>0</x:v>
      </x:c>
      <x:c r="R373" s="116" t="n">
        <x:f>IF(L373&lt;$D$5,"",$J$10+Q373)</x:f>
        <x:v>0</x:v>
      </x:c>
      <x:c r="S373" s="116" t="n">
        <x:f>IF($L373&lt;$D$5,"",IF($L373=$D$5,$J$10+$N373-IF($M373,IF(INT(($L373-$D$5)/7)&lt;$A$20,$B$20,$D$10),0),S372+$N373-IF($M373,IF(INT(($L373-$D$5)/7)&lt;$A$20,$B$20,$D$10),0)))</x:f>
        <x:v>0</x:v>
      </x:c>
      <x:c r="T373" s="116" t="n">
        <x:f>IF($L373&lt;$D$5,"",IF($L373=$D$5,$J$10+$N373-IF($M373,IF(INT(($L373-$D$5)/7)&lt;$A$21,$B$21,$D$10),0),T372+$N373-IF($M373,IF(INT(($L373-$D$5)/7)&lt;$A$21,$B$21,$D$10),0)))</x:f>
        <x:v>0</x:v>
      </x:c>
      <x:c r="U373" s="116" t="n">
        <x:f>IF($L373&lt;$D$5,"",IF($L373=$D$5,$J$10+$N373-IF($M373,IF(INT(($L373-$D$5)/7)&lt;$A$22,$B$22,$D$10),0),U372+$N373-IF($M373,IF(INT(($L373-$D$5)/7)&lt;$A$22,$B$22,$D$10),0)))</x:f>
        <x:v>0</x:v>
      </x:c>
      <x:c r="V373" s="116" t="n">
        <x:f>IF($L373&lt;$D$5,"",IF($L373=$D$5,$J$10+$N373-IF($M373,IF(INT(($L373-$D$5)/7)&lt;$A$23,$B$23,$D$10),0),V372+$N373-IF($M373,IF(INT(($L373-$D$5)/7)&lt;$A$23,$B$23,$D$10),0)))</x:f>
        <x:v>0</x:v>
      </x:c>
      <x:c r="W373" s="116" t="n">
        <x:f>IF($L373&lt;$D$5,"",IF($L373=$D$5,$J$10+$N373-IF($M373,IF(INT(($L373-$D$5)/7)&lt;$A$24,$B$24,$D$10),0),W372+$N373-IF($M373,IF(INT(($L373-$D$5)/7)&lt;$A$24,$B$24,$D$10),0)))</x:f>
        <x:v>0</x:v>
      </x:c>
      <x:c r="X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Y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Z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A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B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C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D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E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F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G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H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I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J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K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L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M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N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O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P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Q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R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S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T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U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V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W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X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Y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AZ373" s="116"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c r="BA373" s="117" t="n">
        <x:f>IF(OR(INDEX('1 Budget annuel'!$A$14:$A$43,COLUMN()-COLUMN($X$42)+1)&lt;&gt;"Oui",INDEX('1 Budget annuel'!$L$14:$L$43,COLUMN()-COLUMN($X$42)+1)="",AND(INDEX('1 Budget annuel'!$B$14:$B$43,COLUMN()-COLUMN($X$42)+1)="Sortie",INDEX('1 Budget annuel'!$M$14:$M$43,COLUMN()-COLUMN($X$42)+1)="Oui"),$L373&lt;INDEX('1 Budget annuel'!$L$14:$L$43,COLUMN()-COLUMN($X$42)+1),$L373&gt;$D$5+363),0,IF(OR(AND(INDEX('1 Budget annuel'!$E$14:$E$43,COLUMN()-COLUMN($X$42)+1)="Hebdomadaire",MOD($L373-INDEX('1 Budget annuel'!$L$14:$L$43,COLUMN()-COLUMN($X$42)+1),7)=0),AND(INDEX('1 Budget annuel'!$E$14:$E$43,COLUMN()-COLUMN($X$42)+1)="Toutes les 4 semaines",MOD($L373-INDEX('1 Budget annuel'!$L$14:$L$43,COLUMN()-COLUMN($X$42)+1),28)=0),AND(INDEX('1 Budget annuel'!$E$14:$E$43,COLUMN()-COLUMN($X$42)+1)="Mensuelle",DAY($L373)=MIN(DAY(INDEX('1 Budget annuel'!$L$14:$L$43,COLUMN()-COLUMN($X$42)+1)),DAY(EOMONTH($L373,0)))),AND(INDEX('1 Budget annuel'!$E$14:$E$43,COLUMN()-COLUMN($X$42)+1)="Trimestrielle",MOD((YEAR($L373)-YEAR(INDEX('1 Budget annuel'!$L$14:$L$43,COLUMN()-COLUMN($X$42)+1)))*12+MONTH($L373)-MONTH(INDEX('1 Budget annuel'!$L$14:$L$43,COLUMN()-COLUMN($X$42)+1)),3)=0,DAY($L373)=MIN(DAY(INDEX('1 Budget annuel'!$L$14:$L$43,COLUMN()-COLUMN($X$42)+1)),DAY(EOMONTH($L373,0)))),AND(INDEX('1 Budget annuel'!$E$14:$E$43,COLUMN()-COLUMN($X$42)+1)="Semestrielle",MOD((YEAR($L373)-YEAR(INDEX('1 Budget annuel'!$L$14:$L$43,COLUMN()-COLUMN($X$42)+1)))*12+MONTH($L373)-MONTH(INDEX('1 Budget annuel'!$L$14:$L$43,COLUMN()-COLUMN($X$42)+1)),6)=0,DAY($L373)=MIN(DAY(INDEX('1 Budget annuel'!$L$14:$L$43,COLUMN()-COLUMN($X$42)+1)),DAY(EOMONTH($L373,0)))),AND(INDEX('1 Budget annuel'!$E$14:$E$43,COLUMN()-COLUMN($X$42)+1)="Annuelle",MOD((YEAR($L373)-YEAR(INDEX('1 Budget annuel'!$L$14:$L$43,COLUMN()-COLUMN($X$42)+1)))*12+MONTH($L373)-MONTH(INDEX('1 Budget annuel'!$L$14:$L$43,COLUMN()-COLUMN($X$42)+1)),12)=0,DAY($L373)=MIN(DAY(INDEX('1 Budget annuel'!$L$14:$L$43,COLUMN()-COLUMN($X$42)+1)),DAY(EOMONTH($L373,0))))),IF(INDEX('1 Budget annuel'!$B$14:$B$43,COLUMN()-COLUMN($X$42)+1)="Entrée",INDEX('1 Budget annuel'!$I$14:$I$43,COLUMN()-COLUMN($X$42)+1),-INDEX('1 Budget annuel'!$I$14:$I$43,COLUMN()-COLUMN($X$42)+1)),0))</x:f>
        <x:v>0</x:v>
      </x:c>
    </x:row>
    <x:row r="374">
      <x:c r="L374" s="114" t="n">
        <x:f>L373+1</x:f>
        <x:v>46568</x:v>
      </x:c>
      <x:c r="M374" s="115" t="b">
        <x:f>AND(L374&gt;=$D$5,L374&lt;=$D$5+363,MOD(L374-$D$5,7)=0)</x:f>
        <x:v>0</x:v>
      </x:c>
      <x:c r="N374" s="116" t="n">
        <x:f>SUM(X374:BA374)</x:f>
        <x:v>0</x:v>
      </x:c>
      <x:c r="O374" s="116" t="n">
        <x:f>IF(M374,$D$10,0)</x:f>
        <x:v>0</x:v>
      </x:c>
      <x:c r="P374" s="116" t="n">
        <x:f>N374-O374</x:f>
        <x:v>0</x:v>
      </x:c>
      <x:c r="Q374" s="116" t="n">
        <x:f>IF(L374&lt;$D$5,0,IF(L374=$D$5,P374,Q373+P374))</x:f>
        <x:v>0</x:v>
      </x:c>
      <x:c r="R374" s="116" t="n">
        <x:f>IF(L374&lt;$D$5,"",$J$10+Q374)</x:f>
        <x:v>0</x:v>
      </x:c>
      <x:c r="S374" s="116" t="n">
        <x:f>IF($L374&lt;$D$5,"",IF($L374=$D$5,$J$10+$N374-IF($M374,IF(INT(($L374-$D$5)/7)&lt;$A$20,$B$20,$D$10),0),S373+$N374-IF($M374,IF(INT(($L374-$D$5)/7)&lt;$A$20,$B$20,$D$10),0)))</x:f>
        <x:v>0</x:v>
      </x:c>
      <x:c r="T374" s="116" t="n">
        <x:f>IF($L374&lt;$D$5,"",IF($L374=$D$5,$J$10+$N374-IF($M374,IF(INT(($L374-$D$5)/7)&lt;$A$21,$B$21,$D$10),0),T373+$N374-IF($M374,IF(INT(($L374-$D$5)/7)&lt;$A$21,$B$21,$D$10),0)))</x:f>
        <x:v>0</x:v>
      </x:c>
      <x:c r="U374" s="116" t="n">
        <x:f>IF($L374&lt;$D$5,"",IF($L374=$D$5,$J$10+$N374-IF($M374,IF(INT(($L374-$D$5)/7)&lt;$A$22,$B$22,$D$10),0),U373+$N374-IF($M374,IF(INT(($L374-$D$5)/7)&lt;$A$22,$B$22,$D$10),0)))</x:f>
        <x:v>0</x:v>
      </x:c>
      <x:c r="V374" s="116" t="n">
        <x:f>IF($L374&lt;$D$5,"",IF($L374=$D$5,$J$10+$N374-IF($M374,IF(INT(($L374-$D$5)/7)&lt;$A$23,$B$23,$D$10),0),V373+$N374-IF($M374,IF(INT(($L374-$D$5)/7)&lt;$A$23,$B$23,$D$10),0)))</x:f>
        <x:v>0</x:v>
      </x:c>
      <x:c r="W374" s="116" t="n">
        <x:f>IF($L374&lt;$D$5,"",IF($L374=$D$5,$J$10+$N374-IF($M374,IF(INT(($L374-$D$5)/7)&lt;$A$24,$B$24,$D$10),0),W373+$N374-IF($M374,IF(INT(($L374-$D$5)/7)&lt;$A$24,$B$24,$D$10),0)))</x:f>
        <x:v>0</x:v>
      </x:c>
      <x:c r="X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Y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Z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A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B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C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D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E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F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G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H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I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J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K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L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M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N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O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P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Q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R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S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T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U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V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W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X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Y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AZ374" s="116"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c r="BA374" s="117" t="n">
        <x:f>IF(OR(INDEX('1 Budget annuel'!$A$14:$A$43,COLUMN()-COLUMN($X$42)+1)&lt;&gt;"Oui",INDEX('1 Budget annuel'!$L$14:$L$43,COLUMN()-COLUMN($X$42)+1)="",AND(INDEX('1 Budget annuel'!$B$14:$B$43,COLUMN()-COLUMN($X$42)+1)="Sortie",INDEX('1 Budget annuel'!$M$14:$M$43,COLUMN()-COLUMN($X$42)+1)="Oui"),$L374&lt;INDEX('1 Budget annuel'!$L$14:$L$43,COLUMN()-COLUMN($X$42)+1),$L374&gt;$D$5+363),0,IF(OR(AND(INDEX('1 Budget annuel'!$E$14:$E$43,COLUMN()-COLUMN($X$42)+1)="Hebdomadaire",MOD($L374-INDEX('1 Budget annuel'!$L$14:$L$43,COLUMN()-COLUMN($X$42)+1),7)=0),AND(INDEX('1 Budget annuel'!$E$14:$E$43,COLUMN()-COLUMN($X$42)+1)="Toutes les 4 semaines",MOD($L374-INDEX('1 Budget annuel'!$L$14:$L$43,COLUMN()-COLUMN($X$42)+1),28)=0),AND(INDEX('1 Budget annuel'!$E$14:$E$43,COLUMN()-COLUMN($X$42)+1)="Mensuelle",DAY($L374)=MIN(DAY(INDEX('1 Budget annuel'!$L$14:$L$43,COLUMN()-COLUMN($X$42)+1)),DAY(EOMONTH($L374,0)))),AND(INDEX('1 Budget annuel'!$E$14:$E$43,COLUMN()-COLUMN($X$42)+1)="Trimestrielle",MOD((YEAR($L374)-YEAR(INDEX('1 Budget annuel'!$L$14:$L$43,COLUMN()-COLUMN($X$42)+1)))*12+MONTH($L374)-MONTH(INDEX('1 Budget annuel'!$L$14:$L$43,COLUMN()-COLUMN($X$42)+1)),3)=0,DAY($L374)=MIN(DAY(INDEX('1 Budget annuel'!$L$14:$L$43,COLUMN()-COLUMN($X$42)+1)),DAY(EOMONTH($L374,0)))),AND(INDEX('1 Budget annuel'!$E$14:$E$43,COLUMN()-COLUMN($X$42)+1)="Semestrielle",MOD((YEAR($L374)-YEAR(INDEX('1 Budget annuel'!$L$14:$L$43,COLUMN()-COLUMN($X$42)+1)))*12+MONTH($L374)-MONTH(INDEX('1 Budget annuel'!$L$14:$L$43,COLUMN()-COLUMN($X$42)+1)),6)=0,DAY($L374)=MIN(DAY(INDEX('1 Budget annuel'!$L$14:$L$43,COLUMN()-COLUMN($X$42)+1)),DAY(EOMONTH($L374,0)))),AND(INDEX('1 Budget annuel'!$E$14:$E$43,COLUMN()-COLUMN($X$42)+1)="Annuelle",MOD((YEAR($L374)-YEAR(INDEX('1 Budget annuel'!$L$14:$L$43,COLUMN()-COLUMN($X$42)+1)))*12+MONTH($L374)-MONTH(INDEX('1 Budget annuel'!$L$14:$L$43,COLUMN()-COLUMN($X$42)+1)),12)=0,DAY($L374)=MIN(DAY(INDEX('1 Budget annuel'!$L$14:$L$43,COLUMN()-COLUMN($X$42)+1)),DAY(EOMONTH($L374,0))))),IF(INDEX('1 Budget annuel'!$B$14:$B$43,COLUMN()-COLUMN($X$42)+1)="Entrée",INDEX('1 Budget annuel'!$I$14:$I$43,COLUMN()-COLUMN($X$42)+1),-INDEX('1 Budget annuel'!$I$14:$I$43,COLUMN()-COLUMN($X$42)+1)),0))</x:f>
        <x:v>0</x:v>
      </x:c>
    </x:row>
    <x:row r="375">
      <x:c r="L375" s="114" t="n">
        <x:f>L374+1</x:f>
        <x:v>46569</x:v>
      </x:c>
      <x:c r="M375" s="115" t="b">
        <x:f>AND(L375&gt;=$D$5,L375&lt;=$D$5+363,MOD(L375-$D$5,7)=0)</x:f>
        <x:v>0</x:v>
      </x:c>
      <x:c r="N375" s="116" t="n">
        <x:f>SUM(X375:BA375)</x:f>
        <x:v>0</x:v>
      </x:c>
      <x:c r="O375" s="116" t="n">
        <x:f>IF(M375,$D$10,0)</x:f>
        <x:v>0</x:v>
      </x:c>
      <x:c r="P375" s="116" t="n">
        <x:f>N375-O375</x:f>
        <x:v>0</x:v>
      </x:c>
      <x:c r="Q375" s="116" t="n">
        <x:f>IF(L375&lt;$D$5,0,IF(L375=$D$5,P375,Q374+P375))</x:f>
        <x:v>0</x:v>
      </x:c>
      <x:c r="R375" s="116" t="n">
        <x:f>IF(L375&lt;$D$5,"",$J$10+Q375)</x:f>
        <x:v>0</x:v>
      </x:c>
      <x:c r="S375" s="116" t="n">
        <x:f>IF($L375&lt;$D$5,"",IF($L375=$D$5,$J$10+$N375-IF($M375,IF(INT(($L375-$D$5)/7)&lt;$A$20,$B$20,$D$10),0),S374+$N375-IF($M375,IF(INT(($L375-$D$5)/7)&lt;$A$20,$B$20,$D$10),0)))</x:f>
        <x:v>0</x:v>
      </x:c>
      <x:c r="T375" s="116" t="n">
        <x:f>IF($L375&lt;$D$5,"",IF($L375=$D$5,$J$10+$N375-IF($M375,IF(INT(($L375-$D$5)/7)&lt;$A$21,$B$21,$D$10),0),T374+$N375-IF($M375,IF(INT(($L375-$D$5)/7)&lt;$A$21,$B$21,$D$10),0)))</x:f>
        <x:v>0</x:v>
      </x:c>
      <x:c r="U375" s="116" t="n">
        <x:f>IF($L375&lt;$D$5,"",IF($L375=$D$5,$J$10+$N375-IF($M375,IF(INT(($L375-$D$5)/7)&lt;$A$22,$B$22,$D$10),0),U374+$N375-IF($M375,IF(INT(($L375-$D$5)/7)&lt;$A$22,$B$22,$D$10),0)))</x:f>
        <x:v>0</x:v>
      </x:c>
      <x:c r="V375" s="116" t="n">
        <x:f>IF($L375&lt;$D$5,"",IF($L375=$D$5,$J$10+$N375-IF($M375,IF(INT(($L375-$D$5)/7)&lt;$A$23,$B$23,$D$10),0),V374+$N375-IF($M375,IF(INT(($L375-$D$5)/7)&lt;$A$23,$B$23,$D$10),0)))</x:f>
        <x:v>0</x:v>
      </x:c>
      <x:c r="W375" s="116" t="n">
        <x:f>IF($L375&lt;$D$5,"",IF($L375=$D$5,$J$10+$N375-IF($M375,IF(INT(($L375-$D$5)/7)&lt;$A$24,$B$24,$D$10),0),W374+$N375-IF($M375,IF(INT(($L375-$D$5)/7)&lt;$A$24,$B$24,$D$10),0)))</x:f>
        <x:v>0</x:v>
      </x:c>
      <x:c r="X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Y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Z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A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B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C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D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E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F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G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H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I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J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K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L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M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N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O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P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Q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R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S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T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U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V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W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X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Y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AZ375" s="116"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c r="BA375" s="117" t="n">
        <x:f>IF(OR(INDEX('1 Budget annuel'!$A$14:$A$43,COLUMN()-COLUMN($X$42)+1)&lt;&gt;"Oui",INDEX('1 Budget annuel'!$L$14:$L$43,COLUMN()-COLUMN($X$42)+1)="",AND(INDEX('1 Budget annuel'!$B$14:$B$43,COLUMN()-COLUMN($X$42)+1)="Sortie",INDEX('1 Budget annuel'!$M$14:$M$43,COLUMN()-COLUMN($X$42)+1)="Oui"),$L375&lt;INDEX('1 Budget annuel'!$L$14:$L$43,COLUMN()-COLUMN($X$42)+1),$L375&gt;$D$5+363),0,IF(OR(AND(INDEX('1 Budget annuel'!$E$14:$E$43,COLUMN()-COLUMN($X$42)+1)="Hebdomadaire",MOD($L375-INDEX('1 Budget annuel'!$L$14:$L$43,COLUMN()-COLUMN($X$42)+1),7)=0),AND(INDEX('1 Budget annuel'!$E$14:$E$43,COLUMN()-COLUMN($X$42)+1)="Toutes les 4 semaines",MOD($L375-INDEX('1 Budget annuel'!$L$14:$L$43,COLUMN()-COLUMN($X$42)+1),28)=0),AND(INDEX('1 Budget annuel'!$E$14:$E$43,COLUMN()-COLUMN($X$42)+1)="Mensuelle",DAY($L375)=MIN(DAY(INDEX('1 Budget annuel'!$L$14:$L$43,COLUMN()-COLUMN($X$42)+1)),DAY(EOMONTH($L375,0)))),AND(INDEX('1 Budget annuel'!$E$14:$E$43,COLUMN()-COLUMN($X$42)+1)="Trimestrielle",MOD((YEAR($L375)-YEAR(INDEX('1 Budget annuel'!$L$14:$L$43,COLUMN()-COLUMN($X$42)+1)))*12+MONTH($L375)-MONTH(INDEX('1 Budget annuel'!$L$14:$L$43,COLUMN()-COLUMN($X$42)+1)),3)=0,DAY($L375)=MIN(DAY(INDEX('1 Budget annuel'!$L$14:$L$43,COLUMN()-COLUMN($X$42)+1)),DAY(EOMONTH($L375,0)))),AND(INDEX('1 Budget annuel'!$E$14:$E$43,COLUMN()-COLUMN($X$42)+1)="Semestrielle",MOD((YEAR($L375)-YEAR(INDEX('1 Budget annuel'!$L$14:$L$43,COLUMN()-COLUMN($X$42)+1)))*12+MONTH($L375)-MONTH(INDEX('1 Budget annuel'!$L$14:$L$43,COLUMN()-COLUMN($X$42)+1)),6)=0,DAY($L375)=MIN(DAY(INDEX('1 Budget annuel'!$L$14:$L$43,COLUMN()-COLUMN($X$42)+1)),DAY(EOMONTH($L375,0)))),AND(INDEX('1 Budget annuel'!$E$14:$E$43,COLUMN()-COLUMN($X$42)+1)="Annuelle",MOD((YEAR($L375)-YEAR(INDEX('1 Budget annuel'!$L$14:$L$43,COLUMN()-COLUMN($X$42)+1)))*12+MONTH($L375)-MONTH(INDEX('1 Budget annuel'!$L$14:$L$43,COLUMN()-COLUMN($X$42)+1)),12)=0,DAY($L375)=MIN(DAY(INDEX('1 Budget annuel'!$L$14:$L$43,COLUMN()-COLUMN($X$42)+1)),DAY(EOMONTH($L375,0))))),IF(INDEX('1 Budget annuel'!$B$14:$B$43,COLUMN()-COLUMN($X$42)+1)="Entrée",INDEX('1 Budget annuel'!$I$14:$I$43,COLUMN()-COLUMN($X$42)+1),-INDEX('1 Budget annuel'!$I$14:$I$43,COLUMN()-COLUMN($X$42)+1)),0))</x:f>
        <x:v>0</x:v>
      </x:c>
    </x:row>
    <x:row r="376">
      <x:c r="L376" s="114" t="n">
        <x:f>L375+1</x:f>
        <x:v>46570</x:v>
      </x:c>
      <x:c r="M376" s="115" t="b">
        <x:f>AND(L376&gt;=$D$5,L376&lt;=$D$5+363,MOD(L376-$D$5,7)=0)</x:f>
        <x:v>0</x:v>
      </x:c>
      <x:c r="N376" s="116" t="n">
        <x:f>SUM(X376:BA376)</x:f>
        <x:v>0</x:v>
      </x:c>
      <x:c r="O376" s="116" t="n">
        <x:f>IF(M376,$D$10,0)</x:f>
        <x:v>0</x:v>
      </x:c>
      <x:c r="P376" s="116" t="n">
        <x:f>N376-O376</x:f>
        <x:v>0</x:v>
      </x:c>
      <x:c r="Q376" s="116" t="n">
        <x:f>IF(L376&lt;$D$5,0,IF(L376=$D$5,P376,Q375+P376))</x:f>
        <x:v>0</x:v>
      </x:c>
      <x:c r="R376" s="116" t="n">
        <x:f>IF(L376&lt;$D$5,"",$J$10+Q376)</x:f>
        <x:v>0</x:v>
      </x:c>
      <x:c r="S376" s="116" t="n">
        <x:f>IF($L376&lt;$D$5,"",IF($L376=$D$5,$J$10+$N376-IF($M376,IF(INT(($L376-$D$5)/7)&lt;$A$20,$B$20,$D$10),0),S375+$N376-IF($M376,IF(INT(($L376-$D$5)/7)&lt;$A$20,$B$20,$D$10),0)))</x:f>
        <x:v>0</x:v>
      </x:c>
      <x:c r="T376" s="116" t="n">
        <x:f>IF($L376&lt;$D$5,"",IF($L376=$D$5,$J$10+$N376-IF($M376,IF(INT(($L376-$D$5)/7)&lt;$A$21,$B$21,$D$10),0),T375+$N376-IF($M376,IF(INT(($L376-$D$5)/7)&lt;$A$21,$B$21,$D$10),0)))</x:f>
        <x:v>0</x:v>
      </x:c>
      <x:c r="U376" s="116" t="n">
        <x:f>IF($L376&lt;$D$5,"",IF($L376=$D$5,$J$10+$N376-IF($M376,IF(INT(($L376-$D$5)/7)&lt;$A$22,$B$22,$D$10),0),U375+$N376-IF($M376,IF(INT(($L376-$D$5)/7)&lt;$A$22,$B$22,$D$10),0)))</x:f>
        <x:v>0</x:v>
      </x:c>
      <x:c r="V376" s="116" t="n">
        <x:f>IF($L376&lt;$D$5,"",IF($L376=$D$5,$J$10+$N376-IF($M376,IF(INT(($L376-$D$5)/7)&lt;$A$23,$B$23,$D$10),0),V375+$N376-IF($M376,IF(INT(($L376-$D$5)/7)&lt;$A$23,$B$23,$D$10),0)))</x:f>
        <x:v>0</x:v>
      </x:c>
      <x:c r="W376" s="116" t="n">
        <x:f>IF($L376&lt;$D$5,"",IF($L376=$D$5,$J$10+$N376-IF($M376,IF(INT(($L376-$D$5)/7)&lt;$A$24,$B$24,$D$10),0),W375+$N376-IF($M376,IF(INT(($L376-$D$5)/7)&lt;$A$24,$B$24,$D$10),0)))</x:f>
        <x:v>0</x:v>
      </x:c>
      <x:c r="X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Y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Z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A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B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C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D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E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F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G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H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I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J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K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L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M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N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O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P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Q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R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S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T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U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V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W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X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Y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AZ376" s="116"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c r="BA376" s="117" t="n">
        <x:f>IF(OR(INDEX('1 Budget annuel'!$A$14:$A$43,COLUMN()-COLUMN($X$42)+1)&lt;&gt;"Oui",INDEX('1 Budget annuel'!$L$14:$L$43,COLUMN()-COLUMN($X$42)+1)="",AND(INDEX('1 Budget annuel'!$B$14:$B$43,COLUMN()-COLUMN($X$42)+1)="Sortie",INDEX('1 Budget annuel'!$M$14:$M$43,COLUMN()-COLUMN($X$42)+1)="Oui"),$L376&lt;INDEX('1 Budget annuel'!$L$14:$L$43,COLUMN()-COLUMN($X$42)+1),$L376&gt;$D$5+363),0,IF(OR(AND(INDEX('1 Budget annuel'!$E$14:$E$43,COLUMN()-COLUMN($X$42)+1)="Hebdomadaire",MOD($L376-INDEX('1 Budget annuel'!$L$14:$L$43,COLUMN()-COLUMN($X$42)+1),7)=0),AND(INDEX('1 Budget annuel'!$E$14:$E$43,COLUMN()-COLUMN($X$42)+1)="Toutes les 4 semaines",MOD($L376-INDEX('1 Budget annuel'!$L$14:$L$43,COLUMN()-COLUMN($X$42)+1),28)=0),AND(INDEX('1 Budget annuel'!$E$14:$E$43,COLUMN()-COLUMN($X$42)+1)="Mensuelle",DAY($L376)=MIN(DAY(INDEX('1 Budget annuel'!$L$14:$L$43,COLUMN()-COLUMN($X$42)+1)),DAY(EOMONTH($L376,0)))),AND(INDEX('1 Budget annuel'!$E$14:$E$43,COLUMN()-COLUMN($X$42)+1)="Trimestrielle",MOD((YEAR($L376)-YEAR(INDEX('1 Budget annuel'!$L$14:$L$43,COLUMN()-COLUMN($X$42)+1)))*12+MONTH($L376)-MONTH(INDEX('1 Budget annuel'!$L$14:$L$43,COLUMN()-COLUMN($X$42)+1)),3)=0,DAY($L376)=MIN(DAY(INDEX('1 Budget annuel'!$L$14:$L$43,COLUMN()-COLUMN($X$42)+1)),DAY(EOMONTH($L376,0)))),AND(INDEX('1 Budget annuel'!$E$14:$E$43,COLUMN()-COLUMN($X$42)+1)="Semestrielle",MOD((YEAR($L376)-YEAR(INDEX('1 Budget annuel'!$L$14:$L$43,COLUMN()-COLUMN($X$42)+1)))*12+MONTH($L376)-MONTH(INDEX('1 Budget annuel'!$L$14:$L$43,COLUMN()-COLUMN($X$42)+1)),6)=0,DAY($L376)=MIN(DAY(INDEX('1 Budget annuel'!$L$14:$L$43,COLUMN()-COLUMN($X$42)+1)),DAY(EOMONTH($L376,0)))),AND(INDEX('1 Budget annuel'!$E$14:$E$43,COLUMN()-COLUMN($X$42)+1)="Annuelle",MOD((YEAR($L376)-YEAR(INDEX('1 Budget annuel'!$L$14:$L$43,COLUMN()-COLUMN($X$42)+1)))*12+MONTH($L376)-MONTH(INDEX('1 Budget annuel'!$L$14:$L$43,COLUMN()-COLUMN($X$42)+1)),12)=0,DAY($L376)=MIN(DAY(INDEX('1 Budget annuel'!$L$14:$L$43,COLUMN()-COLUMN($X$42)+1)),DAY(EOMONTH($L376,0))))),IF(INDEX('1 Budget annuel'!$B$14:$B$43,COLUMN()-COLUMN($X$42)+1)="Entrée",INDEX('1 Budget annuel'!$I$14:$I$43,COLUMN()-COLUMN($X$42)+1),-INDEX('1 Budget annuel'!$I$14:$I$43,COLUMN()-COLUMN($X$42)+1)),0))</x:f>
        <x:v>0</x:v>
      </x:c>
    </x:row>
    <x:row r="377">
      <x:c r="L377" s="114" t="n">
        <x:f>L376+1</x:f>
        <x:v>46571</x:v>
      </x:c>
      <x:c r="M377" s="115" t="b">
        <x:f>AND(L377&gt;=$D$5,L377&lt;=$D$5+363,MOD(L377-$D$5,7)=0)</x:f>
        <x:v>1</x:v>
      </x:c>
      <x:c r="N377" s="116" t="n">
        <x:f>SUM(X377:BA377)</x:f>
        <x:v>0</x:v>
      </x:c>
      <x:c r="O377" s="116" t="n">
        <x:f>IF(M377,$D$10,0)</x:f>
        <x:v>0</x:v>
      </x:c>
      <x:c r="P377" s="116" t="n">
        <x:f>N377-O377</x:f>
        <x:v>0</x:v>
      </x:c>
      <x:c r="Q377" s="116" t="n">
        <x:f>IF(L377&lt;$D$5,0,IF(L377=$D$5,P377,Q376+P377))</x:f>
        <x:v>0</x:v>
      </x:c>
      <x:c r="R377" s="116" t="n">
        <x:f>IF(L377&lt;$D$5,"",$J$10+Q377)</x:f>
        <x:v>0</x:v>
      </x:c>
      <x:c r="S377" s="116" t="n">
        <x:f>IF($L377&lt;$D$5,"",IF($L377=$D$5,$J$10+$N377-IF($M377,IF(INT(($L377-$D$5)/7)&lt;$A$20,$B$20,$D$10),0),S376+$N377-IF($M377,IF(INT(($L377-$D$5)/7)&lt;$A$20,$B$20,$D$10),0)))</x:f>
        <x:v>0</x:v>
      </x:c>
      <x:c r="T377" s="116" t="n">
        <x:f>IF($L377&lt;$D$5,"",IF($L377=$D$5,$J$10+$N377-IF($M377,IF(INT(($L377-$D$5)/7)&lt;$A$21,$B$21,$D$10),0),T376+$N377-IF($M377,IF(INT(($L377-$D$5)/7)&lt;$A$21,$B$21,$D$10),0)))</x:f>
        <x:v>0</x:v>
      </x:c>
      <x:c r="U377" s="116" t="n">
        <x:f>IF($L377&lt;$D$5,"",IF($L377=$D$5,$J$10+$N377-IF($M377,IF(INT(($L377-$D$5)/7)&lt;$A$22,$B$22,$D$10),0),U376+$N377-IF($M377,IF(INT(($L377-$D$5)/7)&lt;$A$22,$B$22,$D$10),0)))</x:f>
        <x:v>0</x:v>
      </x:c>
      <x:c r="V377" s="116" t="n">
        <x:f>IF($L377&lt;$D$5,"",IF($L377=$D$5,$J$10+$N377-IF($M377,IF(INT(($L377-$D$5)/7)&lt;$A$23,$B$23,$D$10),0),V376+$N377-IF($M377,IF(INT(($L377-$D$5)/7)&lt;$A$23,$B$23,$D$10),0)))</x:f>
        <x:v>0</x:v>
      </x:c>
      <x:c r="W377" s="116" t="n">
        <x:f>IF($L377&lt;$D$5,"",IF($L377=$D$5,$J$10+$N377-IF($M377,IF(INT(($L377-$D$5)/7)&lt;$A$24,$B$24,$D$10),0),W376+$N377-IF($M377,IF(INT(($L377-$D$5)/7)&lt;$A$24,$B$24,$D$10),0)))</x:f>
        <x:v>0</x:v>
      </x:c>
      <x:c r="X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Y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Z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A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B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C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D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E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F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G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H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I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J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K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L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M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N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O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P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Q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R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S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T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U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V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W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X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Y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AZ377" s="116"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c r="BA377" s="117" t="n">
        <x:f>IF(OR(INDEX('1 Budget annuel'!$A$14:$A$43,COLUMN()-COLUMN($X$42)+1)&lt;&gt;"Oui",INDEX('1 Budget annuel'!$L$14:$L$43,COLUMN()-COLUMN($X$42)+1)="",AND(INDEX('1 Budget annuel'!$B$14:$B$43,COLUMN()-COLUMN($X$42)+1)="Sortie",INDEX('1 Budget annuel'!$M$14:$M$43,COLUMN()-COLUMN($X$42)+1)="Oui"),$L377&lt;INDEX('1 Budget annuel'!$L$14:$L$43,COLUMN()-COLUMN($X$42)+1),$L377&gt;$D$5+363),0,IF(OR(AND(INDEX('1 Budget annuel'!$E$14:$E$43,COLUMN()-COLUMN($X$42)+1)="Hebdomadaire",MOD($L377-INDEX('1 Budget annuel'!$L$14:$L$43,COLUMN()-COLUMN($X$42)+1),7)=0),AND(INDEX('1 Budget annuel'!$E$14:$E$43,COLUMN()-COLUMN($X$42)+1)="Toutes les 4 semaines",MOD($L377-INDEX('1 Budget annuel'!$L$14:$L$43,COLUMN()-COLUMN($X$42)+1),28)=0),AND(INDEX('1 Budget annuel'!$E$14:$E$43,COLUMN()-COLUMN($X$42)+1)="Mensuelle",DAY($L377)=MIN(DAY(INDEX('1 Budget annuel'!$L$14:$L$43,COLUMN()-COLUMN($X$42)+1)),DAY(EOMONTH($L377,0)))),AND(INDEX('1 Budget annuel'!$E$14:$E$43,COLUMN()-COLUMN($X$42)+1)="Trimestrielle",MOD((YEAR($L377)-YEAR(INDEX('1 Budget annuel'!$L$14:$L$43,COLUMN()-COLUMN($X$42)+1)))*12+MONTH($L377)-MONTH(INDEX('1 Budget annuel'!$L$14:$L$43,COLUMN()-COLUMN($X$42)+1)),3)=0,DAY($L377)=MIN(DAY(INDEX('1 Budget annuel'!$L$14:$L$43,COLUMN()-COLUMN($X$42)+1)),DAY(EOMONTH($L377,0)))),AND(INDEX('1 Budget annuel'!$E$14:$E$43,COLUMN()-COLUMN($X$42)+1)="Semestrielle",MOD((YEAR($L377)-YEAR(INDEX('1 Budget annuel'!$L$14:$L$43,COLUMN()-COLUMN($X$42)+1)))*12+MONTH($L377)-MONTH(INDEX('1 Budget annuel'!$L$14:$L$43,COLUMN()-COLUMN($X$42)+1)),6)=0,DAY($L377)=MIN(DAY(INDEX('1 Budget annuel'!$L$14:$L$43,COLUMN()-COLUMN($X$42)+1)),DAY(EOMONTH($L377,0)))),AND(INDEX('1 Budget annuel'!$E$14:$E$43,COLUMN()-COLUMN($X$42)+1)="Annuelle",MOD((YEAR($L377)-YEAR(INDEX('1 Budget annuel'!$L$14:$L$43,COLUMN()-COLUMN($X$42)+1)))*12+MONTH($L377)-MONTH(INDEX('1 Budget annuel'!$L$14:$L$43,COLUMN()-COLUMN($X$42)+1)),12)=0,DAY($L377)=MIN(DAY(INDEX('1 Budget annuel'!$L$14:$L$43,COLUMN()-COLUMN($X$42)+1)),DAY(EOMONTH($L377,0))))),IF(INDEX('1 Budget annuel'!$B$14:$B$43,COLUMN()-COLUMN($X$42)+1)="Entrée",INDEX('1 Budget annuel'!$I$14:$I$43,COLUMN()-COLUMN($X$42)+1),-INDEX('1 Budget annuel'!$I$14:$I$43,COLUMN()-COLUMN($X$42)+1)),0))</x:f>
        <x:v>0</x:v>
      </x:c>
    </x:row>
    <x:row r="378">
      <x:c r="L378" s="114" t="n">
        <x:f>L377+1</x:f>
        <x:v>46572</x:v>
      </x:c>
      <x:c r="M378" s="115" t="b">
        <x:f>AND(L378&gt;=$D$5,L378&lt;=$D$5+363,MOD(L378-$D$5,7)=0)</x:f>
        <x:v>0</x:v>
      </x:c>
      <x:c r="N378" s="116" t="n">
        <x:f>SUM(X378:BA378)</x:f>
        <x:v>0</x:v>
      </x:c>
      <x:c r="O378" s="116" t="n">
        <x:f>IF(M378,$D$10,0)</x:f>
        <x:v>0</x:v>
      </x:c>
      <x:c r="P378" s="116" t="n">
        <x:f>N378-O378</x:f>
        <x:v>0</x:v>
      </x:c>
      <x:c r="Q378" s="116" t="n">
        <x:f>IF(L378&lt;$D$5,0,IF(L378=$D$5,P378,Q377+P378))</x:f>
        <x:v>0</x:v>
      </x:c>
      <x:c r="R378" s="116" t="n">
        <x:f>IF(L378&lt;$D$5,"",$J$10+Q378)</x:f>
        <x:v>0</x:v>
      </x:c>
      <x:c r="S378" s="116" t="n">
        <x:f>IF($L378&lt;$D$5,"",IF($L378=$D$5,$J$10+$N378-IF($M378,IF(INT(($L378-$D$5)/7)&lt;$A$20,$B$20,$D$10),0),S377+$N378-IF($M378,IF(INT(($L378-$D$5)/7)&lt;$A$20,$B$20,$D$10),0)))</x:f>
        <x:v>0</x:v>
      </x:c>
      <x:c r="T378" s="116" t="n">
        <x:f>IF($L378&lt;$D$5,"",IF($L378=$D$5,$J$10+$N378-IF($M378,IF(INT(($L378-$D$5)/7)&lt;$A$21,$B$21,$D$10),0),T377+$N378-IF($M378,IF(INT(($L378-$D$5)/7)&lt;$A$21,$B$21,$D$10),0)))</x:f>
        <x:v>0</x:v>
      </x:c>
      <x:c r="U378" s="116" t="n">
        <x:f>IF($L378&lt;$D$5,"",IF($L378=$D$5,$J$10+$N378-IF($M378,IF(INT(($L378-$D$5)/7)&lt;$A$22,$B$22,$D$10),0),U377+$N378-IF($M378,IF(INT(($L378-$D$5)/7)&lt;$A$22,$B$22,$D$10),0)))</x:f>
        <x:v>0</x:v>
      </x:c>
      <x:c r="V378" s="116" t="n">
        <x:f>IF($L378&lt;$D$5,"",IF($L378=$D$5,$J$10+$N378-IF($M378,IF(INT(($L378-$D$5)/7)&lt;$A$23,$B$23,$D$10),0),V377+$N378-IF($M378,IF(INT(($L378-$D$5)/7)&lt;$A$23,$B$23,$D$10),0)))</x:f>
        <x:v>0</x:v>
      </x:c>
      <x:c r="W378" s="116" t="n">
        <x:f>IF($L378&lt;$D$5,"",IF($L378=$D$5,$J$10+$N378-IF($M378,IF(INT(($L378-$D$5)/7)&lt;$A$24,$B$24,$D$10),0),W377+$N378-IF($M378,IF(INT(($L378-$D$5)/7)&lt;$A$24,$B$24,$D$10),0)))</x:f>
        <x:v>0</x:v>
      </x:c>
      <x:c r="X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Y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Z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A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B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C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D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E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F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G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H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I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J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K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L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M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N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O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P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Q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R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S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T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U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V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W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X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Y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AZ378" s="116"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c r="BA378" s="117" t="n">
        <x:f>IF(OR(INDEX('1 Budget annuel'!$A$14:$A$43,COLUMN()-COLUMN($X$42)+1)&lt;&gt;"Oui",INDEX('1 Budget annuel'!$L$14:$L$43,COLUMN()-COLUMN($X$42)+1)="",AND(INDEX('1 Budget annuel'!$B$14:$B$43,COLUMN()-COLUMN($X$42)+1)="Sortie",INDEX('1 Budget annuel'!$M$14:$M$43,COLUMN()-COLUMN($X$42)+1)="Oui"),$L378&lt;INDEX('1 Budget annuel'!$L$14:$L$43,COLUMN()-COLUMN($X$42)+1),$L378&gt;$D$5+363),0,IF(OR(AND(INDEX('1 Budget annuel'!$E$14:$E$43,COLUMN()-COLUMN($X$42)+1)="Hebdomadaire",MOD($L378-INDEX('1 Budget annuel'!$L$14:$L$43,COLUMN()-COLUMN($X$42)+1),7)=0),AND(INDEX('1 Budget annuel'!$E$14:$E$43,COLUMN()-COLUMN($X$42)+1)="Toutes les 4 semaines",MOD($L378-INDEX('1 Budget annuel'!$L$14:$L$43,COLUMN()-COLUMN($X$42)+1),28)=0),AND(INDEX('1 Budget annuel'!$E$14:$E$43,COLUMN()-COLUMN($X$42)+1)="Mensuelle",DAY($L378)=MIN(DAY(INDEX('1 Budget annuel'!$L$14:$L$43,COLUMN()-COLUMN($X$42)+1)),DAY(EOMONTH($L378,0)))),AND(INDEX('1 Budget annuel'!$E$14:$E$43,COLUMN()-COLUMN($X$42)+1)="Trimestrielle",MOD((YEAR($L378)-YEAR(INDEX('1 Budget annuel'!$L$14:$L$43,COLUMN()-COLUMN($X$42)+1)))*12+MONTH($L378)-MONTH(INDEX('1 Budget annuel'!$L$14:$L$43,COLUMN()-COLUMN($X$42)+1)),3)=0,DAY($L378)=MIN(DAY(INDEX('1 Budget annuel'!$L$14:$L$43,COLUMN()-COLUMN($X$42)+1)),DAY(EOMONTH($L378,0)))),AND(INDEX('1 Budget annuel'!$E$14:$E$43,COLUMN()-COLUMN($X$42)+1)="Semestrielle",MOD((YEAR($L378)-YEAR(INDEX('1 Budget annuel'!$L$14:$L$43,COLUMN()-COLUMN($X$42)+1)))*12+MONTH($L378)-MONTH(INDEX('1 Budget annuel'!$L$14:$L$43,COLUMN()-COLUMN($X$42)+1)),6)=0,DAY($L378)=MIN(DAY(INDEX('1 Budget annuel'!$L$14:$L$43,COLUMN()-COLUMN($X$42)+1)),DAY(EOMONTH($L378,0)))),AND(INDEX('1 Budget annuel'!$E$14:$E$43,COLUMN()-COLUMN($X$42)+1)="Annuelle",MOD((YEAR($L378)-YEAR(INDEX('1 Budget annuel'!$L$14:$L$43,COLUMN()-COLUMN($X$42)+1)))*12+MONTH($L378)-MONTH(INDEX('1 Budget annuel'!$L$14:$L$43,COLUMN()-COLUMN($X$42)+1)),12)=0,DAY($L378)=MIN(DAY(INDEX('1 Budget annuel'!$L$14:$L$43,COLUMN()-COLUMN($X$42)+1)),DAY(EOMONTH($L378,0))))),IF(INDEX('1 Budget annuel'!$B$14:$B$43,COLUMN()-COLUMN($X$42)+1)="Entrée",INDEX('1 Budget annuel'!$I$14:$I$43,COLUMN()-COLUMN($X$42)+1),-INDEX('1 Budget annuel'!$I$14:$I$43,COLUMN()-COLUMN($X$42)+1)),0))</x:f>
        <x:v>0</x:v>
      </x:c>
    </x:row>
    <x:row r="379">
      <x:c r="L379" s="114" t="n">
        <x:f>L378+1</x:f>
        <x:v>46573</x:v>
      </x:c>
      <x:c r="M379" s="115" t="b">
        <x:f>AND(L379&gt;=$D$5,L379&lt;=$D$5+363,MOD(L379-$D$5,7)=0)</x:f>
        <x:v>0</x:v>
      </x:c>
      <x:c r="N379" s="116" t="n">
        <x:f>SUM(X379:BA379)</x:f>
        <x:v>0</x:v>
      </x:c>
      <x:c r="O379" s="116" t="n">
        <x:f>IF(M379,$D$10,0)</x:f>
        <x:v>0</x:v>
      </x:c>
      <x:c r="P379" s="116" t="n">
        <x:f>N379-O379</x:f>
        <x:v>0</x:v>
      </x:c>
      <x:c r="Q379" s="116" t="n">
        <x:f>IF(L379&lt;$D$5,0,IF(L379=$D$5,P379,Q378+P379))</x:f>
        <x:v>0</x:v>
      </x:c>
      <x:c r="R379" s="116" t="n">
        <x:f>IF(L379&lt;$D$5,"",$J$10+Q379)</x:f>
        <x:v>0</x:v>
      </x:c>
      <x:c r="S379" s="116" t="n">
        <x:f>IF($L379&lt;$D$5,"",IF($L379=$D$5,$J$10+$N379-IF($M379,IF(INT(($L379-$D$5)/7)&lt;$A$20,$B$20,$D$10),0),S378+$N379-IF($M379,IF(INT(($L379-$D$5)/7)&lt;$A$20,$B$20,$D$10),0)))</x:f>
        <x:v>0</x:v>
      </x:c>
      <x:c r="T379" s="116" t="n">
        <x:f>IF($L379&lt;$D$5,"",IF($L379=$D$5,$J$10+$N379-IF($M379,IF(INT(($L379-$D$5)/7)&lt;$A$21,$B$21,$D$10),0),T378+$N379-IF($M379,IF(INT(($L379-$D$5)/7)&lt;$A$21,$B$21,$D$10),0)))</x:f>
        <x:v>0</x:v>
      </x:c>
      <x:c r="U379" s="116" t="n">
        <x:f>IF($L379&lt;$D$5,"",IF($L379=$D$5,$J$10+$N379-IF($M379,IF(INT(($L379-$D$5)/7)&lt;$A$22,$B$22,$D$10),0),U378+$N379-IF($M379,IF(INT(($L379-$D$5)/7)&lt;$A$22,$B$22,$D$10),0)))</x:f>
        <x:v>0</x:v>
      </x:c>
      <x:c r="V379" s="116" t="n">
        <x:f>IF($L379&lt;$D$5,"",IF($L379=$D$5,$J$10+$N379-IF($M379,IF(INT(($L379-$D$5)/7)&lt;$A$23,$B$23,$D$10),0),V378+$N379-IF($M379,IF(INT(($L379-$D$5)/7)&lt;$A$23,$B$23,$D$10),0)))</x:f>
        <x:v>0</x:v>
      </x:c>
      <x:c r="W379" s="116" t="n">
        <x:f>IF($L379&lt;$D$5,"",IF($L379=$D$5,$J$10+$N379-IF($M379,IF(INT(($L379-$D$5)/7)&lt;$A$24,$B$24,$D$10),0),W378+$N379-IF($M379,IF(INT(($L379-$D$5)/7)&lt;$A$24,$B$24,$D$10),0)))</x:f>
        <x:v>0</x:v>
      </x:c>
      <x:c r="X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Y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Z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A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B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C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D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E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F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G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H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I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J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K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L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M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N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O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P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Q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R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S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T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U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V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W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X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Y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AZ379" s="116"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c r="BA379" s="117" t="n">
        <x:f>IF(OR(INDEX('1 Budget annuel'!$A$14:$A$43,COLUMN()-COLUMN($X$42)+1)&lt;&gt;"Oui",INDEX('1 Budget annuel'!$L$14:$L$43,COLUMN()-COLUMN($X$42)+1)="",AND(INDEX('1 Budget annuel'!$B$14:$B$43,COLUMN()-COLUMN($X$42)+1)="Sortie",INDEX('1 Budget annuel'!$M$14:$M$43,COLUMN()-COLUMN($X$42)+1)="Oui"),$L379&lt;INDEX('1 Budget annuel'!$L$14:$L$43,COLUMN()-COLUMN($X$42)+1),$L379&gt;$D$5+363),0,IF(OR(AND(INDEX('1 Budget annuel'!$E$14:$E$43,COLUMN()-COLUMN($X$42)+1)="Hebdomadaire",MOD($L379-INDEX('1 Budget annuel'!$L$14:$L$43,COLUMN()-COLUMN($X$42)+1),7)=0),AND(INDEX('1 Budget annuel'!$E$14:$E$43,COLUMN()-COLUMN($X$42)+1)="Toutes les 4 semaines",MOD($L379-INDEX('1 Budget annuel'!$L$14:$L$43,COLUMN()-COLUMN($X$42)+1),28)=0),AND(INDEX('1 Budget annuel'!$E$14:$E$43,COLUMN()-COLUMN($X$42)+1)="Mensuelle",DAY($L379)=MIN(DAY(INDEX('1 Budget annuel'!$L$14:$L$43,COLUMN()-COLUMN($X$42)+1)),DAY(EOMONTH($L379,0)))),AND(INDEX('1 Budget annuel'!$E$14:$E$43,COLUMN()-COLUMN($X$42)+1)="Trimestrielle",MOD((YEAR($L379)-YEAR(INDEX('1 Budget annuel'!$L$14:$L$43,COLUMN()-COLUMN($X$42)+1)))*12+MONTH($L379)-MONTH(INDEX('1 Budget annuel'!$L$14:$L$43,COLUMN()-COLUMN($X$42)+1)),3)=0,DAY($L379)=MIN(DAY(INDEX('1 Budget annuel'!$L$14:$L$43,COLUMN()-COLUMN($X$42)+1)),DAY(EOMONTH($L379,0)))),AND(INDEX('1 Budget annuel'!$E$14:$E$43,COLUMN()-COLUMN($X$42)+1)="Semestrielle",MOD((YEAR($L379)-YEAR(INDEX('1 Budget annuel'!$L$14:$L$43,COLUMN()-COLUMN($X$42)+1)))*12+MONTH($L379)-MONTH(INDEX('1 Budget annuel'!$L$14:$L$43,COLUMN()-COLUMN($X$42)+1)),6)=0,DAY($L379)=MIN(DAY(INDEX('1 Budget annuel'!$L$14:$L$43,COLUMN()-COLUMN($X$42)+1)),DAY(EOMONTH($L379,0)))),AND(INDEX('1 Budget annuel'!$E$14:$E$43,COLUMN()-COLUMN($X$42)+1)="Annuelle",MOD((YEAR($L379)-YEAR(INDEX('1 Budget annuel'!$L$14:$L$43,COLUMN()-COLUMN($X$42)+1)))*12+MONTH($L379)-MONTH(INDEX('1 Budget annuel'!$L$14:$L$43,COLUMN()-COLUMN($X$42)+1)),12)=0,DAY($L379)=MIN(DAY(INDEX('1 Budget annuel'!$L$14:$L$43,COLUMN()-COLUMN($X$42)+1)),DAY(EOMONTH($L379,0))))),IF(INDEX('1 Budget annuel'!$B$14:$B$43,COLUMN()-COLUMN($X$42)+1)="Entrée",INDEX('1 Budget annuel'!$I$14:$I$43,COLUMN()-COLUMN($X$42)+1),-INDEX('1 Budget annuel'!$I$14:$I$43,COLUMN()-COLUMN($X$42)+1)),0))</x:f>
        <x:v>0</x:v>
      </x:c>
    </x:row>
    <x:row r="380">
      <x:c r="L380" s="114" t="n">
        <x:f>L379+1</x:f>
        <x:v>46574</x:v>
      </x:c>
      <x:c r="M380" s="115" t="b">
        <x:f>AND(L380&gt;=$D$5,L380&lt;=$D$5+363,MOD(L380-$D$5,7)=0)</x:f>
        <x:v>0</x:v>
      </x:c>
      <x:c r="N380" s="116" t="n">
        <x:f>SUM(X380:BA380)</x:f>
        <x:v>0</x:v>
      </x:c>
      <x:c r="O380" s="116" t="n">
        <x:f>IF(M380,$D$10,0)</x:f>
        <x:v>0</x:v>
      </x:c>
      <x:c r="P380" s="116" t="n">
        <x:f>N380-O380</x:f>
        <x:v>0</x:v>
      </x:c>
      <x:c r="Q380" s="116" t="n">
        <x:f>IF(L380&lt;$D$5,0,IF(L380=$D$5,P380,Q379+P380))</x:f>
        <x:v>0</x:v>
      </x:c>
      <x:c r="R380" s="116" t="n">
        <x:f>IF(L380&lt;$D$5,"",$J$10+Q380)</x:f>
        <x:v>0</x:v>
      </x:c>
      <x:c r="S380" s="116" t="n">
        <x:f>IF($L380&lt;$D$5,"",IF($L380=$D$5,$J$10+$N380-IF($M380,IF(INT(($L380-$D$5)/7)&lt;$A$20,$B$20,$D$10),0),S379+$N380-IF($M380,IF(INT(($L380-$D$5)/7)&lt;$A$20,$B$20,$D$10),0)))</x:f>
        <x:v>0</x:v>
      </x:c>
      <x:c r="T380" s="116" t="n">
        <x:f>IF($L380&lt;$D$5,"",IF($L380=$D$5,$J$10+$N380-IF($M380,IF(INT(($L380-$D$5)/7)&lt;$A$21,$B$21,$D$10),0),T379+$N380-IF($M380,IF(INT(($L380-$D$5)/7)&lt;$A$21,$B$21,$D$10),0)))</x:f>
        <x:v>0</x:v>
      </x:c>
      <x:c r="U380" s="116" t="n">
        <x:f>IF($L380&lt;$D$5,"",IF($L380=$D$5,$J$10+$N380-IF($M380,IF(INT(($L380-$D$5)/7)&lt;$A$22,$B$22,$D$10),0),U379+$N380-IF($M380,IF(INT(($L380-$D$5)/7)&lt;$A$22,$B$22,$D$10),0)))</x:f>
        <x:v>0</x:v>
      </x:c>
      <x:c r="V380" s="116" t="n">
        <x:f>IF($L380&lt;$D$5,"",IF($L380=$D$5,$J$10+$N380-IF($M380,IF(INT(($L380-$D$5)/7)&lt;$A$23,$B$23,$D$10),0),V379+$N380-IF($M380,IF(INT(($L380-$D$5)/7)&lt;$A$23,$B$23,$D$10),0)))</x:f>
        <x:v>0</x:v>
      </x:c>
      <x:c r="W380" s="116" t="n">
        <x:f>IF($L380&lt;$D$5,"",IF($L380=$D$5,$J$10+$N380-IF($M380,IF(INT(($L380-$D$5)/7)&lt;$A$24,$B$24,$D$10),0),W379+$N380-IF($M380,IF(INT(($L380-$D$5)/7)&lt;$A$24,$B$24,$D$10),0)))</x:f>
        <x:v>0</x:v>
      </x:c>
      <x:c r="X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Y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Z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A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B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C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D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E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F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G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H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I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J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K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L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M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N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O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P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Q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R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S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T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U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V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W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X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Y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AZ380" s="116"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c r="BA380" s="117" t="n">
        <x:f>IF(OR(INDEX('1 Budget annuel'!$A$14:$A$43,COLUMN()-COLUMN($X$42)+1)&lt;&gt;"Oui",INDEX('1 Budget annuel'!$L$14:$L$43,COLUMN()-COLUMN($X$42)+1)="",AND(INDEX('1 Budget annuel'!$B$14:$B$43,COLUMN()-COLUMN($X$42)+1)="Sortie",INDEX('1 Budget annuel'!$M$14:$M$43,COLUMN()-COLUMN($X$42)+1)="Oui"),$L380&lt;INDEX('1 Budget annuel'!$L$14:$L$43,COLUMN()-COLUMN($X$42)+1),$L380&gt;$D$5+363),0,IF(OR(AND(INDEX('1 Budget annuel'!$E$14:$E$43,COLUMN()-COLUMN($X$42)+1)="Hebdomadaire",MOD($L380-INDEX('1 Budget annuel'!$L$14:$L$43,COLUMN()-COLUMN($X$42)+1),7)=0),AND(INDEX('1 Budget annuel'!$E$14:$E$43,COLUMN()-COLUMN($X$42)+1)="Toutes les 4 semaines",MOD($L380-INDEX('1 Budget annuel'!$L$14:$L$43,COLUMN()-COLUMN($X$42)+1),28)=0),AND(INDEX('1 Budget annuel'!$E$14:$E$43,COLUMN()-COLUMN($X$42)+1)="Mensuelle",DAY($L380)=MIN(DAY(INDEX('1 Budget annuel'!$L$14:$L$43,COLUMN()-COLUMN($X$42)+1)),DAY(EOMONTH($L380,0)))),AND(INDEX('1 Budget annuel'!$E$14:$E$43,COLUMN()-COLUMN($X$42)+1)="Trimestrielle",MOD((YEAR($L380)-YEAR(INDEX('1 Budget annuel'!$L$14:$L$43,COLUMN()-COLUMN($X$42)+1)))*12+MONTH($L380)-MONTH(INDEX('1 Budget annuel'!$L$14:$L$43,COLUMN()-COLUMN($X$42)+1)),3)=0,DAY($L380)=MIN(DAY(INDEX('1 Budget annuel'!$L$14:$L$43,COLUMN()-COLUMN($X$42)+1)),DAY(EOMONTH($L380,0)))),AND(INDEX('1 Budget annuel'!$E$14:$E$43,COLUMN()-COLUMN($X$42)+1)="Semestrielle",MOD((YEAR($L380)-YEAR(INDEX('1 Budget annuel'!$L$14:$L$43,COLUMN()-COLUMN($X$42)+1)))*12+MONTH($L380)-MONTH(INDEX('1 Budget annuel'!$L$14:$L$43,COLUMN()-COLUMN($X$42)+1)),6)=0,DAY($L380)=MIN(DAY(INDEX('1 Budget annuel'!$L$14:$L$43,COLUMN()-COLUMN($X$42)+1)),DAY(EOMONTH($L380,0)))),AND(INDEX('1 Budget annuel'!$E$14:$E$43,COLUMN()-COLUMN($X$42)+1)="Annuelle",MOD((YEAR($L380)-YEAR(INDEX('1 Budget annuel'!$L$14:$L$43,COLUMN()-COLUMN($X$42)+1)))*12+MONTH($L380)-MONTH(INDEX('1 Budget annuel'!$L$14:$L$43,COLUMN()-COLUMN($X$42)+1)),12)=0,DAY($L380)=MIN(DAY(INDEX('1 Budget annuel'!$L$14:$L$43,COLUMN()-COLUMN($X$42)+1)),DAY(EOMONTH($L380,0))))),IF(INDEX('1 Budget annuel'!$B$14:$B$43,COLUMN()-COLUMN($X$42)+1)="Entrée",INDEX('1 Budget annuel'!$I$14:$I$43,COLUMN()-COLUMN($X$42)+1),-INDEX('1 Budget annuel'!$I$14:$I$43,COLUMN()-COLUMN($X$42)+1)),0))</x:f>
        <x:v>0</x:v>
      </x:c>
    </x:row>
    <x:row r="381">
      <x:c r="L381" s="114" t="n">
        <x:f>L380+1</x:f>
        <x:v>46575</x:v>
      </x:c>
      <x:c r="M381" s="115" t="b">
        <x:f>AND(L381&gt;=$D$5,L381&lt;=$D$5+363,MOD(L381-$D$5,7)=0)</x:f>
        <x:v>0</x:v>
      </x:c>
      <x:c r="N381" s="116" t="n">
        <x:f>SUM(X381:BA381)</x:f>
        <x:v>0</x:v>
      </x:c>
      <x:c r="O381" s="116" t="n">
        <x:f>IF(M381,$D$10,0)</x:f>
        <x:v>0</x:v>
      </x:c>
      <x:c r="P381" s="116" t="n">
        <x:f>N381-O381</x:f>
        <x:v>0</x:v>
      </x:c>
      <x:c r="Q381" s="116" t="n">
        <x:f>IF(L381&lt;$D$5,0,IF(L381=$D$5,P381,Q380+P381))</x:f>
        <x:v>0</x:v>
      </x:c>
      <x:c r="R381" s="116" t="n">
        <x:f>IF(L381&lt;$D$5,"",$J$10+Q381)</x:f>
        <x:v>0</x:v>
      </x:c>
      <x:c r="S381" s="116" t="n">
        <x:f>IF($L381&lt;$D$5,"",IF($L381=$D$5,$J$10+$N381-IF($M381,IF(INT(($L381-$D$5)/7)&lt;$A$20,$B$20,$D$10),0),S380+$N381-IF($M381,IF(INT(($L381-$D$5)/7)&lt;$A$20,$B$20,$D$10),0)))</x:f>
        <x:v>0</x:v>
      </x:c>
      <x:c r="T381" s="116" t="n">
        <x:f>IF($L381&lt;$D$5,"",IF($L381=$D$5,$J$10+$N381-IF($M381,IF(INT(($L381-$D$5)/7)&lt;$A$21,$B$21,$D$10),0),T380+$N381-IF($M381,IF(INT(($L381-$D$5)/7)&lt;$A$21,$B$21,$D$10),0)))</x:f>
        <x:v>0</x:v>
      </x:c>
      <x:c r="U381" s="116" t="n">
        <x:f>IF($L381&lt;$D$5,"",IF($L381=$D$5,$J$10+$N381-IF($M381,IF(INT(($L381-$D$5)/7)&lt;$A$22,$B$22,$D$10),0),U380+$N381-IF($M381,IF(INT(($L381-$D$5)/7)&lt;$A$22,$B$22,$D$10),0)))</x:f>
        <x:v>0</x:v>
      </x:c>
      <x:c r="V381" s="116" t="n">
        <x:f>IF($L381&lt;$D$5,"",IF($L381=$D$5,$J$10+$N381-IF($M381,IF(INT(($L381-$D$5)/7)&lt;$A$23,$B$23,$D$10),0),V380+$N381-IF($M381,IF(INT(($L381-$D$5)/7)&lt;$A$23,$B$23,$D$10),0)))</x:f>
        <x:v>0</x:v>
      </x:c>
      <x:c r="W381" s="116" t="n">
        <x:f>IF($L381&lt;$D$5,"",IF($L381=$D$5,$J$10+$N381-IF($M381,IF(INT(($L381-$D$5)/7)&lt;$A$24,$B$24,$D$10),0),W380+$N381-IF($M381,IF(INT(($L381-$D$5)/7)&lt;$A$24,$B$24,$D$10),0)))</x:f>
        <x:v>0</x:v>
      </x:c>
      <x:c r="X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Y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Z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A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B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C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D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E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F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G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H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I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J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K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L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M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N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O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P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Q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R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S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T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U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V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W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X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Y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AZ381" s="116"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c r="BA381" s="117" t="n">
        <x:f>IF(OR(INDEX('1 Budget annuel'!$A$14:$A$43,COLUMN()-COLUMN($X$42)+1)&lt;&gt;"Oui",INDEX('1 Budget annuel'!$L$14:$L$43,COLUMN()-COLUMN($X$42)+1)="",AND(INDEX('1 Budget annuel'!$B$14:$B$43,COLUMN()-COLUMN($X$42)+1)="Sortie",INDEX('1 Budget annuel'!$M$14:$M$43,COLUMN()-COLUMN($X$42)+1)="Oui"),$L381&lt;INDEX('1 Budget annuel'!$L$14:$L$43,COLUMN()-COLUMN($X$42)+1),$L381&gt;$D$5+363),0,IF(OR(AND(INDEX('1 Budget annuel'!$E$14:$E$43,COLUMN()-COLUMN($X$42)+1)="Hebdomadaire",MOD($L381-INDEX('1 Budget annuel'!$L$14:$L$43,COLUMN()-COLUMN($X$42)+1),7)=0),AND(INDEX('1 Budget annuel'!$E$14:$E$43,COLUMN()-COLUMN($X$42)+1)="Toutes les 4 semaines",MOD($L381-INDEX('1 Budget annuel'!$L$14:$L$43,COLUMN()-COLUMN($X$42)+1),28)=0),AND(INDEX('1 Budget annuel'!$E$14:$E$43,COLUMN()-COLUMN($X$42)+1)="Mensuelle",DAY($L381)=MIN(DAY(INDEX('1 Budget annuel'!$L$14:$L$43,COLUMN()-COLUMN($X$42)+1)),DAY(EOMONTH($L381,0)))),AND(INDEX('1 Budget annuel'!$E$14:$E$43,COLUMN()-COLUMN($X$42)+1)="Trimestrielle",MOD((YEAR($L381)-YEAR(INDEX('1 Budget annuel'!$L$14:$L$43,COLUMN()-COLUMN($X$42)+1)))*12+MONTH($L381)-MONTH(INDEX('1 Budget annuel'!$L$14:$L$43,COLUMN()-COLUMN($X$42)+1)),3)=0,DAY($L381)=MIN(DAY(INDEX('1 Budget annuel'!$L$14:$L$43,COLUMN()-COLUMN($X$42)+1)),DAY(EOMONTH($L381,0)))),AND(INDEX('1 Budget annuel'!$E$14:$E$43,COLUMN()-COLUMN($X$42)+1)="Semestrielle",MOD((YEAR($L381)-YEAR(INDEX('1 Budget annuel'!$L$14:$L$43,COLUMN()-COLUMN($X$42)+1)))*12+MONTH($L381)-MONTH(INDEX('1 Budget annuel'!$L$14:$L$43,COLUMN()-COLUMN($X$42)+1)),6)=0,DAY($L381)=MIN(DAY(INDEX('1 Budget annuel'!$L$14:$L$43,COLUMN()-COLUMN($X$42)+1)),DAY(EOMONTH($L381,0)))),AND(INDEX('1 Budget annuel'!$E$14:$E$43,COLUMN()-COLUMN($X$42)+1)="Annuelle",MOD((YEAR($L381)-YEAR(INDEX('1 Budget annuel'!$L$14:$L$43,COLUMN()-COLUMN($X$42)+1)))*12+MONTH($L381)-MONTH(INDEX('1 Budget annuel'!$L$14:$L$43,COLUMN()-COLUMN($X$42)+1)),12)=0,DAY($L381)=MIN(DAY(INDEX('1 Budget annuel'!$L$14:$L$43,COLUMN()-COLUMN($X$42)+1)),DAY(EOMONTH($L381,0))))),IF(INDEX('1 Budget annuel'!$B$14:$B$43,COLUMN()-COLUMN($X$42)+1)="Entrée",INDEX('1 Budget annuel'!$I$14:$I$43,COLUMN()-COLUMN($X$42)+1),-INDEX('1 Budget annuel'!$I$14:$I$43,COLUMN()-COLUMN($X$42)+1)),0))</x:f>
        <x:v>0</x:v>
      </x:c>
    </x:row>
    <x:row r="382">
      <x:c r="L382" s="114" t="n">
        <x:f>L381+1</x:f>
        <x:v>46576</x:v>
      </x:c>
      <x:c r="M382" s="115" t="b">
        <x:f>AND(L382&gt;=$D$5,L382&lt;=$D$5+363,MOD(L382-$D$5,7)=0)</x:f>
        <x:v>0</x:v>
      </x:c>
      <x:c r="N382" s="116" t="n">
        <x:f>SUM(X382:BA382)</x:f>
        <x:v>0</x:v>
      </x:c>
      <x:c r="O382" s="116" t="n">
        <x:f>IF(M382,$D$10,0)</x:f>
        <x:v>0</x:v>
      </x:c>
      <x:c r="P382" s="116" t="n">
        <x:f>N382-O382</x:f>
        <x:v>0</x:v>
      </x:c>
      <x:c r="Q382" s="116" t="n">
        <x:f>IF(L382&lt;$D$5,0,IF(L382=$D$5,P382,Q381+P382))</x:f>
        <x:v>0</x:v>
      </x:c>
      <x:c r="R382" s="116" t="n">
        <x:f>IF(L382&lt;$D$5,"",$J$10+Q382)</x:f>
        <x:v>0</x:v>
      </x:c>
      <x:c r="S382" s="116" t="n">
        <x:f>IF($L382&lt;$D$5,"",IF($L382=$D$5,$J$10+$N382-IF($M382,IF(INT(($L382-$D$5)/7)&lt;$A$20,$B$20,$D$10),0),S381+$N382-IF($M382,IF(INT(($L382-$D$5)/7)&lt;$A$20,$B$20,$D$10),0)))</x:f>
        <x:v>0</x:v>
      </x:c>
      <x:c r="T382" s="116" t="n">
        <x:f>IF($L382&lt;$D$5,"",IF($L382=$D$5,$J$10+$N382-IF($M382,IF(INT(($L382-$D$5)/7)&lt;$A$21,$B$21,$D$10),0),T381+$N382-IF($M382,IF(INT(($L382-$D$5)/7)&lt;$A$21,$B$21,$D$10),0)))</x:f>
        <x:v>0</x:v>
      </x:c>
      <x:c r="U382" s="116" t="n">
        <x:f>IF($L382&lt;$D$5,"",IF($L382=$D$5,$J$10+$N382-IF($M382,IF(INT(($L382-$D$5)/7)&lt;$A$22,$B$22,$D$10),0),U381+$N382-IF($M382,IF(INT(($L382-$D$5)/7)&lt;$A$22,$B$22,$D$10),0)))</x:f>
        <x:v>0</x:v>
      </x:c>
      <x:c r="V382" s="116" t="n">
        <x:f>IF($L382&lt;$D$5,"",IF($L382=$D$5,$J$10+$N382-IF($M382,IF(INT(($L382-$D$5)/7)&lt;$A$23,$B$23,$D$10),0),V381+$N382-IF($M382,IF(INT(($L382-$D$5)/7)&lt;$A$23,$B$23,$D$10),0)))</x:f>
        <x:v>0</x:v>
      </x:c>
      <x:c r="W382" s="116" t="n">
        <x:f>IF($L382&lt;$D$5,"",IF($L382=$D$5,$J$10+$N382-IF($M382,IF(INT(($L382-$D$5)/7)&lt;$A$24,$B$24,$D$10),0),W381+$N382-IF($M382,IF(INT(($L382-$D$5)/7)&lt;$A$24,$B$24,$D$10),0)))</x:f>
        <x:v>0</x:v>
      </x:c>
      <x:c r="X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Y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Z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A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B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C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D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E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F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G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H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I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J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K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L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M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N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O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P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Q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R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S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T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U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V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W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X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Y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AZ382" s="116"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c r="BA382" s="117" t="n">
        <x:f>IF(OR(INDEX('1 Budget annuel'!$A$14:$A$43,COLUMN()-COLUMN($X$42)+1)&lt;&gt;"Oui",INDEX('1 Budget annuel'!$L$14:$L$43,COLUMN()-COLUMN($X$42)+1)="",AND(INDEX('1 Budget annuel'!$B$14:$B$43,COLUMN()-COLUMN($X$42)+1)="Sortie",INDEX('1 Budget annuel'!$M$14:$M$43,COLUMN()-COLUMN($X$42)+1)="Oui"),$L382&lt;INDEX('1 Budget annuel'!$L$14:$L$43,COLUMN()-COLUMN($X$42)+1),$L382&gt;$D$5+363),0,IF(OR(AND(INDEX('1 Budget annuel'!$E$14:$E$43,COLUMN()-COLUMN($X$42)+1)="Hebdomadaire",MOD($L382-INDEX('1 Budget annuel'!$L$14:$L$43,COLUMN()-COLUMN($X$42)+1),7)=0),AND(INDEX('1 Budget annuel'!$E$14:$E$43,COLUMN()-COLUMN($X$42)+1)="Toutes les 4 semaines",MOD($L382-INDEX('1 Budget annuel'!$L$14:$L$43,COLUMN()-COLUMN($X$42)+1),28)=0),AND(INDEX('1 Budget annuel'!$E$14:$E$43,COLUMN()-COLUMN($X$42)+1)="Mensuelle",DAY($L382)=MIN(DAY(INDEX('1 Budget annuel'!$L$14:$L$43,COLUMN()-COLUMN($X$42)+1)),DAY(EOMONTH($L382,0)))),AND(INDEX('1 Budget annuel'!$E$14:$E$43,COLUMN()-COLUMN($X$42)+1)="Trimestrielle",MOD((YEAR($L382)-YEAR(INDEX('1 Budget annuel'!$L$14:$L$43,COLUMN()-COLUMN($X$42)+1)))*12+MONTH($L382)-MONTH(INDEX('1 Budget annuel'!$L$14:$L$43,COLUMN()-COLUMN($X$42)+1)),3)=0,DAY($L382)=MIN(DAY(INDEX('1 Budget annuel'!$L$14:$L$43,COLUMN()-COLUMN($X$42)+1)),DAY(EOMONTH($L382,0)))),AND(INDEX('1 Budget annuel'!$E$14:$E$43,COLUMN()-COLUMN($X$42)+1)="Semestrielle",MOD((YEAR($L382)-YEAR(INDEX('1 Budget annuel'!$L$14:$L$43,COLUMN()-COLUMN($X$42)+1)))*12+MONTH($L382)-MONTH(INDEX('1 Budget annuel'!$L$14:$L$43,COLUMN()-COLUMN($X$42)+1)),6)=0,DAY($L382)=MIN(DAY(INDEX('1 Budget annuel'!$L$14:$L$43,COLUMN()-COLUMN($X$42)+1)),DAY(EOMONTH($L382,0)))),AND(INDEX('1 Budget annuel'!$E$14:$E$43,COLUMN()-COLUMN($X$42)+1)="Annuelle",MOD((YEAR($L382)-YEAR(INDEX('1 Budget annuel'!$L$14:$L$43,COLUMN()-COLUMN($X$42)+1)))*12+MONTH($L382)-MONTH(INDEX('1 Budget annuel'!$L$14:$L$43,COLUMN()-COLUMN($X$42)+1)),12)=0,DAY($L382)=MIN(DAY(INDEX('1 Budget annuel'!$L$14:$L$43,COLUMN()-COLUMN($X$42)+1)),DAY(EOMONTH($L382,0))))),IF(INDEX('1 Budget annuel'!$B$14:$B$43,COLUMN()-COLUMN($X$42)+1)="Entrée",INDEX('1 Budget annuel'!$I$14:$I$43,COLUMN()-COLUMN($X$42)+1),-INDEX('1 Budget annuel'!$I$14:$I$43,COLUMN()-COLUMN($X$42)+1)),0))</x:f>
        <x:v>0</x:v>
      </x:c>
    </x:row>
    <x:row r="383">
      <x:c r="L383" s="114" t="n">
        <x:f>L382+1</x:f>
        <x:v>46577</x:v>
      </x:c>
      <x:c r="M383" s="115" t="b">
        <x:f>AND(L383&gt;=$D$5,L383&lt;=$D$5+363,MOD(L383-$D$5,7)=0)</x:f>
        <x:v>0</x:v>
      </x:c>
      <x:c r="N383" s="116" t="n">
        <x:f>SUM(X383:BA383)</x:f>
        <x:v>0</x:v>
      </x:c>
      <x:c r="O383" s="116" t="n">
        <x:f>IF(M383,$D$10,0)</x:f>
        <x:v>0</x:v>
      </x:c>
      <x:c r="P383" s="116" t="n">
        <x:f>N383-O383</x:f>
        <x:v>0</x:v>
      </x:c>
      <x:c r="Q383" s="116" t="n">
        <x:f>IF(L383&lt;$D$5,0,IF(L383=$D$5,P383,Q382+P383))</x:f>
        <x:v>0</x:v>
      </x:c>
      <x:c r="R383" s="116" t="n">
        <x:f>IF(L383&lt;$D$5,"",$J$10+Q383)</x:f>
        <x:v>0</x:v>
      </x:c>
      <x:c r="S383" s="116" t="n">
        <x:f>IF($L383&lt;$D$5,"",IF($L383=$D$5,$J$10+$N383-IF($M383,IF(INT(($L383-$D$5)/7)&lt;$A$20,$B$20,$D$10),0),S382+$N383-IF($M383,IF(INT(($L383-$D$5)/7)&lt;$A$20,$B$20,$D$10),0)))</x:f>
        <x:v>0</x:v>
      </x:c>
      <x:c r="T383" s="116" t="n">
        <x:f>IF($L383&lt;$D$5,"",IF($L383=$D$5,$J$10+$N383-IF($M383,IF(INT(($L383-$D$5)/7)&lt;$A$21,$B$21,$D$10),0),T382+$N383-IF($M383,IF(INT(($L383-$D$5)/7)&lt;$A$21,$B$21,$D$10),0)))</x:f>
        <x:v>0</x:v>
      </x:c>
      <x:c r="U383" s="116" t="n">
        <x:f>IF($L383&lt;$D$5,"",IF($L383=$D$5,$J$10+$N383-IF($M383,IF(INT(($L383-$D$5)/7)&lt;$A$22,$B$22,$D$10),0),U382+$N383-IF($M383,IF(INT(($L383-$D$5)/7)&lt;$A$22,$B$22,$D$10),0)))</x:f>
        <x:v>0</x:v>
      </x:c>
      <x:c r="V383" s="116" t="n">
        <x:f>IF($L383&lt;$D$5,"",IF($L383=$D$5,$J$10+$N383-IF($M383,IF(INT(($L383-$D$5)/7)&lt;$A$23,$B$23,$D$10),0),V382+$N383-IF($M383,IF(INT(($L383-$D$5)/7)&lt;$A$23,$B$23,$D$10),0)))</x:f>
        <x:v>0</x:v>
      </x:c>
      <x:c r="W383" s="116" t="n">
        <x:f>IF($L383&lt;$D$5,"",IF($L383=$D$5,$J$10+$N383-IF($M383,IF(INT(($L383-$D$5)/7)&lt;$A$24,$B$24,$D$10),0),W382+$N383-IF($M383,IF(INT(($L383-$D$5)/7)&lt;$A$24,$B$24,$D$10),0)))</x:f>
        <x:v>0</x:v>
      </x:c>
      <x:c r="X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Y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Z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A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B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C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D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E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F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G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H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I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J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K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L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M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N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O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P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Q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R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S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T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U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V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W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X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Y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AZ383" s="116"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c r="BA383" s="117" t="n">
        <x:f>IF(OR(INDEX('1 Budget annuel'!$A$14:$A$43,COLUMN()-COLUMN($X$42)+1)&lt;&gt;"Oui",INDEX('1 Budget annuel'!$L$14:$L$43,COLUMN()-COLUMN($X$42)+1)="",AND(INDEX('1 Budget annuel'!$B$14:$B$43,COLUMN()-COLUMN($X$42)+1)="Sortie",INDEX('1 Budget annuel'!$M$14:$M$43,COLUMN()-COLUMN($X$42)+1)="Oui"),$L383&lt;INDEX('1 Budget annuel'!$L$14:$L$43,COLUMN()-COLUMN($X$42)+1),$L383&gt;$D$5+363),0,IF(OR(AND(INDEX('1 Budget annuel'!$E$14:$E$43,COLUMN()-COLUMN($X$42)+1)="Hebdomadaire",MOD($L383-INDEX('1 Budget annuel'!$L$14:$L$43,COLUMN()-COLUMN($X$42)+1),7)=0),AND(INDEX('1 Budget annuel'!$E$14:$E$43,COLUMN()-COLUMN($X$42)+1)="Toutes les 4 semaines",MOD($L383-INDEX('1 Budget annuel'!$L$14:$L$43,COLUMN()-COLUMN($X$42)+1),28)=0),AND(INDEX('1 Budget annuel'!$E$14:$E$43,COLUMN()-COLUMN($X$42)+1)="Mensuelle",DAY($L383)=MIN(DAY(INDEX('1 Budget annuel'!$L$14:$L$43,COLUMN()-COLUMN($X$42)+1)),DAY(EOMONTH($L383,0)))),AND(INDEX('1 Budget annuel'!$E$14:$E$43,COLUMN()-COLUMN($X$42)+1)="Trimestrielle",MOD((YEAR($L383)-YEAR(INDEX('1 Budget annuel'!$L$14:$L$43,COLUMN()-COLUMN($X$42)+1)))*12+MONTH($L383)-MONTH(INDEX('1 Budget annuel'!$L$14:$L$43,COLUMN()-COLUMN($X$42)+1)),3)=0,DAY($L383)=MIN(DAY(INDEX('1 Budget annuel'!$L$14:$L$43,COLUMN()-COLUMN($X$42)+1)),DAY(EOMONTH($L383,0)))),AND(INDEX('1 Budget annuel'!$E$14:$E$43,COLUMN()-COLUMN($X$42)+1)="Semestrielle",MOD((YEAR($L383)-YEAR(INDEX('1 Budget annuel'!$L$14:$L$43,COLUMN()-COLUMN($X$42)+1)))*12+MONTH($L383)-MONTH(INDEX('1 Budget annuel'!$L$14:$L$43,COLUMN()-COLUMN($X$42)+1)),6)=0,DAY($L383)=MIN(DAY(INDEX('1 Budget annuel'!$L$14:$L$43,COLUMN()-COLUMN($X$42)+1)),DAY(EOMONTH($L383,0)))),AND(INDEX('1 Budget annuel'!$E$14:$E$43,COLUMN()-COLUMN($X$42)+1)="Annuelle",MOD((YEAR($L383)-YEAR(INDEX('1 Budget annuel'!$L$14:$L$43,COLUMN()-COLUMN($X$42)+1)))*12+MONTH($L383)-MONTH(INDEX('1 Budget annuel'!$L$14:$L$43,COLUMN()-COLUMN($X$42)+1)),12)=0,DAY($L383)=MIN(DAY(INDEX('1 Budget annuel'!$L$14:$L$43,COLUMN()-COLUMN($X$42)+1)),DAY(EOMONTH($L383,0))))),IF(INDEX('1 Budget annuel'!$B$14:$B$43,COLUMN()-COLUMN($X$42)+1)="Entrée",INDEX('1 Budget annuel'!$I$14:$I$43,COLUMN()-COLUMN($X$42)+1),-INDEX('1 Budget annuel'!$I$14:$I$43,COLUMN()-COLUMN($X$42)+1)),0))</x:f>
        <x:v>0</x:v>
      </x:c>
    </x:row>
    <x:row r="384">
      <x:c r="L384" s="114" t="n">
        <x:f>L383+1</x:f>
        <x:v>46578</x:v>
      </x:c>
      <x:c r="M384" s="115" t="b">
        <x:f>AND(L384&gt;=$D$5,L384&lt;=$D$5+363,MOD(L384-$D$5,7)=0)</x:f>
        <x:v>1</x:v>
      </x:c>
      <x:c r="N384" s="116" t="n">
        <x:f>SUM(X384:BA384)</x:f>
        <x:v>0</x:v>
      </x:c>
      <x:c r="O384" s="116" t="n">
        <x:f>IF(M384,$D$10,0)</x:f>
        <x:v>0</x:v>
      </x:c>
      <x:c r="P384" s="116" t="n">
        <x:f>N384-O384</x:f>
        <x:v>0</x:v>
      </x:c>
      <x:c r="Q384" s="116" t="n">
        <x:f>IF(L384&lt;$D$5,0,IF(L384=$D$5,P384,Q383+P384))</x:f>
        <x:v>0</x:v>
      </x:c>
      <x:c r="R384" s="116" t="n">
        <x:f>IF(L384&lt;$D$5,"",$J$10+Q384)</x:f>
        <x:v>0</x:v>
      </x:c>
      <x:c r="S384" s="116" t="n">
        <x:f>IF($L384&lt;$D$5,"",IF($L384=$D$5,$J$10+$N384-IF($M384,IF(INT(($L384-$D$5)/7)&lt;$A$20,$B$20,$D$10),0),S383+$N384-IF($M384,IF(INT(($L384-$D$5)/7)&lt;$A$20,$B$20,$D$10),0)))</x:f>
        <x:v>0</x:v>
      </x:c>
      <x:c r="T384" s="116" t="n">
        <x:f>IF($L384&lt;$D$5,"",IF($L384=$D$5,$J$10+$N384-IF($M384,IF(INT(($L384-$D$5)/7)&lt;$A$21,$B$21,$D$10),0),T383+$N384-IF($M384,IF(INT(($L384-$D$5)/7)&lt;$A$21,$B$21,$D$10),0)))</x:f>
        <x:v>0</x:v>
      </x:c>
      <x:c r="U384" s="116" t="n">
        <x:f>IF($L384&lt;$D$5,"",IF($L384=$D$5,$J$10+$N384-IF($M384,IF(INT(($L384-$D$5)/7)&lt;$A$22,$B$22,$D$10),0),U383+$N384-IF($M384,IF(INT(($L384-$D$5)/7)&lt;$A$22,$B$22,$D$10),0)))</x:f>
        <x:v>0</x:v>
      </x:c>
      <x:c r="V384" s="116" t="n">
        <x:f>IF($L384&lt;$D$5,"",IF($L384=$D$5,$J$10+$N384-IF($M384,IF(INT(($L384-$D$5)/7)&lt;$A$23,$B$23,$D$10),0),V383+$N384-IF($M384,IF(INT(($L384-$D$5)/7)&lt;$A$23,$B$23,$D$10),0)))</x:f>
        <x:v>0</x:v>
      </x:c>
      <x:c r="W384" s="116" t="n">
        <x:f>IF($L384&lt;$D$5,"",IF($L384=$D$5,$J$10+$N384-IF($M384,IF(INT(($L384-$D$5)/7)&lt;$A$24,$B$24,$D$10),0),W383+$N384-IF($M384,IF(INT(($L384-$D$5)/7)&lt;$A$24,$B$24,$D$10),0)))</x:f>
        <x:v>0</x:v>
      </x:c>
      <x:c r="X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Y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Z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A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B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C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D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E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F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G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H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I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J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K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L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M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N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O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P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Q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R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S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T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U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V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W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X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Y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AZ384" s="116"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c r="BA384" s="117" t="n">
        <x:f>IF(OR(INDEX('1 Budget annuel'!$A$14:$A$43,COLUMN()-COLUMN($X$42)+1)&lt;&gt;"Oui",INDEX('1 Budget annuel'!$L$14:$L$43,COLUMN()-COLUMN($X$42)+1)="",AND(INDEX('1 Budget annuel'!$B$14:$B$43,COLUMN()-COLUMN($X$42)+1)="Sortie",INDEX('1 Budget annuel'!$M$14:$M$43,COLUMN()-COLUMN($X$42)+1)="Oui"),$L384&lt;INDEX('1 Budget annuel'!$L$14:$L$43,COLUMN()-COLUMN($X$42)+1),$L384&gt;$D$5+363),0,IF(OR(AND(INDEX('1 Budget annuel'!$E$14:$E$43,COLUMN()-COLUMN($X$42)+1)="Hebdomadaire",MOD($L384-INDEX('1 Budget annuel'!$L$14:$L$43,COLUMN()-COLUMN($X$42)+1),7)=0),AND(INDEX('1 Budget annuel'!$E$14:$E$43,COLUMN()-COLUMN($X$42)+1)="Toutes les 4 semaines",MOD($L384-INDEX('1 Budget annuel'!$L$14:$L$43,COLUMN()-COLUMN($X$42)+1),28)=0),AND(INDEX('1 Budget annuel'!$E$14:$E$43,COLUMN()-COLUMN($X$42)+1)="Mensuelle",DAY($L384)=MIN(DAY(INDEX('1 Budget annuel'!$L$14:$L$43,COLUMN()-COLUMN($X$42)+1)),DAY(EOMONTH($L384,0)))),AND(INDEX('1 Budget annuel'!$E$14:$E$43,COLUMN()-COLUMN($X$42)+1)="Trimestrielle",MOD((YEAR($L384)-YEAR(INDEX('1 Budget annuel'!$L$14:$L$43,COLUMN()-COLUMN($X$42)+1)))*12+MONTH($L384)-MONTH(INDEX('1 Budget annuel'!$L$14:$L$43,COLUMN()-COLUMN($X$42)+1)),3)=0,DAY($L384)=MIN(DAY(INDEX('1 Budget annuel'!$L$14:$L$43,COLUMN()-COLUMN($X$42)+1)),DAY(EOMONTH($L384,0)))),AND(INDEX('1 Budget annuel'!$E$14:$E$43,COLUMN()-COLUMN($X$42)+1)="Semestrielle",MOD((YEAR($L384)-YEAR(INDEX('1 Budget annuel'!$L$14:$L$43,COLUMN()-COLUMN($X$42)+1)))*12+MONTH($L384)-MONTH(INDEX('1 Budget annuel'!$L$14:$L$43,COLUMN()-COLUMN($X$42)+1)),6)=0,DAY($L384)=MIN(DAY(INDEX('1 Budget annuel'!$L$14:$L$43,COLUMN()-COLUMN($X$42)+1)),DAY(EOMONTH($L384,0)))),AND(INDEX('1 Budget annuel'!$E$14:$E$43,COLUMN()-COLUMN($X$42)+1)="Annuelle",MOD((YEAR($L384)-YEAR(INDEX('1 Budget annuel'!$L$14:$L$43,COLUMN()-COLUMN($X$42)+1)))*12+MONTH($L384)-MONTH(INDEX('1 Budget annuel'!$L$14:$L$43,COLUMN()-COLUMN($X$42)+1)),12)=0,DAY($L384)=MIN(DAY(INDEX('1 Budget annuel'!$L$14:$L$43,COLUMN()-COLUMN($X$42)+1)),DAY(EOMONTH($L384,0))))),IF(INDEX('1 Budget annuel'!$B$14:$B$43,COLUMN()-COLUMN($X$42)+1)="Entrée",INDEX('1 Budget annuel'!$I$14:$I$43,COLUMN()-COLUMN($X$42)+1),-INDEX('1 Budget annuel'!$I$14:$I$43,COLUMN()-COLUMN($X$42)+1)),0))</x:f>
        <x:v>0</x:v>
      </x:c>
    </x:row>
    <x:row r="385">
      <x:c r="L385" s="114" t="n">
        <x:f>L384+1</x:f>
        <x:v>46579</x:v>
      </x:c>
      <x:c r="M385" s="115" t="b">
        <x:f>AND(L385&gt;=$D$5,L385&lt;=$D$5+363,MOD(L385-$D$5,7)=0)</x:f>
        <x:v>0</x:v>
      </x:c>
      <x:c r="N385" s="116" t="n">
        <x:f>SUM(X385:BA385)</x:f>
        <x:v>0</x:v>
      </x:c>
      <x:c r="O385" s="116" t="n">
        <x:f>IF(M385,$D$10,0)</x:f>
        <x:v>0</x:v>
      </x:c>
      <x:c r="P385" s="116" t="n">
        <x:f>N385-O385</x:f>
        <x:v>0</x:v>
      </x:c>
      <x:c r="Q385" s="116" t="n">
        <x:f>IF(L385&lt;$D$5,0,IF(L385=$D$5,P385,Q384+P385))</x:f>
        <x:v>0</x:v>
      </x:c>
      <x:c r="R385" s="116" t="n">
        <x:f>IF(L385&lt;$D$5,"",$J$10+Q385)</x:f>
        <x:v>0</x:v>
      </x:c>
      <x:c r="S385" s="116" t="n">
        <x:f>IF($L385&lt;$D$5,"",IF($L385=$D$5,$J$10+$N385-IF($M385,IF(INT(($L385-$D$5)/7)&lt;$A$20,$B$20,$D$10),0),S384+$N385-IF($M385,IF(INT(($L385-$D$5)/7)&lt;$A$20,$B$20,$D$10),0)))</x:f>
        <x:v>0</x:v>
      </x:c>
      <x:c r="T385" s="116" t="n">
        <x:f>IF($L385&lt;$D$5,"",IF($L385=$D$5,$J$10+$N385-IF($M385,IF(INT(($L385-$D$5)/7)&lt;$A$21,$B$21,$D$10),0),T384+$N385-IF($M385,IF(INT(($L385-$D$5)/7)&lt;$A$21,$B$21,$D$10),0)))</x:f>
        <x:v>0</x:v>
      </x:c>
      <x:c r="U385" s="116" t="n">
        <x:f>IF($L385&lt;$D$5,"",IF($L385=$D$5,$J$10+$N385-IF($M385,IF(INT(($L385-$D$5)/7)&lt;$A$22,$B$22,$D$10),0),U384+$N385-IF($M385,IF(INT(($L385-$D$5)/7)&lt;$A$22,$B$22,$D$10),0)))</x:f>
        <x:v>0</x:v>
      </x:c>
      <x:c r="V385" s="116" t="n">
        <x:f>IF($L385&lt;$D$5,"",IF($L385=$D$5,$J$10+$N385-IF($M385,IF(INT(($L385-$D$5)/7)&lt;$A$23,$B$23,$D$10),0),V384+$N385-IF($M385,IF(INT(($L385-$D$5)/7)&lt;$A$23,$B$23,$D$10),0)))</x:f>
        <x:v>0</x:v>
      </x:c>
      <x:c r="W385" s="116" t="n">
        <x:f>IF($L385&lt;$D$5,"",IF($L385=$D$5,$J$10+$N385-IF($M385,IF(INT(($L385-$D$5)/7)&lt;$A$24,$B$24,$D$10),0),W384+$N385-IF($M385,IF(INT(($L385-$D$5)/7)&lt;$A$24,$B$24,$D$10),0)))</x:f>
        <x:v>0</x:v>
      </x:c>
      <x:c r="X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Y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Z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A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B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C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D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E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F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G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H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I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J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K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L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M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N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O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P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Q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R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S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T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U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V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W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X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Y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AZ385" s="116"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c r="BA385" s="117" t="n">
        <x:f>IF(OR(INDEX('1 Budget annuel'!$A$14:$A$43,COLUMN()-COLUMN($X$42)+1)&lt;&gt;"Oui",INDEX('1 Budget annuel'!$L$14:$L$43,COLUMN()-COLUMN($X$42)+1)="",AND(INDEX('1 Budget annuel'!$B$14:$B$43,COLUMN()-COLUMN($X$42)+1)="Sortie",INDEX('1 Budget annuel'!$M$14:$M$43,COLUMN()-COLUMN($X$42)+1)="Oui"),$L385&lt;INDEX('1 Budget annuel'!$L$14:$L$43,COLUMN()-COLUMN($X$42)+1),$L385&gt;$D$5+363),0,IF(OR(AND(INDEX('1 Budget annuel'!$E$14:$E$43,COLUMN()-COLUMN($X$42)+1)="Hebdomadaire",MOD($L385-INDEX('1 Budget annuel'!$L$14:$L$43,COLUMN()-COLUMN($X$42)+1),7)=0),AND(INDEX('1 Budget annuel'!$E$14:$E$43,COLUMN()-COLUMN($X$42)+1)="Toutes les 4 semaines",MOD($L385-INDEX('1 Budget annuel'!$L$14:$L$43,COLUMN()-COLUMN($X$42)+1),28)=0),AND(INDEX('1 Budget annuel'!$E$14:$E$43,COLUMN()-COLUMN($X$42)+1)="Mensuelle",DAY($L385)=MIN(DAY(INDEX('1 Budget annuel'!$L$14:$L$43,COLUMN()-COLUMN($X$42)+1)),DAY(EOMONTH($L385,0)))),AND(INDEX('1 Budget annuel'!$E$14:$E$43,COLUMN()-COLUMN($X$42)+1)="Trimestrielle",MOD((YEAR($L385)-YEAR(INDEX('1 Budget annuel'!$L$14:$L$43,COLUMN()-COLUMN($X$42)+1)))*12+MONTH($L385)-MONTH(INDEX('1 Budget annuel'!$L$14:$L$43,COLUMN()-COLUMN($X$42)+1)),3)=0,DAY($L385)=MIN(DAY(INDEX('1 Budget annuel'!$L$14:$L$43,COLUMN()-COLUMN($X$42)+1)),DAY(EOMONTH($L385,0)))),AND(INDEX('1 Budget annuel'!$E$14:$E$43,COLUMN()-COLUMN($X$42)+1)="Semestrielle",MOD((YEAR($L385)-YEAR(INDEX('1 Budget annuel'!$L$14:$L$43,COLUMN()-COLUMN($X$42)+1)))*12+MONTH($L385)-MONTH(INDEX('1 Budget annuel'!$L$14:$L$43,COLUMN()-COLUMN($X$42)+1)),6)=0,DAY($L385)=MIN(DAY(INDEX('1 Budget annuel'!$L$14:$L$43,COLUMN()-COLUMN($X$42)+1)),DAY(EOMONTH($L385,0)))),AND(INDEX('1 Budget annuel'!$E$14:$E$43,COLUMN()-COLUMN($X$42)+1)="Annuelle",MOD((YEAR($L385)-YEAR(INDEX('1 Budget annuel'!$L$14:$L$43,COLUMN()-COLUMN($X$42)+1)))*12+MONTH($L385)-MONTH(INDEX('1 Budget annuel'!$L$14:$L$43,COLUMN()-COLUMN($X$42)+1)),12)=0,DAY($L385)=MIN(DAY(INDEX('1 Budget annuel'!$L$14:$L$43,COLUMN()-COLUMN($X$42)+1)),DAY(EOMONTH($L385,0))))),IF(INDEX('1 Budget annuel'!$B$14:$B$43,COLUMN()-COLUMN($X$42)+1)="Entrée",INDEX('1 Budget annuel'!$I$14:$I$43,COLUMN()-COLUMN($X$42)+1),-INDEX('1 Budget annuel'!$I$14:$I$43,COLUMN()-COLUMN($X$42)+1)),0))</x:f>
        <x:v>0</x:v>
      </x:c>
    </x:row>
    <x:row r="386">
      <x:c r="L386" s="114" t="n">
        <x:f>L385+1</x:f>
        <x:v>46580</x:v>
      </x:c>
      <x:c r="M386" s="115" t="b">
        <x:f>AND(L386&gt;=$D$5,L386&lt;=$D$5+363,MOD(L386-$D$5,7)=0)</x:f>
        <x:v>0</x:v>
      </x:c>
      <x:c r="N386" s="116" t="n">
        <x:f>SUM(X386:BA386)</x:f>
        <x:v>0</x:v>
      </x:c>
      <x:c r="O386" s="116" t="n">
        <x:f>IF(M386,$D$10,0)</x:f>
        <x:v>0</x:v>
      </x:c>
      <x:c r="P386" s="116" t="n">
        <x:f>N386-O386</x:f>
        <x:v>0</x:v>
      </x:c>
      <x:c r="Q386" s="116" t="n">
        <x:f>IF(L386&lt;$D$5,0,IF(L386=$D$5,P386,Q385+P386))</x:f>
        <x:v>0</x:v>
      </x:c>
      <x:c r="R386" s="116" t="n">
        <x:f>IF(L386&lt;$D$5,"",$J$10+Q386)</x:f>
        <x:v>0</x:v>
      </x:c>
      <x:c r="S386" s="116" t="n">
        <x:f>IF($L386&lt;$D$5,"",IF($L386=$D$5,$J$10+$N386-IF($M386,IF(INT(($L386-$D$5)/7)&lt;$A$20,$B$20,$D$10),0),S385+$N386-IF($M386,IF(INT(($L386-$D$5)/7)&lt;$A$20,$B$20,$D$10),0)))</x:f>
        <x:v>0</x:v>
      </x:c>
      <x:c r="T386" s="116" t="n">
        <x:f>IF($L386&lt;$D$5,"",IF($L386=$D$5,$J$10+$N386-IF($M386,IF(INT(($L386-$D$5)/7)&lt;$A$21,$B$21,$D$10),0),T385+$N386-IF($M386,IF(INT(($L386-$D$5)/7)&lt;$A$21,$B$21,$D$10),0)))</x:f>
        <x:v>0</x:v>
      </x:c>
      <x:c r="U386" s="116" t="n">
        <x:f>IF($L386&lt;$D$5,"",IF($L386=$D$5,$J$10+$N386-IF($M386,IF(INT(($L386-$D$5)/7)&lt;$A$22,$B$22,$D$10),0),U385+$N386-IF($M386,IF(INT(($L386-$D$5)/7)&lt;$A$22,$B$22,$D$10),0)))</x:f>
        <x:v>0</x:v>
      </x:c>
      <x:c r="V386" s="116" t="n">
        <x:f>IF($L386&lt;$D$5,"",IF($L386=$D$5,$J$10+$N386-IF($M386,IF(INT(($L386-$D$5)/7)&lt;$A$23,$B$23,$D$10),0),V385+$N386-IF($M386,IF(INT(($L386-$D$5)/7)&lt;$A$23,$B$23,$D$10),0)))</x:f>
        <x:v>0</x:v>
      </x:c>
      <x:c r="W386" s="116" t="n">
        <x:f>IF($L386&lt;$D$5,"",IF($L386=$D$5,$J$10+$N386-IF($M386,IF(INT(($L386-$D$5)/7)&lt;$A$24,$B$24,$D$10),0),W385+$N386-IF($M386,IF(INT(($L386-$D$5)/7)&lt;$A$24,$B$24,$D$10),0)))</x:f>
        <x:v>0</x:v>
      </x:c>
      <x:c r="X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Y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Z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A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B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C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D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E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F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G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H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I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J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K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L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M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N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O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P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Q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R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S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T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U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V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W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X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Y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AZ386" s="116"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c r="BA386" s="117" t="n">
        <x:f>IF(OR(INDEX('1 Budget annuel'!$A$14:$A$43,COLUMN()-COLUMN($X$42)+1)&lt;&gt;"Oui",INDEX('1 Budget annuel'!$L$14:$L$43,COLUMN()-COLUMN($X$42)+1)="",AND(INDEX('1 Budget annuel'!$B$14:$B$43,COLUMN()-COLUMN($X$42)+1)="Sortie",INDEX('1 Budget annuel'!$M$14:$M$43,COLUMN()-COLUMN($X$42)+1)="Oui"),$L386&lt;INDEX('1 Budget annuel'!$L$14:$L$43,COLUMN()-COLUMN($X$42)+1),$L386&gt;$D$5+363),0,IF(OR(AND(INDEX('1 Budget annuel'!$E$14:$E$43,COLUMN()-COLUMN($X$42)+1)="Hebdomadaire",MOD($L386-INDEX('1 Budget annuel'!$L$14:$L$43,COLUMN()-COLUMN($X$42)+1),7)=0),AND(INDEX('1 Budget annuel'!$E$14:$E$43,COLUMN()-COLUMN($X$42)+1)="Toutes les 4 semaines",MOD($L386-INDEX('1 Budget annuel'!$L$14:$L$43,COLUMN()-COLUMN($X$42)+1),28)=0),AND(INDEX('1 Budget annuel'!$E$14:$E$43,COLUMN()-COLUMN($X$42)+1)="Mensuelle",DAY($L386)=MIN(DAY(INDEX('1 Budget annuel'!$L$14:$L$43,COLUMN()-COLUMN($X$42)+1)),DAY(EOMONTH($L386,0)))),AND(INDEX('1 Budget annuel'!$E$14:$E$43,COLUMN()-COLUMN($X$42)+1)="Trimestrielle",MOD((YEAR($L386)-YEAR(INDEX('1 Budget annuel'!$L$14:$L$43,COLUMN()-COLUMN($X$42)+1)))*12+MONTH($L386)-MONTH(INDEX('1 Budget annuel'!$L$14:$L$43,COLUMN()-COLUMN($X$42)+1)),3)=0,DAY($L386)=MIN(DAY(INDEX('1 Budget annuel'!$L$14:$L$43,COLUMN()-COLUMN($X$42)+1)),DAY(EOMONTH($L386,0)))),AND(INDEX('1 Budget annuel'!$E$14:$E$43,COLUMN()-COLUMN($X$42)+1)="Semestrielle",MOD((YEAR($L386)-YEAR(INDEX('1 Budget annuel'!$L$14:$L$43,COLUMN()-COLUMN($X$42)+1)))*12+MONTH($L386)-MONTH(INDEX('1 Budget annuel'!$L$14:$L$43,COLUMN()-COLUMN($X$42)+1)),6)=0,DAY($L386)=MIN(DAY(INDEX('1 Budget annuel'!$L$14:$L$43,COLUMN()-COLUMN($X$42)+1)),DAY(EOMONTH($L386,0)))),AND(INDEX('1 Budget annuel'!$E$14:$E$43,COLUMN()-COLUMN($X$42)+1)="Annuelle",MOD((YEAR($L386)-YEAR(INDEX('1 Budget annuel'!$L$14:$L$43,COLUMN()-COLUMN($X$42)+1)))*12+MONTH($L386)-MONTH(INDEX('1 Budget annuel'!$L$14:$L$43,COLUMN()-COLUMN($X$42)+1)),12)=0,DAY($L386)=MIN(DAY(INDEX('1 Budget annuel'!$L$14:$L$43,COLUMN()-COLUMN($X$42)+1)),DAY(EOMONTH($L386,0))))),IF(INDEX('1 Budget annuel'!$B$14:$B$43,COLUMN()-COLUMN($X$42)+1)="Entrée",INDEX('1 Budget annuel'!$I$14:$I$43,COLUMN()-COLUMN($X$42)+1),-INDEX('1 Budget annuel'!$I$14:$I$43,COLUMN()-COLUMN($X$42)+1)),0))</x:f>
        <x:v>0</x:v>
      </x:c>
    </x:row>
    <x:row r="387">
      <x:c r="L387" s="114" t="n">
        <x:f>L386+1</x:f>
        <x:v>46581</x:v>
      </x:c>
      <x:c r="M387" s="115" t="b">
        <x:f>AND(L387&gt;=$D$5,L387&lt;=$D$5+363,MOD(L387-$D$5,7)=0)</x:f>
        <x:v>0</x:v>
      </x:c>
      <x:c r="N387" s="116" t="n">
        <x:f>SUM(X387:BA387)</x:f>
        <x:v>0</x:v>
      </x:c>
      <x:c r="O387" s="116" t="n">
        <x:f>IF(M387,$D$10,0)</x:f>
        <x:v>0</x:v>
      </x:c>
      <x:c r="P387" s="116" t="n">
        <x:f>N387-O387</x:f>
        <x:v>0</x:v>
      </x:c>
      <x:c r="Q387" s="116" t="n">
        <x:f>IF(L387&lt;$D$5,0,IF(L387=$D$5,P387,Q386+P387))</x:f>
        <x:v>0</x:v>
      </x:c>
      <x:c r="R387" s="116" t="n">
        <x:f>IF(L387&lt;$D$5,"",$J$10+Q387)</x:f>
        <x:v>0</x:v>
      </x:c>
      <x:c r="S387" s="116" t="n">
        <x:f>IF($L387&lt;$D$5,"",IF($L387=$D$5,$J$10+$N387-IF($M387,IF(INT(($L387-$D$5)/7)&lt;$A$20,$B$20,$D$10),0),S386+$N387-IF($M387,IF(INT(($L387-$D$5)/7)&lt;$A$20,$B$20,$D$10),0)))</x:f>
        <x:v>0</x:v>
      </x:c>
      <x:c r="T387" s="116" t="n">
        <x:f>IF($L387&lt;$D$5,"",IF($L387=$D$5,$J$10+$N387-IF($M387,IF(INT(($L387-$D$5)/7)&lt;$A$21,$B$21,$D$10),0),T386+$N387-IF($M387,IF(INT(($L387-$D$5)/7)&lt;$A$21,$B$21,$D$10),0)))</x:f>
        <x:v>0</x:v>
      </x:c>
      <x:c r="U387" s="116" t="n">
        <x:f>IF($L387&lt;$D$5,"",IF($L387=$D$5,$J$10+$N387-IF($M387,IF(INT(($L387-$D$5)/7)&lt;$A$22,$B$22,$D$10),0),U386+$N387-IF($M387,IF(INT(($L387-$D$5)/7)&lt;$A$22,$B$22,$D$10),0)))</x:f>
        <x:v>0</x:v>
      </x:c>
      <x:c r="V387" s="116" t="n">
        <x:f>IF($L387&lt;$D$5,"",IF($L387=$D$5,$J$10+$N387-IF($M387,IF(INT(($L387-$D$5)/7)&lt;$A$23,$B$23,$D$10),0),V386+$N387-IF($M387,IF(INT(($L387-$D$5)/7)&lt;$A$23,$B$23,$D$10),0)))</x:f>
        <x:v>0</x:v>
      </x:c>
      <x:c r="W387" s="116" t="n">
        <x:f>IF($L387&lt;$D$5,"",IF($L387=$D$5,$J$10+$N387-IF($M387,IF(INT(($L387-$D$5)/7)&lt;$A$24,$B$24,$D$10),0),W386+$N387-IF($M387,IF(INT(($L387-$D$5)/7)&lt;$A$24,$B$24,$D$10),0)))</x:f>
        <x:v>0</x:v>
      </x:c>
      <x:c r="X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Y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Z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A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B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C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D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E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F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G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H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I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J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K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L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M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N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O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P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Q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R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S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T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U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V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W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X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Y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AZ387" s="116"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c r="BA387" s="117" t="n">
        <x:f>IF(OR(INDEX('1 Budget annuel'!$A$14:$A$43,COLUMN()-COLUMN($X$42)+1)&lt;&gt;"Oui",INDEX('1 Budget annuel'!$L$14:$L$43,COLUMN()-COLUMN($X$42)+1)="",AND(INDEX('1 Budget annuel'!$B$14:$B$43,COLUMN()-COLUMN($X$42)+1)="Sortie",INDEX('1 Budget annuel'!$M$14:$M$43,COLUMN()-COLUMN($X$42)+1)="Oui"),$L387&lt;INDEX('1 Budget annuel'!$L$14:$L$43,COLUMN()-COLUMN($X$42)+1),$L387&gt;$D$5+363),0,IF(OR(AND(INDEX('1 Budget annuel'!$E$14:$E$43,COLUMN()-COLUMN($X$42)+1)="Hebdomadaire",MOD($L387-INDEX('1 Budget annuel'!$L$14:$L$43,COLUMN()-COLUMN($X$42)+1),7)=0),AND(INDEX('1 Budget annuel'!$E$14:$E$43,COLUMN()-COLUMN($X$42)+1)="Toutes les 4 semaines",MOD($L387-INDEX('1 Budget annuel'!$L$14:$L$43,COLUMN()-COLUMN($X$42)+1),28)=0),AND(INDEX('1 Budget annuel'!$E$14:$E$43,COLUMN()-COLUMN($X$42)+1)="Mensuelle",DAY($L387)=MIN(DAY(INDEX('1 Budget annuel'!$L$14:$L$43,COLUMN()-COLUMN($X$42)+1)),DAY(EOMONTH($L387,0)))),AND(INDEX('1 Budget annuel'!$E$14:$E$43,COLUMN()-COLUMN($X$42)+1)="Trimestrielle",MOD((YEAR($L387)-YEAR(INDEX('1 Budget annuel'!$L$14:$L$43,COLUMN()-COLUMN($X$42)+1)))*12+MONTH($L387)-MONTH(INDEX('1 Budget annuel'!$L$14:$L$43,COLUMN()-COLUMN($X$42)+1)),3)=0,DAY($L387)=MIN(DAY(INDEX('1 Budget annuel'!$L$14:$L$43,COLUMN()-COLUMN($X$42)+1)),DAY(EOMONTH($L387,0)))),AND(INDEX('1 Budget annuel'!$E$14:$E$43,COLUMN()-COLUMN($X$42)+1)="Semestrielle",MOD((YEAR($L387)-YEAR(INDEX('1 Budget annuel'!$L$14:$L$43,COLUMN()-COLUMN($X$42)+1)))*12+MONTH($L387)-MONTH(INDEX('1 Budget annuel'!$L$14:$L$43,COLUMN()-COLUMN($X$42)+1)),6)=0,DAY($L387)=MIN(DAY(INDEX('1 Budget annuel'!$L$14:$L$43,COLUMN()-COLUMN($X$42)+1)),DAY(EOMONTH($L387,0)))),AND(INDEX('1 Budget annuel'!$E$14:$E$43,COLUMN()-COLUMN($X$42)+1)="Annuelle",MOD((YEAR($L387)-YEAR(INDEX('1 Budget annuel'!$L$14:$L$43,COLUMN()-COLUMN($X$42)+1)))*12+MONTH($L387)-MONTH(INDEX('1 Budget annuel'!$L$14:$L$43,COLUMN()-COLUMN($X$42)+1)),12)=0,DAY($L387)=MIN(DAY(INDEX('1 Budget annuel'!$L$14:$L$43,COLUMN()-COLUMN($X$42)+1)),DAY(EOMONTH($L387,0))))),IF(INDEX('1 Budget annuel'!$B$14:$B$43,COLUMN()-COLUMN($X$42)+1)="Entrée",INDEX('1 Budget annuel'!$I$14:$I$43,COLUMN()-COLUMN($X$42)+1),-INDEX('1 Budget annuel'!$I$14:$I$43,COLUMN()-COLUMN($X$42)+1)),0))</x:f>
        <x:v>0</x:v>
      </x:c>
    </x:row>
    <x:row r="388">
      <x:c r="L388" s="114" t="n">
        <x:f>L387+1</x:f>
        <x:v>46582</x:v>
      </x:c>
      <x:c r="M388" s="115" t="b">
        <x:f>AND(L388&gt;=$D$5,L388&lt;=$D$5+363,MOD(L388-$D$5,7)=0)</x:f>
        <x:v>0</x:v>
      </x:c>
      <x:c r="N388" s="116" t="n">
        <x:f>SUM(X388:BA388)</x:f>
        <x:v>0</x:v>
      </x:c>
      <x:c r="O388" s="116" t="n">
        <x:f>IF(M388,$D$10,0)</x:f>
        <x:v>0</x:v>
      </x:c>
      <x:c r="P388" s="116" t="n">
        <x:f>N388-O388</x:f>
        <x:v>0</x:v>
      </x:c>
      <x:c r="Q388" s="116" t="n">
        <x:f>IF(L388&lt;$D$5,0,IF(L388=$D$5,P388,Q387+P388))</x:f>
        <x:v>0</x:v>
      </x:c>
      <x:c r="R388" s="116" t="n">
        <x:f>IF(L388&lt;$D$5,"",$J$10+Q388)</x:f>
        <x:v>0</x:v>
      </x:c>
      <x:c r="S388" s="116" t="n">
        <x:f>IF($L388&lt;$D$5,"",IF($L388=$D$5,$J$10+$N388-IF($M388,IF(INT(($L388-$D$5)/7)&lt;$A$20,$B$20,$D$10),0),S387+$N388-IF($M388,IF(INT(($L388-$D$5)/7)&lt;$A$20,$B$20,$D$10),0)))</x:f>
        <x:v>0</x:v>
      </x:c>
      <x:c r="T388" s="116" t="n">
        <x:f>IF($L388&lt;$D$5,"",IF($L388=$D$5,$J$10+$N388-IF($M388,IF(INT(($L388-$D$5)/7)&lt;$A$21,$B$21,$D$10),0),T387+$N388-IF($M388,IF(INT(($L388-$D$5)/7)&lt;$A$21,$B$21,$D$10),0)))</x:f>
        <x:v>0</x:v>
      </x:c>
      <x:c r="U388" s="116" t="n">
        <x:f>IF($L388&lt;$D$5,"",IF($L388=$D$5,$J$10+$N388-IF($M388,IF(INT(($L388-$D$5)/7)&lt;$A$22,$B$22,$D$10),0),U387+$N388-IF($M388,IF(INT(($L388-$D$5)/7)&lt;$A$22,$B$22,$D$10),0)))</x:f>
        <x:v>0</x:v>
      </x:c>
      <x:c r="V388" s="116" t="n">
        <x:f>IF($L388&lt;$D$5,"",IF($L388=$D$5,$J$10+$N388-IF($M388,IF(INT(($L388-$D$5)/7)&lt;$A$23,$B$23,$D$10),0),V387+$N388-IF($M388,IF(INT(($L388-$D$5)/7)&lt;$A$23,$B$23,$D$10),0)))</x:f>
        <x:v>0</x:v>
      </x:c>
      <x:c r="W388" s="116" t="n">
        <x:f>IF($L388&lt;$D$5,"",IF($L388=$D$5,$J$10+$N388-IF($M388,IF(INT(($L388-$D$5)/7)&lt;$A$24,$B$24,$D$10),0),W387+$N388-IF($M388,IF(INT(($L388-$D$5)/7)&lt;$A$24,$B$24,$D$10),0)))</x:f>
        <x:v>0</x:v>
      </x:c>
      <x:c r="X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Y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Z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A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B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C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D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E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F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G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H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I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J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K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L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M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N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O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P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Q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R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S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T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U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V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W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X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Y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AZ388" s="116"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c r="BA388" s="117" t="n">
        <x:f>IF(OR(INDEX('1 Budget annuel'!$A$14:$A$43,COLUMN()-COLUMN($X$42)+1)&lt;&gt;"Oui",INDEX('1 Budget annuel'!$L$14:$L$43,COLUMN()-COLUMN($X$42)+1)="",AND(INDEX('1 Budget annuel'!$B$14:$B$43,COLUMN()-COLUMN($X$42)+1)="Sortie",INDEX('1 Budget annuel'!$M$14:$M$43,COLUMN()-COLUMN($X$42)+1)="Oui"),$L388&lt;INDEX('1 Budget annuel'!$L$14:$L$43,COLUMN()-COLUMN($X$42)+1),$L388&gt;$D$5+363),0,IF(OR(AND(INDEX('1 Budget annuel'!$E$14:$E$43,COLUMN()-COLUMN($X$42)+1)="Hebdomadaire",MOD($L388-INDEX('1 Budget annuel'!$L$14:$L$43,COLUMN()-COLUMN($X$42)+1),7)=0),AND(INDEX('1 Budget annuel'!$E$14:$E$43,COLUMN()-COLUMN($X$42)+1)="Toutes les 4 semaines",MOD($L388-INDEX('1 Budget annuel'!$L$14:$L$43,COLUMN()-COLUMN($X$42)+1),28)=0),AND(INDEX('1 Budget annuel'!$E$14:$E$43,COLUMN()-COLUMN($X$42)+1)="Mensuelle",DAY($L388)=MIN(DAY(INDEX('1 Budget annuel'!$L$14:$L$43,COLUMN()-COLUMN($X$42)+1)),DAY(EOMONTH($L388,0)))),AND(INDEX('1 Budget annuel'!$E$14:$E$43,COLUMN()-COLUMN($X$42)+1)="Trimestrielle",MOD((YEAR($L388)-YEAR(INDEX('1 Budget annuel'!$L$14:$L$43,COLUMN()-COLUMN($X$42)+1)))*12+MONTH($L388)-MONTH(INDEX('1 Budget annuel'!$L$14:$L$43,COLUMN()-COLUMN($X$42)+1)),3)=0,DAY($L388)=MIN(DAY(INDEX('1 Budget annuel'!$L$14:$L$43,COLUMN()-COLUMN($X$42)+1)),DAY(EOMONTH($L388,0)))),AND(INDEX('1 Budget annuel'!$E$14:$E$43,COLUMN()-COLUMN($X$42)+1)="Semestrielle",MOD((YEAR($L388)-YEAR(INDEX('1 Budget annuel'!$L$14:$L$43,COLUMN()-COLUMN($X$42)+1)))*12+MONTH($L388)-MONTH(INDEX('1 Budget annuel'!$L$14:$L$43,COLUMN()-COLUMN($X$42)+1)),6)=0,DAY($L388)=MIN(DAY(INDEX('1 Budget annuel'!$L$14:$L$43,COLUMN()-COLUMN($X$42)+1)),DAY(EOMONTH($L388,0)))),AND(INDEX('1 Budget annuel'!$E$14:$E$43,COLUMN()-COLUMN($X$42)+1)="Annuelle",MOD((YEAR($L388)-YEAR(INDEX('1 Budget annuel'!$L$14:$L$43,COLUMN()-COLUMN($X$42)+1)))*12+MONTH($L388)-MONTH(INDEX('1 Budget annuel'!$L$14:$L$43,COLUMN()-COLUMN($X$42)+1)),12)=0,DAY($L388)=MIN(DAY(INDEX('1 Budget annuel'!$L$14:$L$43,COLUMN()-COLUMN($X$42)+1)),DAY(EOMONTH($L388,0))))),IF(INDEX('1 Budget annuel'!$B$14:$B$43,COLUMN()-COLUMN($X$42)+1)="Entrée",INDEX('1 Budget annuel'!$I$14:$I$43,COLUMN()-COLUMN($X$42)+1),-INDEX('1 Budget annuel'!$I$14:$I$43,COLUMN()-COLUMN($X$42)+1)),0))</x:f>
        <x:v>0</x:v>
      </x:c>
    </x:row>
    <x:row r="389">
      <x:c r="L389" s="114" t="n">
        <x:f>L388+1</x:f>
        <x:v>46583</x:v>
      </x:c>
      <x:c r="M389" s="115" t="b">
        <x:f>AND(L389&gt;=$D$5,L389&lt;=$D$5+363,MOD(L389-$D$5,7)=0)</x:f>
        <x:v>0</x:v>
      </x:c>
      <x:c r="N389" s="116" t="n">
        <x:f>SUM(X389:BA389)</x:f>
        <x:v>0</x:v>
      </x:c>
      <x:c r="O389" s="116" t="n">
        <x:f>IF(M389,$D$10,0)</x:f>
        <x:v>0</x:v>
      </x:c>
      <x:c r="P389" s="116" t="n">
        <x:f>N389-O389</x:f>
        <x:v>0</x:v>
      </x:c>
      <x:c r="Q389" s="116" t="n">
        <x:f>IF(L389&lt;$D$5,0,IF(L389=$D$5,P389,Q388+P389))</x:f>
        <x:v>0</x:v>
      </x:c>
      <x:c r="R389" s="116" t="n">
        <x:f>IF(L389&lt;$D$5,"",$J$10+Q389)</x:f>
        <x:v>0</x:v>
      </x:c>
      <x:c r="S389" s="116" t="n">
        <x:f>IF($L389&lt;$D$5,"",IF($L389=$D$5,$J$10+$N389-IF($M389,IF(INT(($L389-$D$5)/7)&lt;$A$20,$B$20,$D$10),0),S388+$N389-IF($M389,IF(INT(($L389-$D$5)/7)&lt;$A$20,$B$20,$D$10),0)))</x:f>
        <x:v>0</x:v>
      </x:c>
      <x:c r="T389" s="116" t="n">
        <x:f>IF($L389&lt;$D$5,"",IF($L389=$D$5,$J$10+$N389-IF($M389,IF(INT(($L389-$D$5)/7)&lt;$A$21,$B$21,$D$10),0),T388+$N389-IF($M389,IF(INT(($L389-$D$5)/7)&lt;$A$21,$B$21,$D$10),0)))</x:f>
        <x:v>0</x:v>
      </x:c>
      <x:c r="U389" s="116" t="n">
        <x:f>IF($L389&lt;$D$5,"",IF($L389=$D$5,$J$10+$N389-IF($M389,IF(INT(($L389-$D$5)/7)&lt;$A$22,$B$22,$D$10),0),U388+$N389-IF($M389,IF(INT(($L389-$D$5)/7)&lt;$A$22,$B$22,$D$10),0)))</x:f>
        <x:v>0</x:v>
      </x:c>
      <x:c r="V389" s="116" t="n">
        <x:f>IF($L389&lt;$D$5,"",IF($L389=$D$5,$J$10+$N389-IF($M389,IF(INT(($L389-$D$5)/7)&lt;$A$23,$B$23,$D$10),0),V388+$N389-IF($M389,IF(INT(($L389-$D$5)/7)&lt;$A$23,$B$23,$D$10),0)))</x:f>
        <x:v>0</x:v>
      </x:c>
      <x:c r="W389" s="116" t="n">
        <x:f>IF($L389&lt;$D$5,"",IF($L389=$D$5,$J$10+$N389-IF($M389,IF(INT(($L389-$D$5)/7)&lt;$A$24,$B$24,$D$10),0),W388+$N389-IF($M389,IF(INT(($L389-$D$5)/7)&lt;$A$24,$B$24,$D$10),0)))</x:f>
        <x:v>0</x:v>
      </x:c>
      <x:c r="X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Y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Z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A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B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C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D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E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F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G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H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I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J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K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L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M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N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O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P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Q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R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S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T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U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V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W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X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Y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AZ389" s="116"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c r="BA389" s="117" t="n">
        <x:f>IF(OR(INDEX('1 Budget annuel'!$A$14:$A$43,COLUMN()-COLUMN($X$42)+1)&lt;&gt;"Oui",INDEX('1 Budget annuel'!$L$14:$L$43,COLUMN()-COLUMN($X$42)+1)="",AND(INDEX('1 Budget annuel'!$B$14:$B$43,COLUMN()-COLUMN($X$42)+1)="Sortie",INDEX('1 Budget annuel'!$M$14:$M$43,COLUMN()-COLUMN($X$42)+1)="Oui"),$L389&lt;INDEX('1 Budget annuel'!$L$14:$L$43,COLUMN()-COLUMN($X$42)+1),$L389&gt;$D$5+363),0,IF(OR(AND(INDEX('1 Budget annuel'!$E$14:$E$43,COLUMN()-COLUMN($X$42)+1)="Hebdomadaire",MOD($L389-INDEX('1 Budget annuel'!$L$14:$L$43,COLUMN()-COLUMN($X$42)+1),7)=0),AND(INDEX('1 Budget annuel'!$E$14:$E$43,COLUMN()-COLUMN($X$42)+1)="Toutes les 4 semaines",MOD($L389-INDEX('1 Budget annuel'!$L$14:$L$43,COLUMN()-COLUMN($X$42)+1),28)=0),AND(INDEX('1 Budget annuel'!$E$14:$E$43,COLUMN()-COLUMN($X$42)+1)="Mensuelle",DAY($L389)=MIN(DAY(INDEX('1 Budget annuel'!$L$14:$L$43,COLUMN()-COLUMN($X$42)+1)),DAY(EOMONTH($L389,0)))),AND(INDEX('1 Budget annuel'!$E$14:$E$43,COLUMN()-COLUMN($X$42)+1)="Trimestrielle",MOD((YEAR($L389)-YEAR(INDEX('1 Budget annuel'!$L$14:$L$43,COLUMN()-COLUMN($X$42)+1)))*12+MONTH($L389)-MONTH(INDEX('1 Budget annuel'!$L$14:$L$43,COLUMN()-COLUMN($X$42)+1)),3)=0,DAY($L389)=MIN(DAY(INDEX('1 Budget annuel'!$L$14:$L$43,COLUMN()-COLUMN($X$42)+1)),DAY(EOMONTH($L389,0)))),AND(INDEX('1 Budget annuel'!$E$14:$E$43,COLUMN()-COLUMN($X$42)+1)="Semestrielle",MOD((YEAR($L389)-YEAR(INDEX('1 Budget annuel'!$L$14:$L$43,COLUMN()-COLUMN($X$42)+1)))*12+MONTH($L389)-MONTH(INDEX('1 Budget annuel'!$L$14:$L$43,COLUMN()-COLUMN($X$42)+1)),6)=0,DAY($L389)=MIN(DAY(INDEX('1 Budget annuel'!$L$14:$L$43,COLUMN()-COLUMN($X$42)+1)),DAY(EOMONTH($L389,0)))),AND(INDEX('1 Budget annuel'!$E$14:$E$43,COLUMN()-COLUMN($X$42)+1)="Annuelle",MOD((YEAR($L389)-YEAR(INDEX('1 Budget annuel'!$L$14:$L$43,COLUMN()-COLUMN($X$42)+1)))*12+MONTH($L389)-MONTH(INDEX('1 Budget annuel'!$L$14:$L$43,COLUMN()-COLUMN($X$42)+1)),12)=0,DAY($L389)=MIN(DAY(INDEX('1 Budget annuel'!$L$14:$L$43,COLUMN()-COLUMN($X$42)+1)),DAY(EOMONTH($L389,0))))),IF(INDEX('1 Budget annuel'!$B$14:$B$43,COLUMN()-COLUMN($X$42)+1)="Entrée",INDEX('1 Budget annuel'!$I$14:$I$43,COLUMN()-COLUMN($X$42)+1),-INDEX('1 Budget annuel'!$I$14:$I$43,COLUMN()-COLUMN($X$42)+1)),0))</x:f>
        <x:v>0</x:v>
      </x:c>
    </x:row>
    <x:row r="390">
      <x:c r="L390" s="114" t="n">
        <x:f>L389+1</x:f>
        <x:v>46584</x:v>
      </x:c>
      <x:c r="M390" s="115" t="b">
        <x:f>AND(L390&gt;=$D$5,L390&lt;=$D$5+363,MOD(L390-$D$5,7)=0)</x:f>
        <x:v>0</x:v>
      </x:c>
      <x:c r="N390" s="116" t="n">
        <x:f>SUM(X390:BA390)</x:f>
        <x:v>0</x:v>
      </x:c>
      <x:c r="O390" s="116" t="n">
        <x:f>IF(M390,$D$10,0)</x:f>
        <x:v>0</x:v>
      </x:c>
      <x:c r="P390" s="116" t="n">
        <x:f>N390-O390</x:f>
        <x:v>0</x:v>
      </x:c>
      <x:c r="Q390" s="116" t="n">
        <x:f>IF(L390&lt;$D$5,0,IF(L390=$D$5,P390,Q389+P390))</x:f>
        <x:v>0</x:v>
      </x:c>
      <x:c r="R390" s="116" t="n">
        <x:f>IF(L390&lt;$D$5,"",$J$10+Q390)</x:f>
        <x:v>0</x:v>
      </x:c>
      <x:c r="S390" s="116" t="n">
        <x:f>IF($L390&lt;$D$5,"",IF($L390=$D$5,$J$10+$N390-IF($M390,IF(INT(($L390-$D$5)/7)&lt;$A$20,$B$20,$D$10),0),S389+$N390-IF($M390,IF(INT(($L390-$D$5)/7)&lt;$A$20,$B$20,$D$10),0)))</x:f>
        <x:v>0</x:v>
      </x:c>
      <x:c r="T390" s="116" t="n">
        <x:f>IF($L390&lt;$D$5,"",IF($L390=$D$5,$J$10+$N390-IF($M390,IF(INT(($L390-$D$5)/7)&lt;$A$21,$B$21,$D$10),0),T389+$N390-IF($M390,IF(INT(($L390-$D$5)/7)&lt;$A$21,$B$21,$D$10),0)))</x:f>
        <x:v>0</x:v>
      </x:c>
      <x:c r="U390" s="116" t="n">
        <x:f>IF($L390&lt;$D$5,"",IF($L390=$D$5,$J$10+$N390-IF($M390,IF(INT(($L390-$D$5)/7)&lt;$A$22,$B$22,$D$10),0),U389+$N390-IF($M390,IF(INT(($L390-$D$5)/7)&lt;$A$22,$B$22,$D$10),0)))</x:f>
        <x:v>0</x:v>
      </x:c>
      <x:c r="V390" s="116" t="n">
        <x:f>IF($L390&lt;$D$5,"",IF($L390=$D$5,$J$10+$N390-IF($M390,IF(INT(($L390-$D$5)/7)&lt;$A$23,$B$23,$D$10),0),V389+$N390-IF($M390,IF(INT(($L390-$D$5)/7)&lt;$A$23,$B$23,$D$10),0)))</x:f>
        <x:v>0</x:v>
      </x:c>
      <x:c r="W390" s="116" t="n">
        <x:f>IF($L390&lt;$D$5,"",IF($L390=$D$5,$J$10+$N390-IF($M390,IF(INT(($L390-$D$5)/7)&lt;$A$24,$B$24,$D$10),0),W389+$N390-IF($M390,IF(INT(($L390-$D$5)/7)&lt;$A$24,$B$24,$D$10),0)))</x:f>
        <x:v>0</x:v>
      </x:c>
      <x:c r="X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Y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Z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A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B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C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D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E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F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G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H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I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J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K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L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M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N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O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P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Q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R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S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T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U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V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W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X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Y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AZ390" s="116"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c r="BA390" s="117" t="n">
        <x:f>IF(OR(INDEX('1 Budget annuel'!$A$14:$A$43,COLUMN()-COLUMN($X$42)+1)&lt;&gt;"Oui",INDEX('1 Budget annuel'!$L$14:$L$43,COLUMN()-COLUMN($X$42)+1)="",AND(INDEX('1 Budget annuel'!$B$14:$B$43,COLUMN()-COLUMN($X$42)+1)="Sortie",INDEX('1 Budget annuel'!$M$14:$M$43,COLUMN()-COLUMN($X$42)+1)="Oui"),$L390&lt;INDEX('1 Budget annuel'!$L$14:$L$43,COLUMN()-COLUMN($X$42)+1),$L390&gt;$D$5+363),0,IF(OR(AND(INDEX('1 Budget annuel'!$E$14:$E$43,COLUMN()-COLUMN($X$42)+1)="Hebdomadaire",MOD($L390-INDEX('1 Budget annuel'!$L$14:$L$43,COLUMN()-COLUMN($X$42)+1),7)=0),AND(INDEX('1 Budget annuel'!$E$14:$E$43,COLUMN()-COLUMN($X$42)+1)="Toutes les 4 semaines",MOD($L390-INDEX('1 Budget annuel'!$L$14:$L$43,COLUMN()-COLUMN($X$42)+1),28)=0),AND(INDEX('1 Budget annuel'!$E$14:$E$43,COLUMN()-COLUMN($X$42)+1)="Mensuelle",DAY($L390)=MIN(DAY(INDEX('1 Budget annuel'!$L$14:$L$43,COLUMN()-COLUMN($X$42)+1)),DAY(EOMONTH($L390,0)))),AND(INDEX('1 Budget annuel'!$E$14:$E$43,COLUMN()-COLUMN($X$42)+1)="Trimestrielle",MOD((YEAR($L390)-YEAR(INDEX('1 Budget annuel'!$L$14:$L$43,COLUMN()-COLUMN($X$42)+1)))*12+MONTH($L390)-MONTH(INDEX('1 Budget annuel'!$L$14:$L$43,COLUMN()-COLUMN($X$42)+1)),3)=0,DAY($L390)=MIN(DAY(INDEX('1 Budget annuel'!$L$14:$L$43,COLUMN()-COLUMN($X$42)+1)),DAY(EOMONTH($L390,0)))),AND(INDEX('1 Budget annuel'!$E$14:$E$43,COLUMN()-COLUMN($X$42)+1)="Semestrielle",MOD((YEAR($L390)-YEAR(INDEX('1 Budget annuel'!$L$14:$L$43,COLUMN()-COLUMN($X$42)+1)))*12+MONTH($L390)-MONTH(INDEX('1 Budget annuel'!$L$14:$L$43,COLUMN()-COLUMN($X$42)+1)),6)=0,DAY($L390)=MIN(DAY(INDEX('1 Budget annuel'!$L$14:$L$43,COLUMN()-COLUMN($X$42)+1)),DAY(EOMONTH($L390,0)))),AND(INDEX('1 Budget annuel'!$E$14:$E$43,COLUMN()-COLUMN($X$42)+1)="Annuelle",MOD((YEAR($L390)-YEAR(INDEX('1 Budget annuel'!$L$14:$L$43,COLUMN()-COLUMN($X$42)+1)))*12+MONTH($L390)-MONTH(INDEX('1 Budget annuel'!$L$14:$L$43,COLUMN()-COLUMN($X$42)+1)),12)=0,DAY($L390)=MIN(DAY(INDEX('1 Budget annuel'!$L$14:$L$43,COLUMN()-COLUMN($X$42)+1)),DAY(EOMONTH($L390,0))))),IF(INDEX('1 Budget annuel'!$B$14:$B$43,COLUMN()-COLUMN($X$42)+1)="Entrée",INDEX('1 Budget annuel'!$I$14:$I$43,COLUMN()-COLUMN($X$42)+1),-INDEX('1 Budget annuel'!$I$14:$I$43,COLUMN()-COLUMN($X$42)+1)),0))</x:f>
        <x:v>0</x:v>
      </x:c>
    </x:row>
    <x:row r="391">
      <x:c r="L391" s="114" t="n">
        <x:f>L390+1</x:f>
        <x:v>46585</x:v>
      </x:c>
      <x:c r="M391" s="115" t="b">
        <x:f>AND(L391&gt;=$D$5,L391&lt;=$D$5+363,MOD(L391-$D$5,7)=0)</x:f>
        <x:v>1</x:v>
      </x:c>
      <x:c r="N391" s="116" t="n">
        <x:f>SUM(X391:BA391)</x:f>
        <x:v>0</x:v>
      </x:c>
      <x:c r="O391" s="116" t="n">
        <x:f>IF(M391,$D$10,0)</x:f>
        <x:v>0</x:v>
      </x:c>
      <x:c r="P391" s="116" t="n">
        <x:f>N391-O391</x:f>
        <x:v>0</x:v>
      </x:c>
      <x:c r="Q391" s="116" t="n">
        <x:f>IF(L391&lt;$D$5,0,IF(L391=$D$5,P391,Q390+P391))</x:f>
        <x:v>0</x:v>
      </x:c>
      <x:c r="R391" s="116" t="n">
        <x:f>IF(L391&lt;$D$5,"",$J$10+Q391)</x:f>
        <x:v>0</x:v>
      </x:c>
      <x:c r="S391" s="116" t="n">
        <x:f>IF($L391&lt;$D$5,"",IF($L391=$D$5,$J$10+$N391-IF($M391,IF(INT(($L391-$D$5)/7)&lt;$A$20,$B$20,$D$10),0),S390+$N391-IF($M391,IF(INT(($L391-$D$5)/7)&lt;$A$20,$B$20,$D$10),0)))</x:f>
        <x:v>0</x:v>
      </x:c>
      <x:c r="T391" s="116" t="n">
        <x:f>IF($L391&lt;$D$5,"",IF($L391=$D$5,$J$10+$N391-IF($M391,IF(INT(($L391-$D$5)/7)&lt;$A$21,$B$21,$D$10),0),T390+$N391-IF($M391,IF(INT(($L391-$D$5)/7)&lt;$A$21,$B$21,$D$10),0)))</x:f>
        <x:v>0</x:v>
      </x:c>
      <x:c r="U391" s="116" t="n">
        <x:f>IF($L391&lt;$D$5,"",IF($L391=$D$5,$J$10+$N391-IF($M391,IF(INT(($L391-$D$5)/7)&lt;$A$22,$B$22,$D$10),0),U390+$N391-IF($M391,IF(INT(($L391-$D$5)/7)&lt;$A$22,$B$22,$D$10),0)))</x:f>
        <x:v>0</x:v>
      </x:c>
      <x:c r="V391" s="116" t="n">
        <x:f>IF($L391&lt;$D$5,"",IF($L391=$D$5,$J$10+$N391-IF($M391,IF(INT(($L391-$D$5)/7)&lt;$A$23,$B$23,$D$10),0),V390+$N391-IF($M391,IF(INT(($L391-$D$5)/7)&lt;$A$23,$B$23,$D$10),0)))</x:f>
        <x:v>0</x:v>
      </x:c>
      <x:c r="W391" s="116" t="n">
        <x:f>IF($L391&lt;$D$5,"",IF($L391=$D$5,$J$10+$N391-IF($M391,IF(INT(($L391-$D$5)/7)&lt;$A$24,$B$24,$D$10),0),W390+$N391-IF($M391,IF(INT(($L391-$D$5)/7)&lt;$A$24,$B$24,$D$10),0)))</x:f>
        <x:v>0</x:v>
      </x:c>
      <x:c r="X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Y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Z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A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B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C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D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E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F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G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H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I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J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K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L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M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N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O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P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Q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R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S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T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U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V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W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X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Y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AZ391" s="116"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c r="BA391" s="117" t="n">
        <x:f>IF(OR(INDEX('1 Budget annuel'!$A$14:$A$43,COLUMN()-COLUMN($X$42)+1)&lt;&gt;"Oui",INDEX('1 Budget annuel'!$L$14:$L$43,COLUMN()-COLUMN($X$42)+1)="",AND(INDEX('1 Budget annuel'!$B$14:$B$43,COLUMN()-COLUMN($X$42)+1)="Sortie",INDEX('1 Budget annuel'!$M$14:$M$43,COLUMN()-COLUMN($X$42)+1)="Oui"),$L391&lt;INDEX('1 Budget annuel'!$L$14:$L$43,COLUMN()-COLUMN($X$42)+1),$L391&gt;$D$5+363),0,IF(OR(AND(INDEX('1 Budget annuel'!$E$14:$E$43,COLUMN()-COLUMN($X$42)+1)="Hebdomadaire",MOD($L391-INDEX('1 Budget annuel'!$L$14:$L$43,COLUMN()-COLUMN($X$42)+1),7)=0),AND(INDEX('1 Budget annuel'!$E$14:$E$43,COLUMN()-COLUMN($X$42)+1)="Toutes les 4 semaines",MOD($L391-INDEX('1 Budget annuel'!$L$14:$L$43,COLUMN()-COLUMN($X$42)+1),28)=0),AND(INDEX('1 Budget annuel'!$E$14:$E$43,COLUMN()-COLUMN($X$42)+1)="Mensuelle",DAY($L391)=MIN(DAY(INDEX('1 Budget annuel'!$L$14:$L$43,COLUMN()-COLUMN($X$42)+1)),DAY(EOMONTH($L391,0)))),AND(INDEX('1 Budget annuel'!$E$14:$E$43,COLUMN()-COLUMN($X$42)+1)="Trimestrielle",MOD((YEAR($L391)-YEAR(INDEX('1 Budget annuel'!$L$14:$L$43,COLUMN()-COLUMN($X$42)+1)))*12+MONTH($L391)-MONTH(INDEX('1 Budget annuel'!$L$14:$L$43,COLUMN()-COLUMN($X$42)+1)),3)=0,DAY($L391)=MIN(DAY(INDEX('1 Budget annuel'!$L$14:$L$43,COLUMN()-COLUMN($X$42)+1)),DAY(EOMONTH($L391,0)))),AND(INDEX('1 Budget annuel'!$E$14:$E$43,COLUMN()-COLUMN($X$42)+1)="Semestrielle",MOD((YEAR($L391)-YEAR(INDEX('1 Budget annuel'!$L$14:$L$43,COLUMN()-COLUMN($X$42)+1)))*12+MONTH($L391)-MONTH(INDEX('1 Budget annuel'!$L$14:$L$43,COLUMN()-COLUMN($X$42)+1)),6)=0,DAY($L391)=MIN(DAY(INDEX('1 Budget annuel'!$L$14:$L$43,COLUMN()-COLUMN($X$42)+1)),DAY(EOMONTH($L391,0)))),AND(INDEX('1 Budget annuel'!$E$14:$E$43,COLUMN()-COLUMN($X$42)+1)="Annuelle",MOD((YEAR($L391)-YEAR(INDEX('1 Budget annuel'!$L$14:$L$43,COLUMN()-COLUMN($X$42)+1)))*12+MONTH($L391)-MONTH(INDEX('1 Budget annuel'!$L$14:$L$43,COLUMN()-COLUMN($X$42)+1)),12)=0,DAY($L391)=MIN(DAY(INDEX('1 Budget annuel'!$L$14:$L$43,COLUMN()-COLUMN($X$42)+1)),DAY(EOMONTH($L391,0))))),IF(INDEX('1 Budget annuel'!$B$14:$B$43,COLUMN()-COLUMN($X$42)+1)="Entrée",INDEX('1 Budget annuel'!$I$14:$I$43,COLUMN()-COLUMN($X$42)+1),-INDEX('1 Budget annuel'!$I$14:$I$43,COLUMN()-COLUMN($X$42)+1)),0))</x:f>
        <x:v>0</x:v>
      </x:c>
    </x:row>
    <x:row r="392">
      <x:c r="L392" s="114" t="n">
        <x:f>L391+1</x:f>
        <x:v>46586</x:v>
      </x:c>
      <x:c r="M392" s="115" t="b">
        <x:f>AND(L392&gt;=$D$5,L392&lt;=$D$5+363,MOD(L392-$D$5,7)=0)</x:f>
        <x:v>0</x:v>
      </x:c>
      <x:c r="N392" s="116" t="n">
        <x:f>SUM(X392:BA392)</x:f>
        <x:v>0</x:v>
      </x:c>
      <x:c r="O392" s="116" t="n">
        <x:f>IF(M392,$D$10,0)</x:f>
        <x:v>0</x:v>
      </x:c>
      <x:c r="P392" s="116" t="n">
        <x:f>N392-O392</x:f>
        <x:v>0</x:v>
      </x:c>
      <x:c r="Q392" s="116" t="n">
        <x:f>IF(L392&lt;$D$5,0,IF(L392=$D$5,P392,Q391+P392))</x:f>
        <x:v>0</x:v>
      </x:c>
      <x:c r="R392" s="116" t="n">
        <x:f>IF(L392&lt;$D$5,"",$J$10+Q392)</x:f>
        <x:v>0</x:v>
      </x:c>
      <x:c r="S392" s="116" t="n">
        <x:f>IF($L392&lt;$D$5,"",IF($L392=$D$5,$J$10+$N392-IF($M392,IF(INT(($L392-$D$5)/7)&lt;$A$20,$B$20,$D$10),0),S391+$N392-IF($M392,IF(INT(($L392-$D$5)/7)&lt;$A$20,$B$20,$D$10),0)))</x:f>
        <x:v>0</x:v>
      </x:c>
      <x:c r="T392" s="116" t="n">
        <x:f>IF($L392&lt;$D$5,"",IF($L392=$D$5,$J$10+$N392-IF($M392,IF(INT(($L392-$D$5)/7)&lt;$A$21,$B$21,$D$10),0),T391+$N392-IF($M392,IF(INT(($L392-$D$5)/7)&lt;$A$21,$B$21,$D$10),0)))</x:f>
        <x:v>0</x:v>
      </x:c>
      <x:c r="U392" s="116" t="n">
        <x:f>IF($L392&lt;$D$5,"",IF($L392=$D$5,$J$10+$N392-IF($M392,IF(INT(($L392-$D$5)/7)&lt;$A$22,$B$22,$D$10),0),U391+$N392-IF($M392,IF(INT(($L392-$D$5)/7)&lt;$A$22,$B$22,$D$10),0)))</x:f>
        <x:v>0</x:v>
      </x:c>
      <x:c r="V392" s="116" t="n">
        <x:f>IF($L392&lt;$D$5,"",IF($L392=$D$5,$J$10+$N392-IF($M392,IF(INT(($L392-$D$5)/7)&lt;$A$23,$B$23,$D$10),0),V391+$N392-IF($M392,IF(INT(($L392-$D$5)/7)&lt;$A$23,$B$23,$D$10),0)))</x:f>
        <x:v>0</x:v>
      </x:c>
      <x:c r="W392" s="116" t="n">
        <x:f>IF($L392&lt;$D$5,"",IF($L392=$D$5,$J$10+$N392-IF($M392,IF(INT(($L392-$D$5)/7)&lt;$A$24,$B$24,$D$10),0),W391+$N392-IF($M392,IF(INT(($L392-$D$5)/7)&lt;$A$24,$B$24,$D$10),0)))</x:f>
        <x:v>0</x:v>
      </x:c>
      <x:c r="X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Y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Z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A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B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C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D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E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F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G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H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I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J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K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L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M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N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O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P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Q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R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S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T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U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V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W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X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Y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AZ392" s="116"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c r="BA392" s="117" t="n">
        <x:f>IF(OR(INDEX('1 Budget annuel'!$A$14:$A$43,COLUMN()-COLUMN($X$42)+1)&lt;&gt;"Oui",INDEX('1 Budget annuel'!$L$14:$L$43,COLUMN()-COLUMN($X$42)+1)="",AND(INDEX('1 Budget annuel'!$B$14:$B$43,COLUMN()-COLUMN($X$42)+1)="Sortie",INDEX('1 Budget annuel'!$M$14:$M$43,COLUMN()-COLUMN($X$42)+1)="Oui"),$L392&lt;INDEX('1 Budget annuel'!$L$14:$L$43,COLUMN()-COLUMN($X$42)+1),$L392&gt;$D$5+363),0,IF(OR(AND(INDEX('1 Budget annuel'!$E$14:$E$43,COLUMN()-COLUMN($X$42)+1)="Hebdomadaire",MOD($L392-INDEX('1 Budget annuel'!$L$14:$L$43,COLUMN()-COLUMN($X$42)+1),7)=0),AND(INDEX('1 Budget annuel'!$E$14:$E$43,COLUMN()-COLUMN($X$42)+1)="Toutes les 4 semaines",MOD($L392-INDEX('1 Budget annuel'!$L$14:$L$43,COLUMN()-COLUMN($X$42)+1),28)=0),AND(INDEX('1 Budget annuel'!$E$14:$E$43,COLUMN()-COLUMN($X$42)+1)="Mensuelle",DAY($L392)=MIN(DAY(INDEX('1 Budget annuel'!$L$14:$L$43,COLUMN()-COLUMN($X$42)+1)),DAY(EOMONTH($L392,0)))),AND(INDEX('1 Budget annuel'!$E$14:$E$43,COLUMN()-COLUMN($X$42)+1)="Trimestrielle",MOD((YEAR($L392)-YEAR(INDEX('1 Budget annuel'!$L$14:$L$43,COLUMN()-COLUMN($X$42)+1)))*12+MONTH($L392)-MONTH(INDEX('1 Budget annuel'!$L$14:$L$43,COLUMN()-COLUMN($X$42)+1)),3)=0,DAY($L392)=MIN(DAY(INDEX('1 Budget annuel'!$L$14:$L$43,COLUMN()-COLUMN($X$42)+1)),DAY(EOMONTH($L392,0)))),AND(INDEX('1 Budget annuel'!$E$14:$E$43,COLUMN()-COLUMN($X$42)+1)="Semestrielle",MOD((YEAR($L392)-YEAR(INDEX('1 Budget annuel'!$L$14:$L$43,COLUMN()-COLUMN($X$42)+1)))*12+MONTH($L392)-MONTH(INDEX('1 Budget annuel'!$L$14:$L$43,COLUMN()-COLUMN($X$42)+1)),6)=0,DAY($L392)=MIN(DAY(INDEX('1 Budget annuel'!$L$14:$L$43,COLUMN()-COLUMN($X$42)+1)),DAY(EOMONTH($L392,0)))),AND(INDEX('1 Budget annuel'!$E$14:$E$43,COLUMN()-COLUMN($X$42)+1)="Annuelle",MOD((YEAR($L392)-YEAR(INDEX('1 Budget annuel'!$L$14:$L$43,COLUMN()-COLUMN($X$42)+1)))*12+MONTH($L392)-MONTH(INDEX('1 Budget annuel'!$L$14:$L$43,COLUMN()-COLUMN($X$42)+1)),12)=0,DAY($L392)=MIN(DAY(INDEX('1 Budget annuel'!$L$14:$L$43,COLUMN()-COLUMN($X$42)+1)),DAY(EOMONTH($L392,0))))),IF(INDEX('1 Budget annuel'!$B$14:$B$43,COLUMN()-COLUMN($X$42)+1)="Entrée",INDEX('1 Budget annuel'!$I$14:$I$43,COLUMN()-COLUMN($X$42)+1),-INDEX('1 Budget annuel'!$I$14:$I$43,COLUMN()-COLUMN($X$42)+1)),0))</x:f>
        <x:v>0</x:v>
      </x:c>
    </x:row>
    <x:row r="393">
      <x:c r="L393" s="114" t="n">
        <x:f>L392+1</x:f>
        <x:v>46587</x:v>
      </x:c>
      <x:c r="M393" s="115" t="b">
        <x:f>AND(L393&gt;=$D$5,L393&lt;=$D$5+363,MOD(L393-$D$5,7)=0)</x:f>
        <x:v>0</x:v>
      </x:c>
      <x:c r="N393" s="116" t="n">
        <x:f>SUM(X393:BA393)</x:f>
        <x:v>0</x:v>
      </x:c>
      <x:c r="O393" s="116" t="n">
        <x:f>IF(M393,$D$10,0)</x:f>
        <x:v>0</x:v>
      </x:c>
      <x:c r="P393" s="116" t="n">
        <x:f>N393-O393</x:f>
        <x:v>0</x:v>
      </x:c>
      <x:c r="Q393" s="116" t="n">
        <x:f>IF(L393&lt;$D$5,0,IF(L393=$D$5,P393,Q392+P393))</x:f>
        <x:v>0</x:v>
      </x:c>
      <x:c r="R393" s="116" t="n">
        <x:f>IF(L393&lt;$D$5,"",$J$10+Q393)</x:f>
        <x:v>0</x:v>
      </x:c>
      <x:c r="S393" s="116" t="n">
        <x:f>IF($L393&lt;$D$5,"",IF($L393=$D$5,$J$10+$N393-IF($M393,IF(INT(($L393-$D$5)/7)&lt;$A$20,$B$20,$D$10),0),S392+$N393-IF($M393,IF(INT(($L393-$D$5)/7)&lt;$A$20,$B$20,$D$10),0)))</x:f>
        <x:v>0</x:v>
      </x:c>
      <x:c r="T393" s="116" t="n">
        <x:f>IF($L393&lt;$D$5,"",IF($L393=$D$5,$J$10+$N393-IF($M393,IF(INT(($L393-$D$5)/7)&lt;$A$21,$B$21,$D$10),0),T392+$N393-IF($M393,IF(INT(($L393-$D$5)/7)&lt;$A$21,$B$21,$D$10),0)))</x:f>
        <x:v>0</x:v>
      </x:c>
      <x:c r="U393" s="116" t="n">
        <x:f>IF($L393&lt;$D$5,"",IF($L393=$D$5,$J$10+$N393-IF($M393,IF(INT(($L393-$D$5)/7)&lt;$A$22,$B$22,$D$10),0),U392+$N393-IF($M393,IF(INT(($L393-$D$5)/7)&lt;$A$22,$B$22,$D$10),0)))</x:f>
        <x:v>0</x:v>
      </x:c>
      <x:c r="V393" s="116" t="n">
        <x:f>IF($L393&lt;$D$5,"",IF($L393=$D$5,$J$10+$N393-IF($M393,IF(INT(($L393-$D$5)/7)&lt;$A$23,$B$23,$D$10),0),V392+$N393-IF($M393,IF(INT(($L393-$D$5)/7)&lt;$A$23,$B$23,$D$10),0)))</x:f>
        <x:v>0</x:v>
      </x:c>
      <x:c r="W393" s="116" t="n">
        <x:f>IF($L393&lt;$D$5,"",IF($L393=$D$5,$J$10+$N393-IF($M393,IF(INT(($L393-$D$5)/7)&lt;$A$24,$B$24,$D$10),0),W392+$N393-IF($M393,IF(INT(($L393-$D$5)/7)&lt;$A$24,$B$24,$D$10),0)))</x:f>
        <x:v>0</x:v>
      </x:c>
      <x:c r="X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Y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Z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A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B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C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D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E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F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G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H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I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J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K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L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M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N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O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P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Q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R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S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T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U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V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W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X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Y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AZ393" s="116"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c r="BA393" s="117" t="n">
        <x:f>IF(OR(INDEX('1 Budget annuel'!$A$14:$A$43,COLUMN()-COLUMN($X$42)+1)&lt;&gt;"Oui",INDEX('1 Budget annuel'!$L$14:$L$43,COLUMN()-COLUMN($X$42)+1)="",AND(INDEX('1 Budget annuel'!$B$14:$B$43,COLUMN()-COLUMN($X$42)+1)="Sortie",INDEX('1 Budget annuel'!$M$14:$M$43,COLUMN()-COLUMN($X$42)+1)="Oui"),$L393&lt;INDEX('1 Budget annuel'!$L$14:$L$43,COLUMN()-COLUMN($X$42)+1),$L393&gt;$D$5+363),0,IF(OR(AND(INDEX('1 Budget annuel'!$E$14:$E$43,COLUMN()-COLUMN($X$42)+1)="Hebdomadaire",MOD($L393-INDEX('1 Budget annuel'!$L$14:$L$43,COLUMN()-COLUMN($X$42)+1),7)=0),AND(INDEX('1 Budget annuel'!$E$14:$E$43,COLUMN()-COLUMN($X$42)+1)="Toutes les 4 semaines",MOD($L393-INDEX('1 Budget annuel'!$L$14:$L$43,COLUMN()-COLUMN($X$42)+1),28)=0),AND(INDEX('1 Budget annuel'!$E$14:$E$43,COLUMN()-COLUMN($X$42)+1)="Mensuelle",DAY($L393)=MIN(DAY(INDEX('1 Budget annuel'!$L$14:$L$43,COLUMN()-COLUMN($X$42)+1)),DAY(EOMONTH($L393,0)))),AND(INDEX('1 Budget annuel'!$E$14:$E$43,COLUMN()-COLUMN($X$42)+1)="Trimestrielle",MOD((YEAR($L393)-YEAR(INDEX('1 Budget annuel'!$L$14:$L$43,COLUMN()-COLUMN($X$42)+1)))*12+MONTH($L393)-MONTH(INDEX('1 Budget annuel'!$L$14:$L$43,COLUMN()-COLUMN($X$42)+1)),3)=0,DAY($L393)=MIN(DAY(INDEX('1 Budget annuel'!$L$14:$L$43,COLUMN()-COLUMN($X$42)+1)),DAY(EOMONTH($L393,0)))),AND(INDEX('1 Budget annuel'!$E$14:$E$43,COLUMN()-COLUMN($X$42)+1)="Semestrielle",MOD((YEAR($L393)-YEAR(INDEX('1 Budget annuel'!$L$14:$L$43,COLUMN()-COLUMN($X$42)+1)))*12+MONTH($L393)-MONTH(INDEX('1 Budget annuel'!$L$14:$L$43,COLUMN()-COLUMN($X$42)+1)),6)=0,DAY($L393)=MIN(DAY(INDEX('1 Budget annuel'!$L$14:$L$43,COLUMN()-COLUMN($X$42)+1)),DAY(EOMONTH($L393,0)))),AND(INDEX('1 Budget annuel'!$E$14:$E$43,COLUMN()-COLUMN($X$42)+1)="Annuelle",MOD((YEAR($L393)-YEAR(INDEX('1 Budget annuel'!$L$14:$L$43,COLUMN()-COLUMN($X$42)+1)))*12+MONTH($L393)-MONTH(INDEX('1 Budget annuel'!$L$14:$L$43,COLUMN()-COLUMN($X$42)+1)),12)=0,DAY($L393)=MIN(DAY(INDEX('1 Budget annuel'!$L$14:$L$43,COLUMN()-COLUMN($X$42)+1)),DAY(EOMONTH($L393,0))))),IF(INDEX('1 Budget annuel'!$B$14:$B$43,COLUMN()-COLUMN($X$42)+1)="Entrée",INDEX('1 Budget annuel'!$I$14:$I$43,COLUMN()-COLUMN($X$42)+1),-INDEX('1 Budget annuel'!$I$14:$I$43,COLUMN()-COLUMN($X$42)+1)),0))</x:f>
        <x:v>0</x:v>
      </x:c>
    </x:row>
    <x:row r="394">
      <x:c r="L394" s="114" t="n">
        <x:f>L393+1</x:f>
        <x:v>46588</x:v>
      </x:c>
      <x:c r="M394" s="115" t="b">
        <x:f>AND(L394&gt;=$D$5,L394&lt;=$D$5+363,MOD(L394-$D$5,7)=0)</x:f>
        <x:v>0</x:v>
      </x:c>
      <x:c r="N394" s="116" t="n">
        <x:f>SUM(X394:BA394)</x:f>
        <x:v>0</x:v>
      </x:c>
      <x:c r="O394" s="116" t="n">
        <x:f>IF(M394,$D$10,0)</x:f>
        <x:v>0</x:v>
      </x:c>
      <x:c r="P394" s="116" t="n">
        <x:f>N394-O394</x:f>
        <x:v>0</x:v>
      </x:c>
      <x:c r="Q394" s="116" t="n">
        <x:f>IF(L394&lt;$D$5,0,IF(L394=$D$5,P394,Q393+P394))</x:f>
        <x:v>0</x:v>
      </x:c>
      <x:c r="R394" s="116" t="n">
        <x:f>IF(L394&lt;$D$5,"",$J$10+Q394)</x:f>
        <x:v>0</x:v>
      </x:c>
      <x:c r="S394" s="116" t="n">
        <x:f>IF($L394&lt;$D$5,"",IF($L394=$D$5,$J$10+$N394-IF($M394,IF(INT(($L394-$D$5)/7)&lt;$A$20,$B$20,$D$10),0),S393+$N394-IF($M394,IF(INT(($L394-$D$5)/7)&lt;$A$20,$B$20,$D$10),0)))</x:f>
        <x:v>0</x:v>
      </x:c>
      <x:c r="T394" s="116" t="n">
        <x:f>IF($L394&lt;$D$5,"",IF($L394=$D$5,$J$10+$N394-IF($M394,IF(INT(($L394-$D$5)/7)&lt;$A$21,$B$21,$D$10),0),T393+$N394-IF($M394,IF(INT(($L394-$D$5)/7)&lt;$A$21,$B$21,$D$10),0)))</x:f>
        <x:v>0</x:v>
      </x:c>
      <x:c r="U394" s="116" t="n">
        <x:f>IF($L394&lt;$D$5,"",IF($L394=$D$5,$J$10+$N394-IF($M394,IF(INT(($L394-$D$5)/7)&lt;$A$22,$B$22,$D$10),0),U393+$N394-IF($M394,IF(INT(($L394-$D$5)/7)&lt;$A$22,$B$22,$D$10),0)))</x:f>
        <x:v>0</x:v>
      </x:c>
      <x:c r="V394" s="116" t="n">
        <x:f>IF($L394&lt;$D$5,"",IF($L394=$D$5,$J$10+$N394-IF($M394,IF(INT(($L394-$D$5)/7)&lt;$A$23,$B$23,$D$10),0),V393+$N394-IF($M394,IF(INT(($L394-$D$5)/7)&lt;$A$23,$B$23,$D$10),0)))</x:f>
        <x:v>0</x:v>
      </x:c>
      <x:c r="W394" s="116" t="n">
        <x:f>IF($L394&lt;$D$5,"",IF($L394=$D$5,$J$10+$N394-IF($M394,IF(INT(($L394-$D$5)/7)&lt;$A$24,$B$24,$D$10),0),W393+$N394-IF($M394,IF(INT(($L394-$D$5)/7)&lt;$A$24,$B$24,$D$10),0)))</x:f>
        <x:v>0</x:v>
      </x:c>
      <x:c r="X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Y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Z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A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B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C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D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E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F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G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H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I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J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K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L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M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N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O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P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Q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R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S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T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U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V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W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X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Y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AZ394" s="116"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c r="BA394" s="117" t="n">
        <x:f>IF(OR(INDEX('1 Budget annuel'!$A$14:$A$43,COLUMN()-COLUMN($X$42)+1)&lt;&gt;"Oui",INDEX('1 Budget annuel'!$L$14:$L$43,COLUMN()-COLUMN($X$42)+1)="",AND(INDEX('1 Budget annuel'!$B$14:$B$43,COLUMN()-COLUMN($X$42)+1)="Sortie",INDEX('1 Budget annuel'!$M$14:$M$43,COLUMN()-COLUMN($X$42)+1)="Oui"),$L394&lt;INDEX('1 Budget annuel'!$L$14:$L$43,COLUMN()-COLUMN($X$42)+1),$L394&gt;$D$5+363),0,IF(OR(AND(INDEX('1 Budget annuel'!$E$14:$E$43,COLUMN()-COLUMN($X$42)+1)="Hebdomadaire",MOD($L394-INDEX('1 Budget annuel'!$L$14:$L$43,COLUMN()-COLUMN($X$42)+1),7)=0),AND(INDEX('1 Budget annuel'!$E$14:$E$43,COLUMN()-COLUMN($X$42)+1)="Toutes les 4 semaines",MOD($L394-INDEX('1 Budget annuel'!$L$14:$L$43,COLUMN()-COLUMN($X$42)+1),28)=0),AND(INDEX('1 Budget annuel'!$E$14:$E$43,COLUMN()-COLUMN($X$42)+1)="Mensuelle",DAY($L394)=MIN(DAY(INDEX('1 Budget annuel'!$L$14:$L$43,COLUMN()-COLUMN($X$42)+1)),DAY(EOMONTH($L394,0)))),AND(INDEX('1 Budget annuel'!$E$14:$E$43,COLUMN()-COLUMN($X$42)+1)="Trimestrielle",MOD((YEAR($L394)-YEAR(INDEX('1 Budget annuel'!$L$14:$L$43,COLUMN()-COLUMN($X$42)+1)))*12+MONTH($L394)-MONTH(INDEX('1 Budget annuel'!$L$14:$L$43,COLUMN()-COLUMN($X$42)+1)),3)=0,DAY($L394)=MIN(DAY(INDEX('1 Budget annuel'!$L$14:$L$43,COLUMN()-COLUMN($X$42)+1)),DAY(EOMONTH($L394,0)))),AND(INDEX('1 Budget annuel'!$E$14:$E$43,COLUMN()-COLUMN($X$42)+1)="Semestrielle",MOD((YEAR($L394)-YEAR(INDEX('1 Budget annuel'!$L$14:$L$43,COLUMN()-COLUMN($X$42)+1)))*12+MONTH($L394)-MONTH(INDEX('1 Budget annuel'!$L$14:$L$43,COLUMN()-COLUMN($X$42)+1)),6)=0,DAY($L394)=MIN(DAY(INDEX('1 Budget annuel'!$L$14:$L$43,COLUMN()-COLUMN($X$42)+1)),DAY(EOMONTH($L394,0)))),AND(INDEX('1 Budget annuel'!$E$14:$E$43,COLUMN()-COLUMN($X$42)+1)="Annuelle",MOD((YEAR($L394)-YEAR(INDEX('1 Budget annuel'!$L$14:$L$43,COLUMN()-COLUMN($X$42)+1)))*12+MONTH($L394)-MONTH(INDEX('1 Budget annuel'!$L$14:$L$43,COLUMN()-COLUMN($X$42)+1)),12)=0,DAY($L394)=MIN(DAY(INDEX('1 Budget annuel'!$L$14:$L$43,COLUMN()-COLUMN($X$42)+1)),DAY(EOMONTH($L394,0))))),IF(INDEX('1 Budget annuel'!$B$14:$B$43,COLUMN()-COLUMN($X$42)+1)="Entrée",INDEX('1 Budget annuel'!$I$14:$I$43,COLUMN()-COLUMN($X$42)+1),-INDEX('1 Budget annuel'!$I$14:$I$43,COLUMN()-COLUMN($X$42)+1)),0))</x:f>
        <x:v>0</x:v>
      </x:c>
    </x:row>
    <x:row r="395">
      <x:c r="L395" s="114" t="n">
        <x:f>L394+1</x:f>
        <x:v>46589</x:v>
      </x:c>
      <x:c r="M395" s="115" t="b">
        <x:f>AND(L395&gt;=$D$5,L395&lt;=$D$5+363,MOD(L395-$D$5,7)=0)</x:f>
        <x:v>0</x:v>
      </x:c>
      <x:c r="N395" s="116" t="n">
        <x:f>SUM(X395:BA395)</x:f>
        <x:v>0</x:v>
      </x:c>
      <x:c r="O395" s="116" t="n">
        <x:f>IF(M395,$D$10,0)</x:f>
        <x:v>0</x:v>
      </x:c>
      <x:c r="P395" s="116" t="n">
        <x:f>N395-O395</x:f>
        <x:v>0</x:v>
      </x:c>
      <x:c r="Q395" s="116" t="n">
        <x:f>IF(L395&lt;$D$5,0,IF(L395=$D$5,P395,Q394+P395))</x:f>
        <x:v>0</x:v>
      </x:c>
      <x:c r="R395" s="116" t="n">
        <x:f>IF(L395&lt;$D$5,"",$J$10+Q395)</x:f>
        <x:v>0</x:v>
      </x:c>
      <x:c r="S395" s="116" t="n">
        <x:f>IF($L395&lt;$D$5,"",IF($L395=$D$5,$J$10+$N395-IF($M395,IF(INT(($L395-$D$5)/7)&lt;$A$20,$B$20,$D$10),0),S394+$N395-IF($M395,IF(INT(($L395-$D$5)/7)&lt;$A$20,$B$20,$D$10),0)))</x:f>
        <x:v>0</x:v>
      </x:c>
      <x:c r="T395" s="116" t="n">
        <x:f>IF($L395&lt;$D$5,"",IF($L395=$D$5,$J$10+$N395-IF($M395,IF(INT(($L395-$D$5)/7)&lt;$A$21,$B$21,$D$10),0),T394+$N395-IF($M395,IF(INT(($L395-$D$5)/7)&lt;$A$21,$B$21,$D$10),0)))</x:f>
        <x:v>0</x:v>
      </x:c>
      <x:c r="U395" s="116" t="n">
        <x:f>IF($L395&lt;$D$5,"",IF($L395=$D$5,$J$10+$N395-IF($M395,IF(INT(($L395-$D$5)/7)&lt;$A$22,$B$22,$D$10),0),U394+$N395-IF($M395,IF(INT(($L395-$D$5)/7)&lt;$A$22,$B$22,$D$10),0)))</x:f>
        <x:v>0</x:v>
      </x:c>
      <x:c r="V395" s="116" t="n">
        <x:f>IF($L395&lt;$D$5,"",IF($L395=$D$5,$J$10+$N395-IF($M395,IF(INT(($L395-$D$5)/7)&lt;$A$23,$B$23,$D$10),0),V394+$N395-IF($M395,IF(INT(($L395-$D$5)/7)&lt;$A$23,$B$23,$D$10),0)))</x:f>
        <x:v>0</x:v>
      </x:c>
      <x:c r="W395" s="116" t="n">
        <x:f>IF($L395&lt;$D$5,"",IF($L395=$D$5,$J$10+$N395-IF($M395,IF(INT(($L395-$D$5)/7)&lt;$A$24,$B$24,$D$10),0),W394+$N395-IF($M395,IF(INT(($L395-$D$5)/7)&lt;$A$24,$B$24,$D$10),0)))</x:f>
        <x:v>0</x:v>
      </x:c>
      <x:c r="X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Y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Z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A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B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C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D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E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F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G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H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I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J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K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L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M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N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O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P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Q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R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S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T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U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V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W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X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Y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AZ395" s="116"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c r="BA395" s="117" t="n">
        <x:f>IF(OR(INDEX('1 Budget annuel'!$A$14:$A$43,COLUMN()-COLUMN($X$42)+1)&lt;&gt;"Oui",INDEX('1 Budget annuel'!$L$14:$L$43,COLUMN()-COLUMN($X$42)+1)="",AND(INDEX('1 Budget annuel'!$B$14:$B$43,COLUMN()-COLUMN($X$42)+1)="Sortie",INDEX('1 Budget annuel'!$M$14:$M$43,COLUMN()-COLUMN($X$42)+1)="Oui"),$L395&lt;INDEX('1 Budget annuel'!$L$14:$L$43,COLUMN()-COLUMN($X$42)+1),$L395&gt;$D$5+363),0,IF(OR(AND(INDEX('1 Budget annuel'!$E$14:$E$43,COLUMN()-COLUMN($X$42)+1)="Hebdomadaire",MOD($L395-INDEX('1 Budget annuel'!$L$14:$L$43,COLUMN()-COLUMN($X$42)+1),7)=0),AND(INDEX('1 Budget annuel'!$E$14:$E$43,COLUMN()-COLUMN($X$42)+1)="Toutes les 4 semaines",MOD($L395-INDEX('1 Budget annuel'!$L$14:$L$43,COLUMN()-COLUMN($X$42)+1),28)=0),AND(INDEX('1 Budget annuel'!$E$14:$E$43,COLUMN()-COLUMN($X$42)+1)="Mensuelle",DAY($L395)=MIN(DAY(INDEX('1 Budget annuel'!$L$14:$L$43,COLUMN()-COLUMN($X$42)+1)),DAY(EOMONTH($L395,0)))),AND(INDEX('1 Budget annuel'!$E$14:$E$43,COLUMN()-COLUMN($X$42)+1)="Trimestrielle",MOD((YEAR($L395)-YEAR(INDEX('1 Budget annuel'!$L$14:$L$43,COLUMN()-COLUMN($X$42)+1)))*12+MONTH($L395)-MONTH(INDEX('1 Budget annuel'!$L$14:$L$43,COLUMN()-COLUMN($X$42)+1)),3)=0,DAY($L395)=MIN(DAY(INDEX('1 Budget annuel'!$L$14:$L$43,COLUMN()-COLUMN($X$42)+1)),DAY(EOMONTH($L395,0)))),AND(INDEX('1 Budget annuel'!$E$14:$E$43,COLUMN()-COLUMN($X$42)+1)="Semestrielle",MOD((YEAR($L395)-YEAR(INDEX('1 Budget annuel'!$L$14:$L$43,COLUMN()-COLUMN($X$42)+1)))*12+MONTH($L395)-MONTH(INDEX('1 Budget annuel'!$L$14:$L$43,COLUMN()-COLUMN($X$42)+1)),6)=0,DAY($L395)=MIN(DAY(INDEX('1 Budget annuel'!$L$14:$L$43,COLUMN()-COLUMN($X$42)+1)),DAY(EOMONTH($L395,0)))),AND(INDEX('1 Budget annuel'!$E$14:$E$43,COLUMN()-COLUMN($X$42)+1)="Annuelle",MOD((YEAR($L395)-YEAR(INDEX('1 Budget annuel'!$L$14:$L$43,COLUMN()-COLUMN($X$42)+1)))*12+MONTH($L395)-MONTH(INDEX('1 Budget annuel'!$L$14:$L$43,COLUMN()-COLUMN($X$42)+1)),12)=0,DAY($L395)=MIN(DAY(INDEX('1 Budget annuel'!$L$14:$L$43,COLUMN()-COLUMN($X$42)+1)),DAY(EOMONTH($L395,0))))),IF(INDEX('1 Budget annuel'!$B$14:$B$43,COLUMN()-COLUMN($X$42)+1)="Entrée",INDEX('1 Budget annuel'!$I$14:$I$43,COLUMN()-COLUMN($X$42)+1),-INDEX('1 Budget annuel'!$I$14:$I$43,COLUMN()-COLUMN($X$42)+1)),0))</x:f>
        <x:v>0</x:v>
      </x:c>
    </x:row>
    <x:row r="396">
      <x:c r="L396" s="114" t="n">
        <x:f>L395+1</x:f>
        <x:v>46590</x:v>
      </x:c>
      <x:c r="M396" s="115" t="b">
        <x:f>AND(L396&gt;=$D$5,L396&lt;=$D$5+363,MOD(L396-$D$5,7)=0)</x:f>
        <x:v>0</x:v>
      </x:c>
      <x:c r="N396" s="116" t="n">
        <x:f>SUM(X396:BA396)</x:f>
        <x:v>0</x:v>
      </x:c>
      <x:c r="O396" s="116" t="n">
        <x:f>IF(M396,$D$10,0)</x:f>
        <x:v>0</x:v>
      </x:c>
      <x:c r="P396" s="116" t="n">
        <x:f>N396-O396</x:f>
        <x:v>0</x:v>
      </x:c>
      <x:c r="Q396" s="116" t="n">
        <x:f>IF(L396&lt;$D$5,0,IF(L396=$D$5,P396,Q395+P396))</x:f>
        <x:v>0</x:v>
      </x:c>
      <x:c r="R396" s="116" t="n">
        <x:f>IF(L396&lt;$D$5,"",$J$10+Q396)</x:f>
        <x:v>0</x:v>
      </x:c>
      <x:c r="S396" s="116" t="n">
        <x:f>IF($L396&lt;$D$5,"",IF($L396=$D$5,$J$10+$N396-IF($M396,IF(INT(($L396-$D$5)/7)&lt;$A$20,$B$20,$D$10),0),S395+$N396-IF($M396,IF(INT(($L396-$D$5)/7)&lt;$A$20,$B$20,$D$10),0)))</x:f>
        <x:v>0</x:v>
      </x:c>
      <x:c r="T396" s="116" t="n">
        <x:f>IF($L396&lt;$D$5,"",IF($L396=$D$5,$J$10+$N396-IF($M396,IF(INT(($L396-$D$5)/7)&lt;$A$21,$B$21,$D$10),0),T395+$N396-IF($M396,IF(INT(($L396-$D$5)/7)&lt;$A$21,$B$21,$D$10),0)))</x:f>
        <x:v>0</x:v>
      </x:c>
      <x:c r="U396" s="116" t="n">
        <x:f>IF($L396&lt;$D$5,"",IF($L396=$D$5,$J$10+$N396-IF($M396,IF(INT(($L396-$D$5)/7)&lt;$A$22,$B$22,$D$10),0),U395+$N396-IF($M396,IF(INT(($L396-$D$5)/7)&lt;$A$22,$B$22,$D$10),0)))</x:f>
        <x:v>0</x:v>
      </x:c>
      <x:c r="V396" s="116" t="n">
        <x:f>IF($L396&lt;$D$5,"",IF($L396=$D$5,$J$10+$N396-IF($M396,IF(INT(($L396-$D$5)/7)&lt;$A$23,$B$23,$D$10),0),V395+$N396-IF($M396,IF(INT(($L396-$D$5)/7)&lt;$A$23,$B$23,$D$10),0)))</x:f>
        <x:v>0</x:v>
      </x:c>
      <x:c r="W396" s="116" t="n">
        <x:f>IF($L396&lt;$D$5,"",IF($L396=$D$5,$J$10+$N396-IF($M396,IF(INT(($L396-$D$5)/7)&lt;$A$24,$B$24,$D$10),0),W395+$N396-IF($M396,IF(INT(($L396-$D$5)/7)&lt;$A$24,$B$24,$D$10),0)))</x:f>
        <x:v>0</x:v>
      </x:c>
      <x:c r="X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Y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Z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A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B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C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D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E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F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G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H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I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J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K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L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M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N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O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P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Q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R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S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T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U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V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W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X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Y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AZ396" s="116"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c r="BA396" s="117" t="n">
        <x:f>IF(OR(INDEX('1 Budget annuel'!$A$14:$A$43,COLUMN()-COLUMN($X$42)+1)&lt;&gt;"Oui",INDEX('1 Budget annuel'!$L$14:$L$43,COLUMN()-COLUMN($X$42)+1)="",AND(INDEX('1 Budget annuel'!$B$14:$B$43,COLUMN()-COLUMN($X$42)+1)="Sortie",INDEX('1 Budget annuel'!$M$14:$M$43,COLUMN()-COLUMN($X$42)+1)="Oui"),$L396&lt;INDEX('1 Budget annuel'!$L$14:$L$43,COLUMN()-COLUMN($X$42)+1),$L396&gt;$D$5+363),0,IF(OR(AND(INDEX('1 Budget annuel'!$E$14:$E$43,COLUMN()-COLUMN($X$42)+1)="Hebdomadaire",MOD($L396-INDEX('1 Budget annuel'!$L$14:$L$43,COLUMN()-COLUMN($X$42)+1),7)=0),AND(INDEX('1 Budget annuel'!$E$14:$E$43,COLUMN()-COLUMN($X$42)+1)="Toutes les 4 semaines",MOD($L396-INDEX('1 Budget annuel'!$L$14:$L$43,COLUMN()-COLUMN($X$42)+1),28)=0),AND(INDEX('1 Budget annuel'!$E$14:$E$43,COLUMN()-COLUMN($X$42)+1)="Mensuelle",DAY($L396)=MIN(DAY(INDEX('1 Budget annuel'!$L$14:$L$43,COLUMN()-COLUMN($X$42)+1)),DAY(EOMONTH($L396,0)))),AND(INDEX('1 Budget annuel'!$E$14:$E$43,COLUMN()-COLUMN($X$42)+1)="Trimestrielle",MOD((YEAR($L396)-YEAR(INDEX('1 Budget annuel'!$L$14:$L$43,COLUMN()-COLUMN($X$42)+1)))*12+MONTH($L396)-MONTH(INDEX('1 Budget annuel'!$L$14:$L$43,COLUMN()-COLUMN($X$42)+1)),3)=0,DAY($L396)=MIN(DAY(INDEX('1 Budget annuel'!$L$14:$L$43,COLUMN()-COLUMN($X$42)+1)),DAY(EOMONTH($L396,0)))),AND(INDEX('1 Budget annuel'!$E$14:$E$43,COLUMN()-COLUMN($X$42)+1)="Semestrielle",MOD((YEAR($L396)-YEAR(INDEX('1 Budget annuel'!$L$14:$L$43,COLUMN()-COLUMN($X$42)+1)))*12+MONTH($L396)-MONTH(INDEX('1 Budget annuel'!$L$14:$L$43,COLUMN()-COLUMN($X$42)+1)),6)=0,DAY($L396)=MIN(DAY(INDEX('1 Budget annuel'!$L$14:$L$43,COLUMN()-COLUMN($X$42)+1)),DAY(EOMONTH($L396,0)))),AND(INDEX('1 Budget annuel'!$E$14:$E$43,COLUMN()-COLUMN($X$42)+1)="Annuelle",MOD((YEAR($L396)-YEAR(INDEX('1 Budget annuel'!$L$14:$L$43,COLUMN()-COLUMN($X$42)+1)))*12+MONTH($L396)-MONTH(INDEX('1 Budget annuel'!$L$14:$L$43,COLUMN()-COLUMN($X$42)+1)),12)=0,DAY($L396)=MIN(DAY(INDEX('1 Budget annuel'!$L$14:$L$43,COLUMN()-COLUMN($X$42)+1)),DAY(EOMONTH($L396,0))))),IF(INDEX('1 Budget annuel'!$B$14:$B$43,COLUMN()-COLUMN($X$42)+1)="Entrée",INDEX('1 Budget annuel'!$I$14:$I$43,COLUMN()-COLUMN($X$42)+1),-INDEX('1 Budget annuel'!$I$14:$I$43,COLUMN()-COLUMN($X$42)+1)),0))</x:f>
        <x:v>0</x:v>
      </x:c>
    </x:row>
    <x:row r="397">
      <x:c r="L397" s="114" t="n">
        <x:f>L396+1</x:f>
        <x:v>46591</x:v>
      </x:c>
      <x:c r="M397" s="115" t="b">
        <x:f>AND(L397&gt;=$D$5,L397&lt;=$D$5+363,MOD(L397-$D$5,7)=0)</x:f>
        <x:v>0</x:v>
      </x:c>
      <x:c r="N397" s="116" t="n">
        <x:f>SUM(X397:BA397)</x:f>
        <x:v>0</x:v>
      </x:c>
      <x:c r="O397" s="116" t="n">
        <x:f>IF(M397,$D$10,0)</x:f>
        <x:v>0</x:v>
      </x:c>
      <x:c r="P397" s="116" t="n">
        <x:f>N397-O397</x:f>
        <x:v>0</x:v>
      </x:c>
      <x:c r="Q397" s="116" t="n">
        <x:f>IF(L397&lt;$D$5,0,IF(L397=$D$5,P397,Q396+P397))</x:f>
        <x:v>0</x:v>
      </x:c>
      <x:c r="R397" s="116" t="n">
        <x:f>IF(L397&lt;$D$5,"",$J$10+Q397)</x:f>
        <x:v>0</x:v>
      </x:c>
      <x:c r="S397" s="116" t="n">
        <x:f>IF($L397&lt;$D$5,"",IF($L397=$D$5,$J$10+$N397-IF($M397,IF(INT(($L397-$D$5)/7)&lt;$A$20,$B$20,$D$10),0),S396+$N397-IF($M397,IF(INT(($L397-$D$5)/7)&lt;$A$20,$B$20,$D$10),0)))</x:f>
        <x:v>0</x:v>
      </x:c>
      <x:c r="T397" s="116" t="n">
        <x:f>IF($L397&lt;$D$5,"",IF($L397=$D$5,$J$10+$N397-IF($M397,IF(INT(($L397-$D$5)/7)&lt;$A$21,$B$21,$D$10),0),T396+$N397-IF($M397,IF(INT(($L397-$D$5)/7)&lt;$A$21,$B$21,$D$10),0)))</x:f>
        <x:v>0</x:v>
      </x:c>
      <x:c r="U397" s="116" t="n">
        <x:f>IF($L397&lt;$D$5,"",IF($L397=$D$5,$J$10+$N397-IF($M397,IF(INT(($L397-$D$5)/7)&lt;$A$22,$B$22,$D$10),0),U396+$N397-IF($M397,IF(INT(($L397-$D$5)/7)&lt;$A$22,$B$22,$D$10),0)))</x:f>
        <x:v>0</x:v>
      </x:c>
      <x:c r="V397" s="116" t="n">
        <x:f>IF($L397&lt;$D$5,"",IF($L397=$D$5,$J$10+$N397-IF($M397,IF(INT(($L397-$D$5)/7)&lt;$A$23,$B$23,$D$10),0),V396+$N397-IF($M397,IF(INT(($L397-$D$5)/7)&lt;$A$23,$B$23,$D$10),0)))</x:f>
        <x:v>0</x:v>
      </x:c>
      <x:c r="W397" s="116" t="n">
        <x:f>IF($L397&lt;$D$5,"",IF($L397=$D$5,$J$10+$N397-IF($M397,IF(INT(($L397-$D$5)/7)&lt;$A$24,$B$24,$D$10),0),W396+$N397-IF($M397,IF(INT(($L397-$D$5)/7)&lt;$A$24,$B$24,$D$10),0)))</x:f>
        <x:v>0</x:v>
      </x:c>
      <x:c r="X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Y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Z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A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B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C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D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E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F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G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H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I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J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K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L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M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N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O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P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Q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R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S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T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U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V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W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X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Y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AZ397" s="116"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c r="BA397" s="117" t="n">
        <x:f>IF(OR(INDEX('1 Budget annuel'!$A$14:$A$43,COLUMN()-COLUMN($X$42)+1)&lt;&gt;"Oui",INDEX('1 Budget annuel'!$L$14:$L$43,COLUMN()-COLUMN($X$42)+1)="",AND(INDEX('1 Budget annuel'!$B$14:$B$43,COLUMN()-COLUMN($X$42)+1)="Sortie",INDEX('1 Budget annuel'!$M$14:$M$43,COLUMN()-COLUMN($X$42)+1)="Oui"),$L397&lt;INDEX('1 Budget annuel'!$L$14:$L$43,COLUMN()-COLUMN($X$42)+1),$L397&gt;$D$5+363),0,IF(OR(AND(INDEX('1 Budget annuel'!$E$14:$E$43,COLUMN()-COLUMN($X$42)+1)="Hebdomadaire",MOD($L397-INDEX('1 Budget annuel'!$L$14:$L$43,COLUMN()-COLUMN($X$42)+1),7)=0),AND(INDEX('1 Budget annuel'!$E$14:$E$43,COLUMN()-COLUMN($X$42)+1)="Toutes les 4 semaines",MOD($L397-INDEX('1 Budget annuel'!$L$14:$L$43,COLUMN()-COLUMN($X$42)+1),28)=0),AND(INDEX('1 Budget annuel'!$E$14:$E$43,COLUMN()-COLUMN($X$42)+1)="Mensuelle",DAY($L397)=MIN(DAY(INDEX('1 Budget annuel'!$L$14:$L$43,COLUMN()-COLUMN($X$42)+1)),DAY(EOMONTH($L397,0)))),AND(INDEX('1 Budget annuel'!$E$14:$E$43,COLUMN()-COLUMN($X$42)+1)="Trimestrielle",MOD((YEAR($L397)-YEAR(INDEX('1 Budget annuel'!$L$14:$L$43,COLUMN()-COLUMN($X$42)+1)))*12+MONTH($L397)-MONTH(INDEX('1 Budget annuel'!$L$14:$L$43,COLUMN()-COLUMN($X$42)+1)),3)=0,DAY($L397)=MIN(DAY(INDEX('1 Budget annuel'!$L$14:$L$43,COLUMN()-COLUMN($X$42)+1)),DAY(EOMONTH($L397,0)))),AND(INDEX('1 Budget annuel'!$E$14:$E$43,COLUMN()-COLUMN($X$42)+1)="Semestrielle",MOD((YEAR($L397)-YEAR(INDEX('1 Budget annuel'!$L$14:$L$43,COLUMN()-COLUMN($X$42)+1)))*12+MONTH($L397)-MONTH(INDEX('1 Budget annuel'!$L$14:$L$43,COLUMN()-COLUMN($X$42)+1)),6)=0,DAY($L397)=MIN(DAY(INDEX('1 Budget annuel'!$L$14:$L$43,COLUMN()-COLUMN($X$42)+1)),DAY(EOMONTH($L397,0)))),AND(INDEX('1 Budget annuel'!$E$14:$E$43,COLUMN()-COLUMN($X$42)+1)="Annuelle",MOD((YEAR($L397)-YEAR(INDEX('1 Budget annuel'!$L$14:$L$43,COLUMN()-COLUMN($X$42)+1)))*12+MONTH($L397)-MONTH(INDEX('1 Budget annuel'!$L$14:$L$43,COLUMN()-COLUMN($X$42)+1)),12)=0,DAY($L397)=MIN(DAY(INDEX('1 Budget annuel'!$L$14:$L$43,COLUMN()-COLUMN($X$42)+1)),DAY(EOMONTH($L397,0))))),IF(INDEX('1 Budget annuel'!$B$14:$B$43,COLUMN()-COLUMN($X$42)+1)="Entrée",INDEX('1 Budget annuel'!$I$14:$I$43,COLUMN()-COLUMN($X$42)+1),-INDEX('1 Budget annuel'!$I$14:$I$43,COLUMN()-COLUMN($X$42)+1)),0))</x:f>
        <x:v>0</x:v>
      </x:c>
    </x:row>
    <x:row r="398">
      <x:c r="L398" s="114" t="n">
        <x:f>L397+1</x:f>
        <x:v>46592</x:v>
      </x:c>
      <x:c r="M398" s="115" t="b">
        <x:f>AND(L398&gt;=$D$5,L398&lt;=$D$5+363,MOD(L398-$D$5,7)=0)</x:f>
        <x:v>1</x:v>
      </x:c>
      <x:c r="N398" s="116" t="n">
        <x:f>SUM(X398:BA398)</x:f>
        <x:v>0</x:v>
      </x:c>
      <x:c r="O398" s="116" t="n">
        <x:f>IF(M398,$D$10,0)</x:f>
        <x:v>0</x:v>
      </x:c>
      <x:c r="P398" s="116" t="n">
        <x:f>N398-O398</x:f>
        <x:v>0</x:v>
      </x:c>
      <x:c r="Q398" s="116" t="n">
        <x:f>IF(L398&lt;$D$5,0,IF(L398=$D$5,P398,Q397+P398))</x:f>
        <x:v>0</x:v>
      </x:c>
      <x:c r="R398" s="116" t="n">
        <x:f>IF(L398&lt;$D$5,"",$J$10+Q398)</x:f>
        <x:v>0</x:v>
      </x:c>
      <x:c r="S398" s="116" t="n">
        <x:f>IF($L398&lt;$D$5,"",IF($L398=$D$5,$J$10+$N398-IF($M398,IF(INT(($L398-$D$5)/7)&lt;$A$20,$B$20,$D$10),0),S397+$N398-IF($M398,IF(INT(($L398-$D$5)/7)&lt;$A$20,$B$20,$D$10),0)))</x:f>
        <x:v>0</x:v>
      </x:c>
      <x:c r="T398" s="116" t="n">
        <x:f>IF($L398&lt;$D$5,"",IF($L398=$D$5,$J$10+$N398-IF($M398,IF(INT(($L398-$D$5)/7)&lt;$A$21,$B$21,$D$10),0),T397+$N398-IF($M398,IF(INT(($L398-$D$5)/7)&lt;$A$21,$B$21,$D$10),0)))</x:f>
        <x:v>0</x:v>
      </x:c>
      <x:c r="U398" s="116" t="n">
        <x:f>IF($L398&lt;$D$5,"",IF($L398=$D$5,$J$10+$N398-IF($M398,IF(INT(($L398-$D$5)/7)&lt;$A$22,$B$22,$D$10),0),U397+$N398-IF($M398,IF(INT(($L398-$D$5)/7)&lt;$A$22,$B$22,$D$10),0)))</x:f>
        <x:v>0</x:v>
      </x:c>
      <x:c r="V398" s="116" t="n">
        <x:f>IF($L398&lt;$D$5,"",IF($L398=$D$5,$J$10+$N398-IF($M398,IF(INT(($L398-$D$5)/7)&lt;$A$23,$B$23,$D$10),0),V397+$N398-IF($M398,IF(INT(($L398-$D$5)/7)&lt;$A$23,$B$23,$D$10),0)))</x:f>
        <x:v>0</x:v>
      </x:c>
      <x:c r="W398" s="116" t="n">
        <x:f>IF($L398&lt;$D$5,"",IF($L398=$D$5,$J$10+$N398-IF($M398,IF(INT(($L398-$D$5)/7)&lt;$A$24,$B$24,$D$10),0),W397+$N398-IF($M398,IF(INT(($L398-$D$5)/7)&lt;$A$24,$B$24,$D$10),0)))</x:f>
        <x:v>0</x:v>
      </x:c>
      <x:c r="X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Y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Z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A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B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C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D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E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F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G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H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I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J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K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L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M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N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O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P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Q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R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S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T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U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V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W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X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Y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AZ398" s="116"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c r="BA398" s="117" t="n">
        <x:f>IF(OR(INDEX('1 Budget annuel'!$A$14:$A$43,COLUMN()-COLUMN($X$42)+1)&lt;&gt;"Oui",INDEX('1 Budget annuel'!$L$14:$L$43,COLUMN()-COLUMN($X$42)+1)="",AND(INDEX('1 Budget annuel'!$B$14:$B$43,COLUMN()-COLUMN($X$42)+1)="Sortie",INDEX('1 Budget annuel'!$M$14:$M$43,COLUMN()-COLUMN($X$42)+1)="Oui"),$L398&lt;INDEX('1 Budget annuel'!$L$14:$L$43,COLUMN()-COLUMN($X$42)+1),$L398&gt;$D$5+363),0,IF(OR(AND(INDEX('1 Budget annuel'!$E$14:$E$43,COLUMN()-COLUMN($X$42)+1)="Hebdomadaire",MOD($L398-INDEX('1 Budget annuel'!$L$14:$L$43,COLUMN()-COLUMN($X$42)+1),7)=0),AND(INDEX('1 Budget annuel'!$E$14:$E$43,COLUMN()-COLUMN($X$42)+1)="Toutes les 4 semaines",MOD($L398-INDEX('1 Budget annuel'!$L$14:$L$43,COLUMN()-COLUMN($X$42)+1),28)=0),AND(INDEX('1 Budget annuel'!$E$14:$E$43,COLUMN()-COLUMN($X$42)+1)="Mensuelle",DAY($L398)=MIN(DAY(INDEX('1 Budget annuel'!$L$14:$L$43,COLUMN()-COLUMN($X$42)+1)),DAY(EOMONTH($L398,0)))),AND(INDEX('1 Budget annuel'!$E$14:$E$43,COLUMN()-COLUMN($X$42)+1)="Trimestrielle",MOD((YEAR($L398)-YEAR(INDEX('1 Budget annuel'!$L$14:$L$43,COLUMN()-COLUMN($X$42)+1)))*12+MONTH($L398)-MONTH(INDEX('1 Budget annuel'!$L$14:$L$43,COLUMN()-COLUMN($X$42)+1)),3)=0,DAY($L398)=MIN(DAY(INDEX('1 Budget annuel'!$L$14:$L$43,COLUMN()-COLUMN($X$42)+1)),DAY(EOMONTH($L398,0)))),AND(INDEX('1 Budget annuel'!$E$14:$E$43,COLUMN()-COLUMN($X$42)+1)="Semestrielle",MOD((YEAR($L398)-YEAR(INDEX('1 Budget annuel'!$L$14:$L$43,COLUMN()-COLUMN($X$42)+1)))*12+MONTH($L398)-MONTH(INDEX('1 Budget annuel'!$L$14:$L$43,COLUMN()-COLUMN($X$42)+1)),6)=0,DAY($L398)=MIN(DAY(INDEX('1 Budget annuel'!$L$14:$L$43,COLUMN()-COLUMN($X$42)+1)),DAY(EOMONTH($L398,0)))),AND(INDEX('1 Budget annuel'!$E$14:$E$43,COLUMN()-COLUMN($X$42)+1)="Annuelle",MOD((YEAR($L398)-YEAR(INDEX('1 Budget annuel'!$L$14:$L$43,COLUMN()-COLUMN($X$42)+1)))*12+MONTH($L398)-MONTH(INDEX('1 Budget annuel'!$L$14:$L$43,COLUMN()-COLUMN($X$42)+1)),12)=0,DAY($L398)=MIN(DAY(INDEX('1 Budget annuel'!$L$14:$L$43,COLUMN()-COLUMN($X$42)+1)),DAY(EOMONTH($L398,0))))),IF(INDEX('1 Budget annuel'!$B$14:$B$43,COLUMN()-COLUMN($X$42)+1)="Entrée",INDEX('1 Budget annuel'!$I$14:$I$43,COLUMN()-COLUMN($X$42)+1),-INDEX('1 Budget annuel'!$I$14:$I$43,COLUMN()-COLUMN($X$42)+1)),0))</x:f>
        <x:v>0</x:v>
      </x:c>
    </x:row>
    <x:row r="399">
      <x:c r="L399" s="114" t="n">
        <x:f>L398+1</x:f>
        <x:v>46593</x:v>
      </x:c>
      <x:c r="M399" s="115" t="b">
        <x:f>AND(L399&gt;=$D$5,L399&lt;=$D$5+363,MOD(L399-$D$5,7)=0)</x:f>
        <x:v>0</x:v>
      </x:c>
      <x:c r="N399" s="116" t="n">
        <x:f>SUM(X399:BA399)</x:f>
        <x:v>0</x:v>
      </x:c>
      <x:c r="O399" s="116" t="n">
        <x:f>IF(M399,$D$10,0)</x:f>
        <x:v>0</x:v>
      </x:c>
      <x:c r="P399" s="116" t="n">
        <x:f>N399-O399</x:f>
        <x:v>0</x:v>
      </x:c>
      <x:c r="Q399" s="116" t="n">
        <x:f>IF(L399&lt;$D$5,0,IF(L399=$D$5,P399,Q398+P399))</x:f>
        <x:v>0</x:v>
      </x:c>
      <x:c r="R399" s="116" t="n">
        <x:f>IF(L399&lt;$D$5,"",$J$10+Q399)</x:f>
        <x:v>0</x:v>
      </x:c>
      <x:c r="S399" s="116" t="n">
        <x:f>IF($L399&lt;$D$5,"",IF($L399=$D$5,$J$10+$N399-IF($M399,IF(INT(($L399-$D$5)/7)&lt;$A$20,$B$20,$D$10),0),S398+$N399-IF($M399,IF(INT(($L399-$D$5)/7)&lt;$A$20,$B$20,$D$10),0)))</x:f>
        <x:v>0</x:v>
      </x:c>
      <x:c r="T399" s="116" t="n">
        <x:f>IF($L399&lt;$D$5,"",IF($L399=$D$5,$J$10+$N399-IF($M399,IF(INT(($L399-$D$5)/7)&lt;$A$21,$B$21,$D$10),0),T398+$N399-IF($M399,IF(INT(($L399-$D$5)/7)&lt;$A$21,$B$21,$D$10),0)))</x:f>
        <x:v>0</x:v>
      </x:c>
      <x:c r="U399" s="116" t="n">
        <x:f>IF($L399&lt;$D$5,"",IF($L399=$D$5,$J$10+$N399-IF($M399,IF(INT(($L399-$D$5)/7)&lt;$A$22,$B$22,$D$10),0),U398+$N399-IF($M399,IF(INT(($L399-$D$5)/7)&lt;$A$22,$B$22,$D$10),0)))</x:f>
        <x:v>0</x:v>
      </x:c>
      <x:c r="V399" s="116" t="n">
        <x:f>IF($L399&lt;$D$5,"",IF($L399=$D$5,$J$10+$N399-IF($M399,IF(INT(($L399-$D$5)/7)&lt;$A$23,$B$23,$D$10),0),V398+$N399-IF($M399,IF(INT(($L399-$D$5)/7)&lt;$A$23,$B$23,$D$10),0)))</x:f>
        <x:v>0</x:v>
      </x:c>
      <x:c r="W399" s="116" t="n">
        <x:f>IF($L399&lt;$D$5,"",IF($L399=$D$5,$J$10+$N399-IF($M399,IF(INT(($L399-$D$5)/7)&lt;$A$24,$B$24,$D$10),0),W398+$N399-IF($M399,IF(INT(($L399-$D$5)/7)&lt;$A$24,$B$24,$D$10),0)))</x:f>
        <x:v>0</x:v>
      </x:c>
      <x:c r="X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Y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Z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A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B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C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D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E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F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G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H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I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J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K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L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M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N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O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P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Q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R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S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T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U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V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W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X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Y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AZ399" s="116"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c r="BA399" s="117" t="n">
        <x:f>IF(OR(INDEX('1 Budget annuel'!$A$14:$A$43,COLUMN()-COLUMN($X$42)+1)&lt;&gt;"Oui",INDEX('1 Budget annuel'!$L$14:$L$43,COLUMN()-COLUMN($X$42)+1)="",AND(INDEX('1 Budget annuel'!$B$14:$B$43,COLUMN()-COLUMN($X$42)+1)="Sortie",INDEX('1 Budget annuel'!$M$14:$M$43,COLUMN()-COLUMN($X$42)+1)="Oui"),$L399&lt;INDEX('1 Budget annuel'!$L$14:$L$43,COLUMN()-COLUMN($X$42)+1),$L399&gt;$D$5+363),0,IF(OR(AND(INDEX('1 Budget annuel'!$E$14:$E$43,COLUMN()-COLUMN($X$42)+1)="Hebdomadaire",MOD($L399-INDEX('1 Budget annuel'!$L$14:$L$43,COLUMN()-COLUMN($X$42)+1),7)=0),AND(INDEX('1 Budget annuel'!$E$14:$E$43,COLUMN()-COLUMN($X$42)+1)="Toutes les 4 semaines",MOD($L399-INDEX('1 Budget annuel'!$L$14:$L$43,COLUMN()-COLUMN($X$42)+1),28)=0),AND(INDEX('1 Budget annuel'!$E$14:$E$43,COLUMN()-COLUMN($X$42)+1)="Mensuelle",DAY($L399)=MIN(DAY(INDEX('1 Budget annuel'!$L$14:$L$43,COLUMN()-COLUMN($X$42)+1)),DAY(EOMONTH($L399,0)))),AND(INDEX('1 Budget annuel'!$E$14:$E$43,COLUMN()-COLUMN($X$42)+1)="Trimestrielle",MOD((YEAR($L399)-YEAR(INDEX('1 Budget annuel'!$L$14:$L$43,COLUMN()-COLUMN($X$42)+1)))*12+MONTH($L399)-MONTH(INDEX('1 Budget annuel'!$L$14:$L$43,COLUMN()-COLUMN($X$42)+1)),3)=0,DAY($L399)=MIN(DAY(INDEX('1 Budget annuel'!$L$14:$L$43,COLUMN()-COLUMN($X$42)+1)),DAY(EOMONTH($L399,0)))),AND(INDEX('1 Budget annuel'!$E$14:$E$43,COLUMN()-COLUMN($X$42)+1)="Semestrielle",MOD((YEAR($L399)-YEAR(INDEX('1 Budget annuel'!$L$14:$L$43,COLUMN()-COLUMN($X$42)+1)))*12+MONTH($L399)-MONTH(INDEX('1 Budget annuel'!$L$14:$L$43,COLUMN()-COLUMN($X$42)+1)),6)=0,DAY($L399)=MIN(DAY(INDEX('1 Budget annuel'!$L$14:$L$43,COLUMN()-COLUMN($X$42)+1)),DAY(EOMONTH($L399,0)))),AND(INDEX('1 Budget annuel'!$E$14:$E$43,COLUMN()-COLUMN($X$42)+1)="Annuelle",MOD((YEAR($L399)-YEAR(INDEX('1 Budget annuel'!$L$14:$L$43,COLUMN()-COLUMN($X$42)+1)))*12+MONTH($L399)-MONTH(INDEX('1 Budget annuel'!$L$14:$L$43,COLUMN()-COLUMN($X$42)+1)),12)=0,DAY($L399)=MIN(DAY(INDEX('1 Budget annuel'!$L$14:$L$43,COLUMN()-COLUMN($X$42)+1)),DAY(EOMONTH($L399,0))))),IF(INDEX('1 Budget annuel'!$B$14:$B$43,COLUMN()-COLUMN($X$42)+1)="Entrée",INDEX('1 Budget annuel'!$I$14:$I$43,COLUMN()-COLUMN($X$42)+1),-INDEX('1 Budget annuel'!$I$14:$I$43,COLUMN()-COLUMN($X$42)+1)),0))</x:f>
        <x:v>0</x:v>
      </x:c>
    </x:row>
    <x:row r="400">
      <x:c r="L400" s="114" t="n">
        <x:f>L399+1</x:f>
        <x:v>46594</x:v>
      </x:c>
      <x:c r="M400" s="115" t="b">
        <x:f>AND(L400&gt;=$D$5,L400&lt;=$D$5+363,MOD(L400-$D$5,7)=0)</x:f>
        <x:v>0</x:v>
      </x:c>
      <x:c r="N400" s="116" t="n">
        <x:f>SUM(X400:BA400)</x:f>
        <x:v>0</x:v>
      </x:c>
      <x:c r="O400" s="116" t="n">
        <x:f>IF(M400,$D$10,0)</x:f>
        <x:v>0</x:v>
      </x:c>
      <x:c r="P400" s="116" t="n">
        <x:f>N400-O400</x:f>
        <x:v>0</x:v>
      </x:c>
      <x:c r="Q400" s="116" t="n">
        <x:f>IF(L400&lt;$D$5,0,IF(L400=$D$5,P400,Q399+P400))</x:f>
        <x:v>0</x:v>
      </x:c>
      <x:c r="R400" s="116" t="n">
        <x:f>IF(L400&lt;$D$5,"",$J$10+Q400)</x:f>
        <x:v>0</x:v>
      </x:c>
      <x:c r="S400" s="116" t="n">
        <x:f>IF($L400&lt;$D$5,"",IF($L400=$D$5,$J$10+$N400-IF($M400,IF(INT(($L400-$D$5)/7)&lt;$A$20,$B$20,$D$10),0),S399+$N400-IF($M400,IF(INT(($L400-$D$5)/7)&lt;$A$20,$B$20,$D$10),0)))</x:f>
        <x:v>0</x:v>
      </x:c>
      <x:c r="T400" s="116" t="n">
        <x:f>IF($L400&lt;$D$5,"",IF($L400=$D$5,$J$10+$N400-IF($M400,IF(INT(($L400-$D$5)/7)&lt;$A$21,$B$21,$D$10),0),T399+$N400-IF($M400,IF(INT(($L400-$D$5)/7)&lt;$A$21,$B$21,$D$10),0)))</x:f>
        <x:v>0</x:v>
      </x:c>
      <x:c r="U400" s="116" t="n">
        <x:f>IF($L400&lt;$D$5,"",IF($L400=$D$5,$J$10+$N400-IF($M400,IF(INT(($L400-$D$5)/7)&lt;$A$22,$B$22,$D$10),0),U399+$N400-IF($M400,IF(INT(($L400-$D$5)/7)&lt;$A$22,$B$22,$D$10),0)))</x:f>
        <x:v>0</x:v>
      </x:c>
      <x:c r="V400" s="116" t="n">
        <x:f>IF($L400&lt;$D$5,"",IF($L400=$D$5,$J$10+$N400-IF($M400,IF(INT(($L400-$D$5)/7)&lt;$A$23,$B$23,$D$10),0),V399+$N400-IF($M400,IF(INT(($L400-$D$5)/7)&lt;$A$23,$B$23,$D$10),0)))</x:f>
        <x:v>0</x:v>
      </x:c>
      <x:c r="W400" s="116" t="n">
        <x:f>IF($L400&lt;$D$5,"",IF($L400=$D$5,$J$10+$N400-IF($M400,IF(INT(($L400-$D$5)/7)&lt;$A$24,$B$24,$D$10),0),W399+$N400-IF($M400,IF(INT(($L400-$D$5)/7)&lt;$A$24,$B$24,$D$10),0)))</x:f>
        <x:v>0</x:v>
      </x:c>
      <x:c r="X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Y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Z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A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B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C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D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E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F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G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H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I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J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K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L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M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N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O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P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Q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R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S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T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U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V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W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X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Y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AZ400" s="116"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c r="BA400" s="117" t="n">
        <x:f>IF(OR(INDEX('1 Budget annuel'!$A$14:$A$43,COLUMN()-COLUMN($X$42)+1)&lt;&gt;"Oui",INDEX('1 Budget annuel'!$L$14:$L$43,COLUMN()-COLUMN($X$42)+1)="",AND(INDEX('1 Budget annuel'!$B$14:$B$43,COLUMN()-COLUMN($X$42)+1)="Sortie",INDEX('1 Budget annuel'!$M$14:$M$43,COLUMN()-COLUMN($X$42)+1)="Oui"),$L400&lt;INDEX('1 Budget annuel'!$L$14:$L$43,COLUMN()-COLUMN($X$42)+1),$L400&gt;$D$5+363),0,IF(OR(AND(INDEX('1 Budget annuel'!$E$14:$E$43,COLUMN()-COLUMN($X$42)+1)="Hebdomadaire",MOD($L400-INDEX('1 Budget annuel'!$L$14:$L$43,COLUMN()-COLUMN($X$42)+1),7)=0),AND(INDEX('1 Budget annuel'!$E$14:$E$43,COLUMN()-COLUMN($X$42)+1)="Toutes les 4 semaines",MOD($L400-INDEX('1 Budget annuel'!$L$14:$L$43,COLUMN()-COLUMN($X$42)+1),28)=0),AND(INDEX('1 Budget annuel'!$E$14:$E$43,COLUMN()-COLUMN($X$42)+1)="Mensuelle",DAY($L400)=MIN(DAY(INDEX('1 Budget annuel'!$L$14:$L$43,COLUMN()-COLUMN($X$42)+1)),DAY(EOMONTH($L400,0)))),AND(INDEX('1 Budget annuel'!$E$14:$E$43,COLUMN()-COLUMN($X$42)+1)="Trimestrielle",MOD((YEAR($L400)-YEAR(INDEX('1 Budget annuel'!$L$14:$L$43,COLUMN()-COLUMN($X$42)+1)))*12+MONTH($L400)-MONTH(INDEX('1 Budget annuel'!$L$14:$L$43,COLUMN()-COLUMN($X$42)+1)),3)=0,DAY($L400)=MIN(DAY(INDEX('1 Budget annuel'!$L$14:$L$43,COLUMN()-COLUMN($X$42)+1)),DAY(EOMONTH($L400,0)))),AND(INDEX('1 Budget annuel'!$E$14:$E$43,COLUMN()-COLUMN($X$42)+1)="Semestrielle",MOD((YEAR($L400)-YEAR(INDEX('1 Budget annuel'!$L$14:$L$43,COLUMN()-COLUMN($X$42)+1)))*12+MONTH($L400)-MONTH(INDEX('1 Budget annuel'!$L$14:$L$43,COLUMN()-COLUMN($X$42)+1)),6)=0,DAY($L400)=MIN(DAY(INDEX('1 Budget annuel'!$L$14:$L$43,COLUMN()-COLUMN($X$42)+1)),DAY(EOMONTH($L400,0)))),AND(INDEX('1 Budget annuel'!$E$14:$E$43,COLUMN()-COLUMN($X$42)+1)="Annuelle",MOD((YEAR($L400)-YEAR(INDEX('1 Budget annuel'!$L$14:$L$43,COLUMN()-COLUMN($X$42)+1)))*12+MONTH($L400)-MONTH(INDEX('1 Budget annuel'!$L$14:$L$43,COLUMN()-COLUMN($X$42)+1)),12)=0,DAY($L400)=MIN(DAY(INDEX('1 Budget annuel'!$L$14:$L$43,COLUMN()-COLUMN($X$42)+1)),DAY(EOMONTH($L400,0))))),IF(INDEX('1 Budget annuel'!$B$14:$B$43,COLUMN()-COLUMN($X$42)+1)="Entrée",INDEX('1 Budget annuel'!$I$14:$I$43,COLUMN()-COLUMN($X$42)+1),-INDEX('1 Budget annuel'!$I$14:$I$43,COLUMN()-COLUMN($X$42)+1)),0))</x:f>
        <x:v>0</x:v>
      </x:c>
    </x:row>
    <x:row r="401">
      <x:c r="L401" s="114" t="n">
        <x:f>L400+1</x:f>
        <x:v>46595</x:v>
      </x:c>
      <x:c r="M401" s="115" t="b">
        <x:f>AND(L401&gt;=$D$5,L401&lt;=$D$5+363,MOD(L401-$D$5,7)=0)</x:f>
        <x:v>0</x:v>
      </x:c>
      <x:c r="N401" s="116" t="n">
        <x:f>SUM(X401:BA401)</x:f>
        <x:v>0</x:v>
      </x:c>
      <x:c r="O401" s="116" t="n">
        <x:f>IF(M401,$D$10,0)</x:f>
        <x:v>0</x:v>
      </x:c>
      <x:c r="P401" s="116" t="n">
        <x:f>N401-O401</x:f>
        <x:v>0</x:v>
      </x:c>
      <x:c r="Q401" s="116" t="n">
        <x:f>IF(L401&lt;$D$5,0,IF(L401=$D$5,P401,Q400+P401))</x:f>
        <x:v>0</x:v>
      </x:c>
      <x:c r="R401" s="116" t="n">
        <x:f>IF(L401&lt;$D$5,"",$J$10+Q401)</x:f>
        <x:v>0</x:v>
      </x:c>
      <x:c r="S401" s="116" t="n">
        <x:f>IF($L401&lt;$D$5,"",IF($L401=$D$5,$J$10+$N401-IF($M401,IF(INT(($L401-$D$5)/7)&lt;$A$20,$B$20,$D$10),0),S400+$N401-IF($M401,IF(INT(($L401-$D$5)/7)&lt;$A$20,$B$20,$D$10),0)))</x:f>
        <x:v>0</x:v>
      </x:c>
      <x:c r="T401" s="116" t="n">
        <x:f>IF($L401&lt;$D$5,"",IF($L401=$D$5,$J$10+$N401-IF($M401,IF(INT(($L401-$D$5)/7)&lt;$A$21,$B$21,$D$10),0),T400+$N401-IF($M401,IF(INT(($L401-$D$5)/7)&lt;$A$21,$B$21,$D$10),0)))</x:f>
        <x:v>0</x:v>
      </x:c>
      <x:c r="U401" s="116" t="n">
        <x:f>IF($L401&lt;$D$5,"",IF($L401=$D$5,$J$10+$N401-IF($M401,IF(INT(($L401-$D$5)/7)&lt;$A$22,$B$22,$D$10),0),U400+$N401-IF($M401,IF(INT(($L401-$D$5)/7)&lt;$A$22,$B$22,$D$10),0)))</x:f>
        <x:v>0</x:v>
      </x:c>
      <x:c r="V401" s="116" t="n">
        <x:f>IF($L401&lt;$D$5,"",IF($L401=$D$5,$J$10+$N401-IF($M401,IF(INT(($L401-$D$5)/7)&lt;$A$23,$B$23,$D$10),0),V400+$N401-IF($M401,IF(INT(($L401-$D$5)/7)&lt;$A$23,$B$23,$D$10),0)))</x:f>
        <x:v>0</x:v>
      </x:c>
      <x:c r="W401" s="116" t="n">
        <x:f>IF($L401&lt;$D$5,"",IF($L401=$D$5,$J$10+$N401-IF($M401,IF(INT(($L401-$D$5)/7)&lt;$A$24,$B$24,$D$10),0),W400+$N401-IF($M401,IF(INT(($L401-$D$5)/7)&lt;$A$24,$B$24,$D$10),0)))</x:f>
        <x:v>0</x:v>
      </x:c>
      <x:c r="X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Y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Z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A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B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C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D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E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F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G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H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I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J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K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L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M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N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O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P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Q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R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S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T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U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V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W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X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Y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AZ401" s="116"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c r="BA401" s="117" t="n">
        <x:f>IF(OR(INDEX('1 Budget annuel'!$A$14:$A$43,COLUMN()-COLUMN($X$42)+1)&lt;&gt;"Oui",INDEX('1 Budget annuel'!$L$14:$L$43,COLUMN()-COLUMN($X$42)+1)="",AND(INDEX('1 Budget annuel'!$B$14:$B$43,COLUMN()-COLUMN($X$42)+1)="Sortie",INDEX('1 Budget annuel'!$M$14:$M$43,COLUMN()-COLUMN($X$42)+1)="Oui"),$L401&lt;INDEX('1 Budget annuel'!$L$14:$L$43,COLUMN()-COLUMN($X$42)+1),$L401&gt;$D$5+363),0,IF(OR(AND(INDEX('1 Budget annuel'!$E$14:$E$43,COLUMN()-COLUMN($X$42)+1)="Hebdomadaire",MOD($L401-INDEX('1 Budget annuel'!$L$14:$L$43,COLUMN()-COLUMN($X$42)+1),7)=0),AND(INDEX('1 Budget annuel'!$E$14:$E$43,COLUMN()-COLUMN($X$42)+1)="Toutes les 4 semaines",MOD($L401-INDEX('1 Budget annuel'!$L$14:$L$43,COLUMN()-COLUMN($X$42)+1),28)=0),AND(INDEX('1 Budget annuel'!$E$14:$E$43,COLUMN()-COLUMN($X$42)+1)="Mensuelle",DAY($L401)=MIN(DAY(INDEX('1 Budget annuel'!$L$14:$L$43,COLUMN()-COLUMN($X$42)+1)),DAY(EOMONTH($L401,0)))),AND(INDEX('1 Budget annuel'!$E$14:$E$43,COLUMN()-COLUMN($X$42)+1)="Trimestrielle",MOD((YEAR($L401)-YEAR(INDEX('1 Budget annuel'!$L$14:$L$43,COLUMN()-COLUMN($X$42)+1)))*12+MONTH($L401)-MONTH(INDEX('1 Budget annuel'!$L$14:$L$43,COLUMN()-COLUMN($X$42)+1)),3)=0,DAY($L401)=MIN(DAY(INDEX('1 Budget annuel'!$L$14:$L$43,COLUMN()-COLUMN($X$42)+1)),DAY(EOMONTH($L401,0)))),AND(INDEX('1 Budget annuel'!$E$14:$E$43,COLUMN()-COLUMN($X$42)+1)="Semestrielle",MOD((YEAR($L401)-YEAR(INDEX('1 Budget annuel'!$L$14:$L$43,COLUMN()-COLUMN($X$42)+1)))*12+MONTH($L401)-MONTH(INDEX('1 Budget annuel'!$L$14:$L$43,COLUMN()-COLUMN($X$42)+1)),6)=0,DAY($L401)=MIN(DAY(INDEX('1 Budget annuel'!$L$14:$L$43,COLUMN()-COLUMN($X$42)+1)),DAY(EOMONTH($L401,0)))),AND(INDEX('1 Budget annuel'!$E$14:$E$43,COLUMN()-COLUMN($X$42)+1)="Annuelle",MOD((YEAR($L401)-YEAR(INDEX('1 Budget annuel'!$L$14:$L$43,COLUMN()-COLUMN($X$42)+1)))*12+MONTH($L401)-MONTH(INDEX('1 Budget annuel'!$L$14:$L$43,COLUMN()-COLUMN($X$42)+1)),12)=0,DAY($L401)=MIN(DAY(INDEX('1 Budget annuel'!$L$14:$L$43,COLUMN()-COLUMN($X$42)+1)),DAY(EOMONTH($L401,0))))),IF(INDEX('1 Budget annuel'!$B$14:$B$43,COLUMN()-COLUMN($X$42)+1)="Entrée",INDEX('1 Budget annuel'!$I$14:$I$43,COLUMN()-COLUMN($X$42)+1),-INDEX('1 Budget annuel'!$I$14:$I$43,COLUMN()-COLUMN($X$42)+1)),0))</x:f>
        <x:v>0</x:v>
      </x:c>
    </x:row>
    <x:row r="402">
      <x:c r="L402" s="114" t="n">
        <x:f>L401+1</x:f>
        <x:v>46596</x:v>
      </x:c>
      <x:c r="M402" s="115" t="b">
        <x:f>AND(L402&gt;=$D$5,L402&lt;=$D$5+363,MOD(L402-$D$5,7)=0)</x:f>
        <x:v>0</x:v>
      </x:c>
      <x:c r="N402" s="116" t="n">
        <x:f>SUM(X402:BA402)</x:f>
        <x:v>0</x:v>
      </x:c>
      <x:c r="O402" s="116" t="n">
        <x:f>IF(M402,$D$10,0)</x:f>
        <x:v>0</x:v>
      </x:c>
      <x:c r="P402" s="116" t="n">
        <x:f>N402-O402</x:f>
        <x:v>0</x:v>
      </x:c>
      <x:c r="Q402" s="116" t="n">
        <x:f>IF(L402&lt;$D$5,0,IF(L402=$D$5,P402,Q401+P402))</x:f>
        <x:v>0</x:v>
      </x:c>
      <x:c r="R402" s="116" t="n">
        <x:f>IF(L402&lt;$D$5,"",$J$10+Q402)</x:f>
        <x:v>0</x:v>
      </x:c>
      <x:c r="S402" s="116" t="n">
        <x:f>IF($L402&lt;$D$5,"",IF($L402=$D$5,$J$10+$N402-IF($M402,IF(INT(($L402-$D$5)/7)&lt;$A$20,$B$20,$D$10),0),S401+$N402-IF($M402,IF(INT(($L402-$D$5)/7)&lt;$A$20,$B$20,$D$10),0)))</x:f>
        <x:v>0</x:v>
      </x:c>
      <x:c r="T402" s="116" t="n">
        <x:f>IF($L402&lt;$D$5,"",IF($L402=$D$5,$J$10+$N402-IF($M402,IF(INT(($L402-$D$5)/7)&lt;$A$21,$B$21,$D$10),0),T401+$N402-IF($M402,IF(INT(($L402-$D$5)/7)&lt;$A$21,$B$21,$D$10),0)))</x:f>
        <x:v>0</x:v>
      </x:c>
      <x:c r="U402" s="116" t="n">
        <x:f>IF($L402&lt;$D$5,"",IF($L402=$D$5,$J$10+$N402-IF($M402,IF(INT(($L402-$D$5)/7)&lt;$A$22,$B$22,$D$10),0),U401+$N402-IF($M402,IF(INT(($L402-$D$5)/7)&lt;$A$22,$B$22,$D$10),0)))</x:f>
        <x:v>0</x:v>
      </x:c>
      <x:c r="V402" s="116" t="n">
        <x:f>IF($L402&lt;$D$5,"",IF($L402=$D$5,$J$10+$N402-IF($M402,IF(INT(($L402-$D$5)/7)&lt;$A$23,$B$23,$D$10),0),V401+$N402-IF($M402,IF(INT(($L402-$D$5)/7)&lt;$A$23,$B$23,$D$10),0)))</x:f>
        <x:v>0</x:v>
      </x:c>
      <x:c r="W402" s="116" t="n">
        <x:f>IF($L402&lt;$D$5,"",IF($L402=$D$5,$J$10+$N402-IF($M402,IF(INT(($L402-$D$5)/7)&lt;$A$24,$B$24,$D$10),0),W401+$N402-IF($M402,IF(INT(($L402-$D$5)/7)&lt;$A$24,$B$24,$D$10),0)))</x:f>
        <x:v>0</x:v>
      </x:c>
      <x:c r="X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Y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Z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A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B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C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D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E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F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G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H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I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J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K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L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M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N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O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P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Q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R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S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T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U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V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W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X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Y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AZ402" s="116"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c r="BA402" s="117" t="n">
        <x:f>IF(OR(INDEX('1 Budget annuel'!$A$14:$A$43,COLUMN()-COLUMN($X$42)+1)&lt;&gt;"Oui",INDEX('1 Budget annuel'!$L$14:$L$43,COLUMN()-COLUMN($X$42)+1)="",AND(INDEX('1 Budget annuel'!$B$14:$B$43,COLUMN()-COLUMN($X$42)+1)="Sortie",INDEX('1 Budget annuel'!$M$14:$M$43,COLUMN()-COLUMN($X$42)+1)="Oui"),$L402&lt;INDEX('1 Budget annuel'!$L$14:$L$43,COLUMN()-COLUMN($X$42)+1),$L402&gt;$D$5+363),0,IF(OR(AND(INDEX('1 Budget annuel'!$E$14:$E$43,COLUMN()-COLUMN($X$42)+1)="Hebdomadaire",MOD($L402-INDEX('1 Budget annuel'!$L$14:$L$43,COLUMN()-COLUMN($X$42)+1),7)=0),AND(INDEX('1 Budget annuel'!$E$14:$E$43,COLUMN()-COLUMN($X$42)+1)="Toutes les 4 semaines",MOD($L402-INDEX('1 Budget annuel'!$L$14:$L$43,COLUMN()-COLUMN($X$42)+1),28)=0),AND(INDEX('1 Budget annuel'!$E$14:$E$43,COLUMN()-COLUMN($X$42)+1)="Mensuelle",DAY($L402)=MIN(DAY(INDEX('1 Budget annuel'!$L$14:$L$43,COLUMN()-COLUMN($X$42)+1)),DAY(EOMONTH($L402,0)))),AND(INDEX('1 Budget annuel'!$E$14:$E$43,COLUMN()-COLUMN($X$42)+1)="Trimestrielle",MOD((YEAR($L402)-YEAR(INDEX('1 Budget annuel'!$L$14:$L$43,COLUMN()-COLUMN($X$42)+1)))*12+MONTH($L402)-MONTH(INDEX('1 Budget annuel'!$L$14:$L$43,COLUMN()-COLUMN($X$42)+1)),3)=0,DAY($L402)=MIN(DAY(INDEX('1 Budget annuel'!$L$14:$L$43,COLUMN()-COLUMN($X$42)+1)),DAY(EOMONTH($L402,0)))),AND(INDEX('1 Budget annuel'!$E$14:$E$43,COLUMN()-COLUMN($X$42)+1)="Semestrielle",MOD((YEAR($L402)-YEAR(INDEX('1 Budget annuel'!$L$14:$L$43,COLUMN()-COLUMN($X$42)+1)))*12+MONTH($L402)-MONTH(INDEX('1 Budget annuel'!$L$14:$L$43,COLUMN()-COLUMN($X$42)+1)),6)=0,DAY($L402)=MIN(DAY(INDEX('1 Budget annuel'!$L$14:$L$43,COLUMN()-COLUMN($X$42)+1)),DAY(EOMONTH($L402,0)))),AND(INDEX('1 Budget annuel'!$E$14:$E$43,COLUMN()-COLUMN($X$42)+1)="Annuelle",MOD((YEAR($L402)-YEAR(INDEX('1 Budget annuel'!$L$14:$L$43,COLUMN()-COLUMN($X$42)+1)))*12+MONTH($L402)-MONTH(INDEX('1 Budget annuel'!$L$14:$L$43,COLUMN()-COLUMN($X$42)+1)),12)=0,DAY($L402)=MIN(DAY(INDEX('1 Budget annuel'!$L$14:$L$43,COLUMN()-COLUMN($X$42)+1)),DAY(EOMONTH($L402,0))))),IF(INDEX('1 Budget annuel'!$B$14:$B$43,COLUMN()-COLUMN($X$42)+1)="Entrée",INDEX('1 Budget annuel'!$I$14:$I$43,COLUMN()-COLUMN($X$42)+1),-INDEX('1 Budget annuel'!$I$14:$I$43,COLUMN()-COLUMN($X$42)+1)),0))</x:f>
        <x:v>0</x:v>
      </x:c>
    </x:row>
    <x:row r="403">
      <x:c r="L403" s="114" t="n">
        <x:f>L402+1</x:f>
        <x:v>46597</x:v>
      </x:c>
      <x:c r="M403" s="115" t="b">
        <x:f>AND(L403&gt;=$D$5,L403&lt;=$D$5+363,MOD(L403-$D$5,7)=0)</x:f>
        <x:v>0</x:v>
      </x:c>
      <x:c r="N403" s="116" t="n">
        <x:f>SUM(X403:BA403)</x:f>
        <x:v>0</x:v>
      </x:c>
      <x:c r="O403" s="116" t="n">
        <x:f>IF(M403,$D$10,0)</x:f>
        <x:v>0</x:v>
      </x:c>
      <x:c r="P403" s="116" t="n">
        <x:f>N403-O403</x:f>
        <x:v>0</x:v>
      </x:c>
      <x:c r="Q403" s="116" t="n">
        <x:f>IF(L403&lt;$D$5,0,IF(L403=$D$5,P403,Q402+P403))</x:f>
        <x:v>0</x:v>
      </x:c>
      <x:c r="R403" s="116" t="n">
        <x:f>IF(L403&lt;$D$5,"",$J$10+Q403)</x:f>
        <x:v>0</x:v>
      </x:c>
      <x:c r="S403" s="116" t="n">
        <x:f>IF($L403&lt;$D$5,"",IF($L403=$D$5,$J$10+$N403-IF($M403,IF(INT(($L403-$D$5)/7)&lt;$A$20,$B$20,$D$10),0),S402+$N403-IF($M403,IF(INT(($L403-$D$5)/7)&lt;$A$20,$B$20,$D$10),0)))</x:f>
        <x:v>0</x:v>
      </x:c>
      <x:c r="T403" s="116" t="n">
        <x:f>IF($L403&lt;$D$5,"",IF($L403=$D$5,$J$10+$N403-IF($M403,IF(INT(($L403-$D$5)/7)&lt;$A$21,$B$21,$D$10),0),T402+$N403-IF($M403,IF(INT(($L403-$D$5)/7)&lt;$A$21,$B$21,$D$10),0)))</x:f>
        <x:v>0</x:v>
      </x:c>
      <x:c r="U403" s="116" t="n">
        <x:f>IF($L403&lt;$D$5,"",IF($L403=$D$5,$J$10+$N403-IF($M403,IF(INT(($L403-$D$5)/7)&lt;$A$22,$B$22,$D$10),0),U402+$N403-IF($M403,IF(INT(($L403-$D$5)/7)&lt;$A$22,$B$22,$D$10),0)))</x:f>
        <x:v>0</x:v>
      </x:c>
      <x:c r="V403" s="116" t="n">
        <x:f>IF($L403&lt;$D$5,"",IF($L403=$D$5,$J$10+$N403-IF($M403,IF(INT(($L403-$D$5)/7)&lt;$A$23,$B$23,$D$10),0),V402+$N403-IF($M403,IF(INT(($L403-$D$5)/7)&lt;$A$23,$B$23,$D$10),0)))</x:f>
        <x:v>0</x:v>
      </x:c>
      <x:c r="W403" s="116" t="n">
        <x:f>IF($L403&lt;$D$5,"",IF($L403=$D$5,$J$10+$N403-IF($M403,IF(INT(($L403-$D$5)/7)&lt;$A$24,$B$24,$D$10),0),W402+$N403-IF($M403,IF(INT(($L403-$D$5)/7)&lt;$A$24,$B$24,$D$10),0)))</x:f>
        <x:v>0</x:v>
      </x:c>
      <x:c r="X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Y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Z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A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B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C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D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E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F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G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H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I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J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K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L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M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N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O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P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Q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R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S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T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U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V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W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X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Y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AZ403" s="116"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c r="BA403" s="117" t="n">
        <x:f>IF(OR(INDEX('1 Budget annuel'!$A$14:$A$43,COLUMN()-COLUMN($X$42)+1)&lt;&gt;"Oui",INDEX('1 Budget annuel'!$L$14:$L$43,COLUMN()-COLUMN($X$42)+1)="",AND(INDEX('1 Budget annuel'!$B$14:$B$43,COLUMN()-COLUMN($X$42)+1)="Sortie",INDEX('1 Budget annuel'!$M$14:$M$43,COLUMN()-COLUMN($X$42)+1)="Oui"),$L403&lt;INDEX('1 Budget annuel'!$L$14:$L$43,COLUMN()-COLUMN($X$42)+1),$L403&gt;$D$5+363),0,IF(OR(AND(INDEX('1 Budget annuel'!$E$14:$E$43,COLUMN()-COLUMN($X$42)+1)="Hebdomadaire",MOD($L403-INDEX('1 Budget annuel'!$L$14:$L$43,COLUMN()-COLUMN($X$42)+1),7)=0),AND(INDEX('1 Budget annuel'!$E$14:$E$43,COLUMN()-COLUMN($X$42)+1)="Toutes les 4 semaines",MOD($L403-INDEX('1 Budget annuel'!$L$14:$L$43,COLUMN()-COLUMN($X$42)+1),28)=0),AND(INDEX('1 Budget annuel'!$E$14:$E$43,COLUMN()-COLUMN($X$42)+1)="Mensuelle",DAY($L403)=MIN(DAY(INDEX('1 Budget annuel'!$L$14:$L$43,COLUMN()-COLUMN($X$42)+1)),DAY(EOMONTH($L403,0)))),AND(INDEX('1 Budget annuel'!$E$14:$E$43,COLUMN()-COLUMN($X$42)+1)="Trimestrielle",MOD((YEAR($L403)-YEAR(INDEX('1 Budget annuel'!$L$14:$L$43,COLUMN()-COLUMN($X$42)+1)))*12+MONTH($L403)-MONTH(INDEX('1 Budget annuel'!$L$14:$L$43,COLUMN()-COLUMN($X$42)+1)),3)=0,DAY($L403)=MIN(DAY(INDEX('1 Budget annuel'!$L$14:$L$43,COLUMN()-COLUMN($X$42)+1)),DAY(EOMONTH($L403,0)))),AND(INDEX('1 Budget annuel'!$E$14:$E$43,COLUMN()-COLUMN($X$42)+1)="Semestrielle",MOD((YEAR($L403)-YEAR(INDEX('1 Budget annuel'!$L$14:$L$43,COLUMN()-COLUMN($X$42)+1)))*12+MONTH($L403)-MONTH(INDEX('1 Budget annuel'!$L$14:$L$43,COLUMN()-COLUMN($X$42)+1)),6)=0,DAY($L403)=MIN(DAY(INDEX('1 Budget annuel'!$L$14:$L$43,COLUMN()-COLUMN($X$42)+1)),DAY(EOMONTH($L403,0)))),AND(INDEX('1 Budget annuel'!$E$14:$E$43,COLUMN()-COLUMN($X$42)+1)="Annuelle",MOD((YEAR($L403)-YEAR(INDEX('1 Budget annuel'!$L$14:$L$43,COLUMN()-COLUMN($X$42)+1)))*12+MONTH($L403)-MONTH(INDEX('1 Budget annuel'!$L$14:$L$43,COLUMN()-COLUMN($X$42)+1)),12)=0,DAY($L403)=MIN(DAY(INDEX('1 Budget annuel'!$L$14:$L$43,COLUMN()-COLUMN($X$42)+1)),DAY(EOMONTH($L403,0))))),IF(INDEX('1 Budget annuel'!$B$14:$B$43,COLUMN()-COLUMN($X$42)+1)="Entrée",INDEX('1 Budget annuel'!$I$14:$I$43,COLUMN()-COLUMN($X$42)+1),-INDEX('1 Budget annuel'!$I$14:$I$43,COLUMN()-COLUMN($X$42)+1)),0))</x:f>
        <x:v>0</x:v>
      </x:c>
    </x:row>
    <x:row r="404">
      <x:c r="L404" s="114" t="n">
        <x:f>L403+1</x:f>
        <x:v>46598</x:v>
      </x:c>
      <x:c r="M404" s="115" t="b">
        <x:f>AND(L404&gt;=$D$5,L404&lt;=$D$5+363,MOD(L404-$D$5,7)=0)</x:f>
        <x:v>0</x:v>
      </x:c>
      <x:c r="N404" s="116" t="n">
        <x:f>SUM(X404:BA404)</x:f>
        <x:v>0</x:v>
      </x:c>
      <x:c r="O404" s="116" t="n">
        <x:f>IF(M404,$D$10,0)</x:f>
        <x:v>0</x:v>
      </x:c>
      <x:c r="P404" s="116" t="n">
        <x:f>N404-O404</x:f>
        <x:v>0</x:v>
      </x:c>
      <x:c r="Q404" s="116" t="n">
        <x:f>IF(L404&lt;$D$5,0,IF(L404=$D$5,P404,Q403+P404))</x:f>
        <x:v>0</x:v>
      </x:c>
      <x:c r="R404" s="116" t="n">
        <x:f>IF(L404&lt;$D$5,"",$J$10+Q404)</x:f>
        <x:v>0</x:v>
      </x:c>
      <x:c r="S404" s="116" t="n">
        <x:f>IF($L404&lt;$D$5,"",IF($L404=$D$5,$J$10+$N404-IF($M404,IF(INT(($L404-$D$5)/7)&lt;$A$20,$B$20,$D$10),0),S403+$N404-IF($M404,IF(INT(($L404-$D$5)/7)&lt;$A$20,$B$20,$D$10),0)))</x:f>
        <x:v>0</x:v>
      </x:c>
      <x:c r="T404" s="116" t="n">
        <x:f>IF($L404&lt;$D$5,"",IF($L404=$D$5,$J$10+$N404-IF($M404,IF(INT(($L404-$D$5)/7)&lt;$A$21,$B$21,$D$10),0),T403+$N404-IF($M404,IF(INT(($L404-$D$5)/7)&lt;$A$21,$B$21,$D$10),0)))</x:f>
        <x:v>0</x:v>
      </x:c>
      <x:c r="U404" s="116" t="n">
        <x:f>IF($L404&lt;$D$5,"",IF($L404=$D$5,$J$10+$N404-IF($M404,IF(INT(($L404-$D$5)/7)&lt;$A$22,$B$22,$D$10),0),U403+$N404-IF($M404,IF(INT(($L404-$D$5)/7)&lt;$A$22,$B$22,$D$10),0)))</x:f>
        <x:v>0</x:v>
      </x:c>
      <x:c r="V404" s="116" t="n">
        <x:f>IF($L404&lt;$D$5,"",IF($L404=$D$5,$J$10+$N404-IF($M404,IF(INT(($L404-$D$5)/7)&lt;$A$23,$B$23,$D$10),0),V403+$N404-IF($M404,IF(INT(($L404-$D$5)/7)&lt;$A$23,$B$23,$D$10),0)))</x:f>
        <x:v>0</x:v>
      </x:c>
      <x:c r="W404" s="116" t="n">
        <x:f>IF($L404&lt;$D$5,"",IF($L404=$D$5,$J$10+$N404-IF($M404,IF(INT(($L404-$D$5)/7)&lt;$A$24,$B$24,$D$10),0),W403+$N404-IF($M404,IF(INT(($L404-$D$5)/7)&lt;$A$24,$B$24,$D$10),0)))</x:f>
        <x:v>0</x:v>
      </x:c>
      <x:c r="X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Y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Z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A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B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C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D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E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F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G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H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I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J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K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L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M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N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O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P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Q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R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S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T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U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V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W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X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Y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AZ404" s="116"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c r="BA404" s="117" t="n">
        <x:f>IF(OR(INDEX('1 Budget annuel'!$A$14:$A$43,COLUMN()-COLUMN($X$42)+1)&lt;&gt;"Oui",INDEX('1 Budget annuel'!$L$14:$L$43,COLUMN()-COLUMN($X$42)+1)="",AND(INDEX('1 Budget annuel'!$B$14:$B$43,COLUMN()-COLUMN($X$42)+1)="Sortie",INDEX('1 Budget annuel'!$M$14:$M$43,COLUMN()-COLUMN($X$42)+1)="Oui"),$L404&lt;INDEX('1 Budget annuel'!$L$14:$L$43,COLUMN()-COLUMN($X$42)+1),$L404&gt;$D$5+363),0,IF(OR(AND(INDEX('1 Budget annuel'!$E$14:$E$43,COLUMN()-COLUMN($X$42)+1)="Hebdomadaire",MOD($L404-INDEX('1 Budget annuel'!$L$14:$L$43,COLUMN()-COLUMN($X$42)+1),7)=0),AND(INDEX('1 Budget annuel'!$E$14:$E$43,COLUMN()-COLUMN($X$42)+1)="Toutes les 4 semaines",MOD($L404-INDEX('1 Budget annuel'!$L$14:$L$43,COLUMN()-COLUMN($X$42)+1),28)=0),AND(INDEX('1 Budget annuel'!$E$14:$E$43,COLUMN()-COLUMN($X$42)+1)="Mensuelle",DAY($L404)=MIN(DAY(INDEX('1 Budget annuel'!$L$14:$L$43,COLUMN()-COLUMN($X$42)+1)),DAY(EOMONTH($L404,0)))),AND(INDEX('1 Budget annuel'!$E$14:$E$43,COLUMN()-COLUMN($X$42)+1)="Trimestrielle",MOD((YEAR($L404)-YEAR(INDEX('1 Budget annuel'!$L$14:$L$43,COLUMN()-COLUMN($X$42)+1)))*12+MONTH($L404)-MONTH(INDEX('1 Budget annuel'!$L$14:$L$43,COLUMN()-COLUMN($X$42)+1)),3)=0,DAY($L404)=MIN(DAY(INDEX('1 Budget annuel'!$L$14:$L$43,COLUMN()-COLUMN($X$42)+1)),DAY(EOMONTH($L404,0)))),AND(INDEX('1 Budget annuel'!$E$14:$E$43,COLUMN()-COLUMN($X$42)+1)="Semestrielle",MOD((YEAR($L404)-YEAR(INDEX('1 Budget annuel'!$L$14:$L$43,COLUMN()-COLUMN($X$42)+1)))*12+MONTH($L404)-MONTH(INDEX('1 Budget annuel'!$L$14:$L$43,COLUMN()-COLUMN($X$42)+1)),6)=0,DAY($L404)=MIN(DAY(INDEX('1 Budget annuel'!$L$14:$L$43,COLUMN()-COLUMN($X$42)+1)),DAY(EOMONTH($L404,0)))),AND(INDEX('1 Budget annuel'!$E$14:$E$43,COLUMN()-COLUMN($X$42)+1)="Annuelle",MOD((YEAR($L404)-YEAR(INDEX('1 Budget annuel'!$L$14:$L$43,COLUMN()-COLUMN($X$42)+1)))*12+MONTH($L404)-MONTH(INDEX('1 Budget annuel'!$L$14:$L$43,COLUMN()-COLUMN($X$42)+1)),12)=0,DAY($L404)=MIN(DAY(INDEX('1 Budget annuel'!$L$14:$L$43,COLUMN()-COLUMN($X$42)+1)),DAY(EOMONTH($L404,0))))),IF(INDEX('1 Budget annuel'!$B$14:$B$43,COLUMN()-COLUMN($X$42)+1)="Entrée",INDEX('1 Budget annuel'!$I$14:$I$43,COLUMN()-COLUMN($X$42)+1),-INDEX('1 Budget annuel'!$I$14:$I$43,COLUMN()-COLUMN($X$42)+1)),0))</x:f>
        <x:v>0</x:v>
      </x:c>
    </x:row>
    <x:row r="405">
      <x:c r="L405" s="114" t="n">
        <x:f>L404+1</x:f>
        <x:v>46599</x:v>
      </x:c>
      <x:c r="M405" s="115" t="b">
        <x:f>AND(L405&gt;=$D$5,L405&lt;=$D$5+363,MOD(L405-$D$5,7)=0)</x:f>
        <x:v>1</x:v>
      </x:c>
      <x:c r="N405" s="116" t="n">
        <x:f>SUM(X405:BA405)</x:f>
        <x:v>0</x:v>
      </x:c>
      <x:c r="O405" s="116" t="n">
        <x:f>IF(M405,$D$10,0)</x:f>
        <x:v>0</x:v>
      </x:c>
      <x:c r="P405" s="116" t="n">
        <x:f>N405-O405</x:f>
        <x:v>0</x:v>
      </x:c>
      <x:c r="Q405" s="116" t="n">
        <x:f>IF(L405&lt;$D$5,0,IF(L405=$D$5,P405,Q404+P405))</x:f>
        <x:v>0</x:v>
      </x:c>
      <x:c r="R405" s="116" t="n">
        <x:f>IF(L405&lt;$D$5,"",$J$10+Q405)</x:f>
        <x:v>0</x:v>
      </x:c>
      <x:c r="S405" s="116" t="n">
        <x:f>IF($L405&lt;$D$5,"",IF($L405=$D$5,$J$10+$N405-IF($M405,IF(INT(($L405-$D$5)/7)&lt;$A$20,$B$20,$D$10),0),S404+$N405-IF($M405,IF(INT(($L405-$D$5)/7)&lt;$A$20,$B$20,$D$10),0)))</x:f>
        <x:v>0</x:v>
      </x:c>
      <x:c r="T405" s="116" t="n">
        <x:f>IF($L405&lt;$D$5,"",IF($L405=$D$5,$J$10+$N405-IF($M405,IF(INT(($L405-$D$5)/7)&lt;$A$21,$B$21,$D$10),0),T404+$N405-IF($M405,IF(INT(($L405-$D$5)/7)&lt;$A$21,$B$21,$D$10),0)))</x:f>
        <x:v>0</x:v>
      </x:c>
      <x:c r="U405" s="116" t="n">
        <x:f>IF($L405&lt;$D$5,"",IF($L405=$D$5,$J$10+$N405-IF($M405,IF(INT(($L405-$D$5)/7)&lt;$A$22,$B$22,$D$10),0),U404+$N405-IF($M405,IF(INT(($L405-$D$5)/7)&lt;$A$22,$B$22,$D$10),0)))</x:f>
        <x:v>0</x:v>
      </x:c>
      <x:c r="V405" s="116" t="n">
        <x:f>IF($L405&lt;$D$5,"",IF($L405=$D$5,$J$10+$N405-IF($M405,IF(INT(($L405-$D$5)/7)&lt;$A$23,$B$23,$D$10),0),V404+$N405-IF($M405,IF(INT(($L405-$D$5)/7)&lt;$A$23,$B$23,$D$10),0)))</x:f>
        <x:v>0</x:v>
      </x:c>
      <x:c r="W405" s="116" t="n">
        <x:f>IF($L405&lt;$D$5,"",IF($L405=$D$5,$J$10+$N405-IF($M405,IF(INT(($L405-$D$5)/7)&lt;$A$24,$B$24,$D$10),0),W404+$N405-IF($M405,IF(INT(($L405-$D$5)/7)&lt;$A$24,$B$24,$D$10),0)))</x:f>
        <x:v>0</x:v>
      </x:c>
      <x:c r="X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Y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Z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A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B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C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D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E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F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G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H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I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J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K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L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M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N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O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P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Q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R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S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T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U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V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W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X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Y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AZ405" s="116"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c r="BA405" s="117" t="n">
        <x:f>IF(OR(INDEX('1 Budget annuel'!$A$14:$A$43,COLUMN()-COLUMN($X$42)+1)&lt;&gt;"Oui",INDEX('1 Budget annuel'!$L$14:$L$43,COLUMN()-COLUMN($X$42)+1)="",AND(INDEX('1 Budget annuel'!$B$14:$B$43,COLUMN()-COLUMN($X$42)+1)="Sortie",INDEX('1 Budget annuel'!$M$14:$M$43,COLUMN()-COLUMN($X$42)+1)="Oui"),$L405&lt;INDEX('1 Budget annuel'!$L$14:$L$43,COLUMN()-COLUMN($X$42)+1),$L405&gt;$D$5+363),0,IF(OR(AND(INDEX('1 Budget annuel'!$E$14:$E$43,COLUMN()-COLUMN($X$42)+1)="Hebdomadaire",MOD($L405-INDEX('1 Budget annuel'!$L$14:$L$43,COLUMN()-COLUMN($X$42)+1),7)=0),AND(INDEX('1 Budget annuel'!$E$14:$E$43,COLUMN()-COLUMN($X$42)+1)="Toutes les 4 semaines",MOD($L405-INDEX('1 Budget annuel'!$L$14:$L$43,COLUMN()-COLUMN($X$42)+1),28)=0),AND(INDEX('1 Budget annuel'!$E$14:$E$43,COLUMN()-COLUMN($X$42)+1)="Mensuelle",DAY($L405)=MIN(DAY(INDEX('1 Budget annuel'!$L$14:$L$43,COLUMN()-COLUMN($X$42)+1)),DAY(EOMONTH($L405,0)))),AND(INDEX('1 Budget annuel'!$E$14:$E$43,COLUMN()-COLUMN($X$42)+1)="Trimestrielle",MOD((YEAR($L405)-YEAR(INDEX('1 Budget annuel'!$L$14:$L$43,COLUMN()-COLUMN($X$42)+1)))*12+MONTH($L405)-MONTH(INDEX('1 Budget annuel'!$L$14:$L$43,COLUMN()-COLUMN($X$42)+1)),3)=0,DAY($L405)=MIN(DAY(INDEX('1 Budget annuel'!$L$14:$L$43,COLUMN()-COLUMN($X$42)+1)),DAY(EOMONTH($L405,0)))),AND(INDEX('1 Budget annuel'!$E$14:$E$43,COLUMN()-COLUMN($X$42)+1)="Semestrielle",MOD((YEAR($L405)-YEAR(INDEX('1 Budget annuel'!$L$14:$L$43,COLUMN()-COLUMN($X$42)+1)))*12+MONTH($L405)-MONTH(INDEX('1 Budget annuel'!$L$14:$L$43,COLUMN()-COLUMN($X$42)+1)),6)=0,DAY($L405)=MIN(DAY(INDEX('1 Budget annuel'!$L$14:$L$43,COLUMN()-COLUMN($X$42)+1)),DAY(EOMONTH($L405,0)))),AND(INDEX('1 Budget annuel'!$E$14:$E$43,COLUMN()-COLUMN($X$42)+1)="Annuelle",MOD((YEAR($L405)-YEAR(INDEX('1 Budget annuel'!$L$14:$L$43,COLUMN()-COLUMN($X$42)+1)))*12+MONTH($L405)-MONTH(INDEX('1 Budget annuel'!$L$14:$L$43,COLUMN()-COLUMN($X$42)+1)),12)=0,DAY($L405)=MIN(DAY(INDEX('1 Budget annuel'!$L$14:$L$43,COLUMN()-COLUMN($X$42)+1)),DAY(EOMONTH($L405,0))))),IF(INDEX('1 Budget annuel'!$B$14:$B$43,COLUMN()-COLUMN($X$42)+1)="Entrée",INDEX('1 Budget annuel'!$I$14:$I$43,COLUMN()-COLUMN($X$42)+1),-INDEX('1 Budget annuel'!$I$14:$I$43,COLUMN()-COLUMN($X$42)+1)),0))</x:f>
        <x:v>0</x:v>
      </x:c>
    </x:row>
    <x:row r="406">
      <x:c r="L406" s="114" t="n">
        <x:f>L405+1</x:f>
        <x:v>46600</x:v>
      </x:c>
      <x:c r="M406" s="115" t="b">
        <x:f>AND(L406&gt;=$D$5,L406&lt;=$D$5+363,MOD(L406-$D$5,7)=0)</x:f>
        <x:v>0</x:v>
      </x:c>
      <x:c r="N406" s="116" t="n">
        <x:f>SUM(X406:BA406)</x:f>
        <x:v>0</x:v>
      </x:c>
      <x:c r="O406" s="116" t="n">
        <x:f>IF(M406,$D$10,0)</x:f>
        <x:v>0</x:v>
      </x:c>
      <x:c r="P406" s="116" t="n">
        <x:f>N406-O406</x:f>
        <x:v>0</x:v>
      </x:c>
      <x:c r="Q406" s="116" t="n">
        <x:f>IF(L406&lt;$D$5,0,IF(L406=$D$5,P406,Q405+P406))</x:f>
        <x:v>0</x:v>
      </x:c>
      <x:c r="R406" s="116" t="n">
        <x:f>IF(L406&lt;$D$5,"",$J$10+Q406)</x:f>
        <x:v>0</x:v>
      </x:c>
      <x:c r="S406" s="116" t="n">
        <x:f>IF($L406&lt;$D$5,"",IF($L406=$D$5,$J$10+$N406-IF($M406,IF(INT(($L406-$D$5)/7)&lt;$A$20,$B$20,$D$10),0),S405+$N406-IF($M406,IF(INT(($L406-$D$5)/7)&lt;$A$20,$B$20,$D$10),0)))</x:f>
        <x:v>0</x:v>
      </x:c>
      <x:c r="T406" s="116" t="n">
        <x:f>IF($L406&lt;$D$5,"",IF($L406=$D$5,$J$10+$N406-IF($M406,IF(INT(($L406-$D$5)/7)&lt;$A$21,$B$21,$D$10),0),T405+$N406-IF($M406,IF(INT(($L406-$D$5)/7)&lt;$A$21,$B$21,$D$10),0)))</x:f>
        <x:v>0</x:v>
      </x:c>
      <x:c r="U406" s="116" t="n">
        <x:f>IF($L406&lt;$D$5,"",IF($L406=$D$5,$J$10+$N406-IF($M406,IF(INT(($L406-$D$5)/7)&lt;$A$22,$B$22,$D$10),0),U405+$N406-IF($M406,IF(INT(($L406-$D$5)/7)&lt;$A$22,$B$22,$D$10),0)))</x:f>
        <x:v>0</x:v>
      </x:c>
      <x:c r="V406" s="116" t="n">
        <x:f>IF($L406&lt;$D$5,"",IF($L406=$D$5,$J$10+$N406-IF($M406,IF(INT(($L406-$D$5)/7)&lt;$A$23,$B$23,$D$10),0),V405+$N406-IF($M406,IF(INT(($L406-$D$5)/7)&lt;$A$23,$B$23,$D$10),0)))</x:f>
        <x:v>0</x:v>
      </x:c>
      <x:c r="W406" s="116" t="n">
        <x:f>IF($L406&lt;$D$5,"",IF($L406=$D$5,$J$10+$N406-IF($M406,IF(INT(($L406-$D$5)/7)&lt;$A$24,$B$24,$D$10),0),W405+$N406-IF($M406,IF(INT(($L406-$D$5)/7)&lt;$A$24,$B$24,$D$10),0)))</x:f>
        <x:v>0</x:v>
      </x:c>
      <x:c r="X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Y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Z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A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B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C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D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E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F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G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H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I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J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K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L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M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N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O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P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Q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R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S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T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U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V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W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X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Y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AZ406" s="116"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c r="BA406" s="117" t="n">
        <x:f>IF(OR(INDEX('1 Budget annuel'!$A$14:$A$43,COLUMN()-COLUMN($X$42)+1)&lt;&gt;"Oui",INDEX('1 Budget annuel'!$L$14:$L$43,COLUMN()-COLUMN($X$42)+1)="",AND(INDEX('1 Budget annuel'!$B$14:$B$43,COLUMN()-COLUMN($X$42)+1)="Sortie",INDEX('1 Budget annuel'!$M$14:$M$43,COLUMN()-COLUMN($X$42)+1)="Oui"),$L406&lt;INDEX('1 Budget annuel'!$L$14:$L$43,COLUMN()-COLUMN($X$42)+1),$L406&gt;$D$5+363),0,IF(OR(AND(INDEX('1 Budget annuel'!$E$14:$E$43,COLUMN()-COLUMN($X$42)+1)="Hebdomadaire",MOD($L406-INDEX('1 Budget annuel'!$L$14:$L$43,COLUMN()-COLUMN($X$42)+1),7)=0),AND(INDEX('1 Budget annuel'!$E$14:$E$43,COLUMN()-COLUMN($X$42)+1)="Toutes les 4 semaines",MOD($L406-INDEX('1 Budget annuel'!$L$14:$L$43,COLUMN()-COLUMN($X$42)+1),28)=0),AND(INDEX('1 Budget annuel'!$E$14:$E$43,COLUMN()-COLUMN($X$42)+1)="Mensuelle",DAY($L406)=MIN(DAY(INDEX('1 Budget annuel'!$L$14:$L$43,COLUMN()-COLUMN($X$42)+1)),DAY(EOMONTH($L406,0)))),AND(INDEX('1 Budget annuel'!$E$14:$E$43,COLUMN()-COLUMN($X$42)+1)="Trimestrielle",MOD((YEAR($L406)-YEAR(INDEX('1 Budget annuel'!$L$14:$L$43,COLUMN()-COLUMN($X$42)+1)))*12+MONTH($L406)-MONTH(INDEX('1 Budget annuel'!$L$14:$L$43,COLUMN()-COLUMN($X$42)+1)),3)=0,DAY($L406)=MIN(DAY(INDEX('1 Budget annuel'!$L$14:$L$43,COLUMN()-COLUMN($X$42)+1)),DAY(EOMONTH($L406,0)))),AND(INDEX('1 Budget annuel'!$E$14:$E$43,COLUMN()-COLUMN($X$42)+1)="Semestrielle",MOD((YEAR($L406)-YEAR(INDEX('1 Budget annuel'!$L$14:$L$43,COLUMN()-COLUMN($X$42)+1)))*12+MONTH($L406)-MONTH(INDEX('1 Budget annuel'!$L$14:$L$43,COLUMN()-COLUMN($X$42)+1)),6)=0,DAY($L406)=MIN(DAY(INDEX('1 Budget annuel'!$L$14:$L$43,COLUMN()-COLUMN($X$42)+1)),DAY(EOMONTH($L406,0)))),AND(INDEX('1 Budget annuel'!$E$14:$E$43,COLUMN()-COLUMN($X$42)+1)="Annuelle",MOD((YEAR($L406)-YEAR(INDEX('1 Budget annuel'!$L$14:$L$43,COLUMN()-COLUMN($X$42)+1)))*12+MONTH($L406)-MONTH(INDEX('1 Budget annuel'!$L$14:$L$43,COLUMN()-COLUMN($X$42)+1)),12)=0,DAY($L406)=MIN(DAY(INDEX('1 Budget annuel'!$L$14:$L$43,COLUMN()-COLUMN($X$42)+1)),DAY(EOMONTH($L406,0))))),IF(INDEX('1 Budget annuel'!$B$14:$B$43,COLUMN()-COLUMN($X$42)+1)="Entrée",INDEX('1 Budget annuel'!$I$14:$I$43,COLUMN()-COLUMN($X$42)+1),-INDEX('1 Budget annuel'!$I$14:$I$43,COLUMN()-COLUMN($X$42)+1)),0))</x:f>
        <x:v>0</x:v>
      </x:c>
    </x:row>
    <x:row r="407">
      <x:c r="L407" s="114" t="n">
        <x:f>L406+1</x:f>
        <x:v>46601</x:v>
      </x:c>
      <x:c r="M407" s="115" t="b">
        <x:f>AND(L407&gt;=$D$5,L407&lt;=$D$5+363,MOD(L407-$D$5,7)=0)</x:f>
        <x:v>0</x:v>
      </x:c>
      <x:c r="N407" s="116" t="n">
        <x:f>SUM(X407:BA407)</x:f>
        <x:v>0</x:v>
      </x:c>
      <x:c r="O407" s="116" t="n">
        <x:f>IF(M407,$D$10,0)</x:f>
        <x:v>0</x:v>
      </x:c>
      <x:c r="P407" s="116" t="n">
        <x:f>N407-O407</x:f>
        <x:v>0</x:v>
      </x:c>
      <x:c r="Q407" s="116" t="n">
        <x:f>IF(L407&lt;$D$5,0,IF(L407=$D$5,P407,Q406+P407))</x:f>
        <x:v>0</x:v>
      </x:c>
      <x:c r="R407" s="116" t="n">
        <x:f>IF(L407&lt;$D$5,"",$J$10+Q407)</x:f>
        <x:v>0</x:v>
      </x:c>
      <x:c r="S407" s="116" t="n">
        <x:f>IF($L407&lt;$D$5,"",IF($L407=$D$5,$J$10+$N407-IF($M407,IF(INT(($L407-$D$5)/7)&lt;$A$20,$B$20,$D$10),0),S406+$N407-IF($M407,IF(INT(($L407-$D$5)/7)&lt;$A$20,$B$20,$D$10),0)))</x:f>
        <x:v>0</x:v>
      </x:c>
      <x:c r="T407" s="116" t="n">
        <x:f>IF($L407&lt;$D$5,"",IF($L407=$D$5,$J$10+$N407-IF($M407,IF(INT(($L407-$D$5)/7)&lt;$A$21,$B$21,$D$10),0),T406+$N407-IF($M407,IF(INT(($L407-$D$5)/7)&lt;$A$21,$B$21,$D$10),0)))</x:f>
        <x:v>0</x:v>
      </x:c>
      <x:c r="U407" s="116" t="n">
        <x:f>IF($L407&lt;$D$5,"",IF($L407=$D$5,$J$10+$N407-IF($M407,IF(INT(($L407-$D$5)/7)&lt;$A$22,$B$22,$D$10),0),U406+$N407-IF($M407,IF(INT(($L407-$D$5)/7)&lt;$A$22,$B$22,$D$10),0)))</x:f>
        <x:v>0</x:v>
      </x:c>
      <x:c r="V407" s="116" t="n">
        <x:f>IF($L407&lt;$D$5,"",IF($L407=$D$5,$J$10+$N407-IF($M407,IF(INT(($L407-$D$5)/7)&lt;$A$23,$B$23,$D$10),0),V406+$N407-IF($M407,IF(INT(($L407-$D$5)/7)&lt;$A$23,$B$23,$D$10),0)))</x:f>
        <x:v>0</x:v>
      </x:c>
      <x:c r="W407" s="116" t="n">
        <x:f>IF($L407&lt;$D$5,"",IF($L407=$D$5,$J$10+$N407-IF($M407,IF(INT(($L407-$D$5)/7)&lt;$A$24,$B$24,$D$10),0),W406+$N407-IF($M407,IF(INT(($L407-$D$5)/7)&lt;$A$24,$B$24,$D$10),0)))</x:f>
        <x:v>0</x:v>
      </x:c>
      <x:c r="X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Y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Z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A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B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C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D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E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F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G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H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I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J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K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L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M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N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O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P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Q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R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S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T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U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V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W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X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Y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AZ407" s="116"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c r="BA407" s="117" t="n">
        <x:f>IF(OR(INDEX('1 Budget annuel'!$A$14:$A$43,COLUMN()-COLUMN($X$42)+1)&lt;&gt;"Oui",INDEX('1 Budget annuel'!$L$14:$L$43,COLUMN()-COLUMN($X$42)+1)="",AND(INDEX('1 Budget annuel'!$B$14:$B$43,COLUMN()-COLUMN($X$42)+1)="Sortie",INDEX('1 Budget annuel'!$M$14:$M$43,COLUMN()-COLUMN($X$42)+1)="Oui"),$L407&lt;INDEX('1 Budget annuel'!$L$14:$L$43,COLUMN()-COLUMN($X$42)+1),$L407&gt;$D$5+363),0,IF(OR(AND(INDEX('1 Budget annuel'!$E$14:$E$43,COLUMN()-COLUMN($X$42)+1)="Hebdomadaire",MOD($L407-INDEX('1 Budget annuel'!$L$14:$L$43,COLUMN()-COLUMN($X$42)+1),7)=0),AND(INDEX('1 Budget annuel'!$E$14:$E$43,COLUMN()-COLUMN($X$42)+1)="Toutes les 4 semaines",MOD($L407-INDEX('1 Budget annuel'!$L$14:$L$43,COLUMN()-COLUMN($X$42)+1),28)=0),AND(INDEX('1 Budget annuel'!$E$14:$E$43,COLUMN()-COLUMN($X$42)+1)="Mensuelle",DAY($L407)=MIN(DAY(INDEX('1 Budget annuel'!$L$14:$L$43,COLUMN()-COLUMN($X$42)+1)),DAY(EOMONTH($L407,0)))),AND(INDEX('1 Budget annuel'!$E$14:$E$43,COLUMN()-COLUMN($X$42)+1)="Trimestrielle",MOD((YEAR($L407)-YEAR(INDEX('1 Budget annuel'!$L$14:$L$43,COLUMN()-COLUMN($X$42)+1)))*12+MONTH($L407)-MONTH(INDEX('1 Budget annuel'!$L$14:$L$43,COLUMN()-COLUMN($X$42)+1)),3)=0,DAY($L407)=MIN(DAY(INDEX('1 Budget annuel'!$L$14:$L$43,COLUMN()-COLUMN($X$42)+1)),DAY(EOMONTH($L407,0)))),AND(INDEX('1 Budget annuel'!$E$14:$E$43,COLUMN()-COLUMN($X$42)+1)="Semestrielle",MOD((YEAR($L407)-YEAR(INDEX('1 Budget annuel'!$L$14:$L$43,COLUMN()-COLUMN($X$42)+1)))*12+MONTH($L407)-MONTH(INDEX('1 Budget annuel'!$L$14:$L$43,COLUMN()-COLUMN($X$42)+1)),6)=0,DAY($L407)=MIN(DAY(INDEX('1 Budget annuel'!$L$14:$L$43,COLUMN()-COLUMN($X$42)+1)),DAY(EOMONTH($L407,0)))),AND(INDEX('1 Budget annuel'!$E$14:$E$43,COLUMN()-COLUMN($X$42)+1)="Annuelle",MOD((YEAR($L407)-YEAR(INDEX('1 Budget annuel'!$L$14:$L$43,COLUMN()-COLUMN($X$42)+1)))*12+MONTH($L407)-MONTH(INDEX('1 Budget annuel'!$L$14:$L$43,COLUMN()-COLUMN($X$42)+1)),12)=0,DAY($L407)=MIN(DAY(INDEX('1 Budget annuel'!$L$14:$L$43,COLUMN()-COLUMN($X$42)+1)),DAY(EOMONTH($L407,0))))),IF(INDEX('1 Budget annuel'!$B$14:$B$43,COLUMN()-COLUMN($X$42)+1)="Entrée",INDEX('1 Budget annuel'!$I$14:$I$43,COLUMN()-COLUMN($X$42)+1),-INDEX('1 Budget annuel'!$I$14:$I$43,COLUMN()-COLUMN($X$42)+1)),0))</x:f>
        <x:v>0</x:v>
      </x:c>
    </x:row>
    <x:row r="408">
      <x:c r="L408" s="114" t="n">
        <x:f>L407+1</x:f>
        <x:v>46602</x:v>
      </x:c>
      <x:c r="M408" s="115" t="b">
        <x:f>AND(L408&gt;=$D$5,L408&lt;=$D$5+363,MOD(L408-$D$5,7)=0)</x:f>
        <x:v>0</x:v>
      </x:c>
      <x:c r="N408" s="116" t="n">
        <x:f>SUM(X408:BA408)</x:f>
        <x:v>0</x:v>
      </x:c>
      <x:c r="O408" s="116" t="n">
        <x:f>IF(M408,$D$10,0)</x:f>
        <x:v>0</x:v>
      </x:c>
      <x:c r="P408" s="116" t="n">
        <x:f>N408-O408</x:f>
        <x:v>0</x:v>
      </x:c>
      <x:c r="Q408" s="116" t="n">
        <x:f>IF(L408&lt;$D$5,0,IF(L408=$D$5,P408,Q407+P408))</x:f>
        <x:v>0</x:v>
      </x:c>
      <x:c r="R408" s="116" t="n">
        <x:f>IF(L408&lt;$D$5,"",$J$10+Q408)</x:f>
        <x:v>0</x:v>
      </x:c>
      <x:c r="S408" s="116" t="n">
        <x:f>IF($L408&lt;$D$5,"",IF($L408=$D$5,$J$10+$N408-IF($M408,IF(INT(($L408-$D$5)/7)&lt;$A$20,$B$20,$D$10),0),S407+$N408-IF($M408,IF(INT(($L408-$D$5)/7)&lt;$A$20,$B$20,$D$10),0)))</x:f>
        <x:v>0</x:v>
      </x:c>
      <x:c r="T408" s="116" t="n">
        <x:f>IF($L408&lt;$D$5,"",IF($L408=$D$5,$J$10+$N408-IF($M408,IF(INT(($L408-$D$5)/7)&lt;$A$21,$B$21,$D$10),0),T407+$N408-IF($M408,IF(INT(($L408-$D$5)/7)&lt;$A$21,$B$21,$D$10),0)))</x:f>
        <x:v>0</x:v>
      </x:c>
      <x:c r="U408" s="116" t="n">
        <x:f>IF($L408&lt;$D$5,"",IF($L408=$D$5,$J$10+$N408-IF($M408,IF(INT(($L408-$D$5)/7)&lt;$A$22,$B$22,$D$10),0),U407+$N408-IF($M408,IF(INT(($L408-$D$5)/7)&lt;$A$22,$B$22,$D$10),0)))</x:f>
        <x:v>0</x:v>
      </x:c>
      <x:c r="V408" s="116" t="n">
        <x:f>IF($L408&lt;$D$5,"",IF($L408=$D$5,$J$10+$N408-IF($M408,IF(INT(($L408-$D$5)/7)&lt;$A$23,$B$23,$D$10),0),V407+$N408-IF($M408,IF(INT(($L408-$D$5)/7)&lt;$A$23,$B$23,$D$10),0)))</x:f>
        <x:v>0</x:v>
      </x:c>
      <x:c r="W408" s="116" t="n">
        <x:f>IF($L408&lt;$D$5,"",IF($L408=$D$5,$J$10+$N408-IF($M408,IF(INT(($L408-$D$5)/7)&lt;$A$24,$B$24,$D$10),0),W407+$N408-IF($M408,IF(INT(($L408-$D$5)/7)&lt;$A$24,$B$24,$D$10),0)))</x:f>
        <x:v>0</x:v>
      </x:c>
      <x:c r="X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Y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Z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A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B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C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D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E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F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G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H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I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J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K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L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M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N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O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P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Q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R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S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T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U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V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W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X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Y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AZ408" s="116"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c r="BA408" s="117" t="n">
        <x:f>IF(OR(INDEX('1 Budget annuel'!$A$14:$A$43,COLUMN()-COLUMN($X$42)+1)&lt;&gt;"Oui",INDEX('1 Budget annuel'!$L$14:$L$43,COLUMN()-COLUMN($X$42)+1)="",AND(INDEX('1 Budget annuel'!$B$14:$B$43,COLUMN()-COLUMN($X$42)+1)="Sortie",INDEX('1 Budget annuel'!$M$14:$M$43,COLUMN()-COLUMN($X$42)+1)="Oui"),$L408&lt;INDEX('1 Budget annuel'!$L$14:$L$43,COLUMN()-COLUMN($X$42)+1),$L408&gt;$D$5+363),0,IF(OR(AND(INDEX('1 Budget annuel'!$E$14:$E$43,COLUMN()-COLUMN($X$42)+1)="Hebdomadaire",MOD($L408-INDEX('1 Budget annuel'!$L$14:$L$43,COLUMN()-COLUMN($X$42)+1),7)=0),AND(INDEX('1 Budget annuel'!$E$14:$E$43,COLUMN()-COLUMN($X$42)+1)="Toutes les 4 semaines",MOD($L408-INDEX('1 Budget annuel'!$L$14:$L$43,COLUMN()-COLUMN($X$42)+1),28)=0),AND(INDEX('1 Budget annuel'!$E$14:$E$43,COLUMN()-COLUMN($X$42)+1)="Mensuelle",DAY($L408)=MIN(DAY(INDEX('1 Budget annuel'!$L$14:$L$43,COLUMN()-COLUMN($X$42)+1)),DAY(EOMONTH($L408,0)))),AND(INDEX('1 Budget annuel'!$E$14:$E$43,COLUMN()-COLUMN($X$42)+1)="Trimestrielle",MOD((YEAR($L408)-YEAR(INDEX('1 Budget annuel'!$L$14:$L$43,COLUMN()-COLUMN($X$42)+1)))*12+MONTH($L408)-MONTH(INDEX('1 Budget annuel'!$L$14:$L$43,COLUMN()-COLUMN($X$42)+1)),3)=0,DAY($L408)=MIN(DAY(INDEX('1 Budget annuel'!$L$14:$L$43,COLUMN()-COLUMN($X$42)+1)),DAY(EOMONTH($L408,0)))),AND(INDEX('1 Budget annuel'!$E$14:$E$43,COLUMN()-COLUMN($X$42)+1)="Semestrielle",MOD((YEAR($L408)-YEAR(INDEX('1 Budget annuel'!$L$14:$L$43,COLUMN()-COLUMN($X$42)+1)))*12+MONTH($L408)-MONTH(INDEX('1 Budget annuel'!$L$14:$L$43,COLUMN()-COLUMN($X$42)+1)),6)=0,DAY($L408)=MIN(DAY(INDEX('1 Budget annuel'!$L$14:$L$43,COLUMN()-COLUMN($X$42)+1)),DAY(EOMONTH($L408,0)))),AND(INDEX('1 Budget annuel'!$E$14:$E$43,COLUMN()-COLUMN($X$42)+1)="Annuelle",MOD((YEAR($L408)-YEAR(INDEX('1 Budget annuel'!$L$14:$L$43,COLUMN()-COLUMN($X$42)+1)))*12+MONTH($L408)-MONTH(INDEX('1 Budget annuel'!$L$14:$L$43,COLUMN()-COLUMN($X$42)+1)),12)=0,DAY($L408)=MIN(DAY(INDEX('1 Budget annuel'!$L$14:$L$43,COLUMN()-COLUMN($X$42)+1)),DAY(EOMONTH($L408,0))))),IF(INDEX('1 Budget annuel'!$B$14:$B$43,COLUMN()-COLUMN($X$42)+1)="Entrée",INDEX('1 Budget annuel'!$I$14:$I$43,COLUMN()-COLUMN($X$42)+1),-INDEX('1 Budget annuel'!$I$14:$I$43,COLUMN()-COLUMN($X$42)+1)),0))</x:f>
        <x:v>0</x:v>
      </x:c>
    </x:row>
    <x:row r="409">
      <x:c r="L409" s="114" t="n">
        <x:f>L408+1</x:f>
        <x:v>46603</x:v>
      </x:c>
      <x:c r="M409" s="115" t="b">
        <x:f>AND(L409&gt;=$D$5,L409&lt;=$D$5+363,MOD(L409-$D$5,7)=0)</x:f>
        <x:v>0</x:v>
      </x:c>
      <x:c r="N409" s="116" t="n">
        <x:f>SUM(X409:BA409)</x:f>
        <x:v>0</x:v>
      </x:c>
      <x:c r="O409" s="116" t="n">
        <x:f>IF(M409,$D$10,0)</x:f>
        <x:v>0</x:v>
      </x:c>
      <x:c r="P409" s="116" t="n">
        <x:f>N409-O409</x:f>
        <x:v>0</x:v>
      </x:c>
      <x:c r="Q409" s="116" t="n">
        <x:f>IF(L409&lt;$D$5,0,IF(L409=$D$5,P409,Q408+P409))</x:f>
        <x:v>0</x:v>
      </x:c>
      <x:c r="R409" s="116" t="n">
        <x:f>IF(L409&lt;$D$5,"",$J$10+Q409)</x:f>
        <x:v>0</x:v>
      </x:c>
      <x:c r="S409" s="116" t="n">
        <x:f>IF($L409&lt;$D$5,"",IF($L409=$D$5,$J$10+$N409-IF($M409,IF(INT(($L409-$D$5)/7)&lt;$A$20,$B$20,$D$10),0),S408+$N409-IF($M409,IF(INT(($L409-$D$5)/7)&lt;$A$20,$B$20,$D$10),0)))</x:f>
        <x:v>0</x:v>
      </x:c>
      <x:c r="T409" s="116" t="n">
        <x:f>IF($L409&lt;$D$5,"",IF($L409=$D$5,$J$10+$N409-IF($M409,IF(INT(($L409-$D$5)/7)&lt;$A$21,$B$21,$D$10),0),T408+$N409-IF($M409,IF(INT(($L409-$D$5)/7)&lt;$A$21,$B$21,$D$10),0)))</x:f>
        <x:v>0</x:v>
      </x:c>
      <x:c r="U409" s="116" t="n">
        <x:f>IF($L409&lt;$D$5,"",IF($L409=$D$5,$J$10+$N409-IF($M409,IF(INT(($L409-$D$5)/7)&lt;$A$22,$B$22,$D$10),0),U408+$N409-IF($M409,IF(INT(($L409-$D$5)/7)&lt;$A$22,$B$22,$D$10),0)))</x:f>
        <x:v>0</x:v>
      </x:c>
      <x:c r="V409" s="116" t="n">
        <x:f>IF($L409&lt;$D$5,"",IF($L409=$D$5,$J$10+$N409-IF($M409,IF(INT(($L409-$D$5)/7)&lt;$A$23,$B$23,$D$10),0),V408+$N409-IF($M409,IF(INT(($L409-$D$5)/7)&lt;$A$23,$B$23,$D$10),0)))</x:f>
        <x:v>0</x:v>
      </x:c>
      <x:c r="W409" s="116" t="n">
        <x:f>IF($L409&lt;$D$5,"",IF($L409=$D$5,$J$10+$N409-IF($M409,IF(INT(($L409-$D$5)/7)&lt;$A$24,$B$24,$D$10),0),W408+$N409-IF($M409,IF(INT(($L409-$D$5)/7)&lt;$A$24,$B$24,$D$10),0)))</x:f>
        <x:v>0</x:v>
      </x:c>
      <x:c r="X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Y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Z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A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B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C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D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E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F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G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H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I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J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K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L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M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N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O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P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Q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R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S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T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U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V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W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X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Y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AZ409" s="116"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c r="BA409" s="117" t="n">
        <x:f>IF(OR(INDEX('1 Budget annuel'!$A$14:$A$43,COLUMN()-COLUMN($X$42)+1)&lt;&gt;"Oui",INDEX('1 Budget annuel'!$L$14:$L$43,COLUMN()-COLUMN($X$42)+1)="",AND(INDEX('1 Budget annuel'!$B$14:$B$43,COLUMN()-COLUMN($X$42)+1)="Sortie",INDEX('1 Budget annuel'!$M$14:$M$43,COLUMN()-COLUMN($X$42)+1)="Oui"),$L409&lt;INDEX('1 Budget annuel'!$L$14:$L$43,COLUMN()-COLUMN($X$42)+1),$L409&gt;$D$5+363),0,IF(OR(AND(INDEX('1 Budget annuel'!$E$14:$E$43,COLUMN()-COLUMN($X$42)+1)="Hebdomadaire",MOD($L409-INDEX('1 Budget annuel'!$L$14:$L$43,COLUMN()-COLUMN($X$42)+1),7)=0),AND(INDEX('1 Budget annuel'!$E$14:$E$43,COLUMN()-COLUMN($X$42)+1)="Toutes les 4 semaines",MOD($L409-INDEX('1 Budget annuel'!$L$14:$L$43,COLUMN()-COLUMN($X$42)+1),28)=0),AND(INDEX('1 Budget annuel'!$E$14:$E$43,COLUMN()-COLUMN($X$42)+1)="Mensuelle",DAY($L409)=MIN(DAY(INDEX('1 Budget annuel'!$L$14:$L$43,COLUMN()-COLUMN($X$42)+1)),DAY(EOMONTH($L409,0)))),AND(INDEX('1 Budget annuel'!$E$14:$E$43,COLUMN()-COLUMN($X$42)+1)="Trimestrielle",MOD((YEAR($L409)-YEAR(INDEX('1 Budget annuel'!$L$14:$L$43,COLUMN()-COLUMN($X$42)+1)))*12+MONTH($L409)-MONTH(INDEX('1 Budget annuel'!$L$14:$L$43,COLUMN()-COLUMN($X$42)+1)),3)=0,DAY($L409)=MIN(DAY(INDEX('1 Budget annuel'!$L$14:$L$43,COLUMN()-COLUMN($X$42)+1)),DAY(EOMONTH($L409,0)))),AND(INDEX('1 Budget annuel'!$E$14:$E$43,COLUMN()-COLUMN($X$42)+1)="Semestrielle",MOD((YEAR($L409)-YEAR(INDEX('1 Budget annuel'!$L$14:$L$43,COLUMN()-COLUMN($X$42)+1)))*12+MONTH($L409)-MONTH(INDEX('1 Budget annuel'!$L$14:$L$43,COLUMN()-COLUMN($X$42)+1)),6)=0,DAY($L409)=MIN(DAY(INDEX('1 Budget annuel'!$L$14:$L$43,COLUMN()-COLUMN($X$42)+1)),DAY(EOMONTH($L409,0)))),AND(INDEX('1 Budget annuel'!$E$14:$E$43,COLUMN()-COLUMN($X$42)+1)="Annuelle",MOD((YEAR($L409)-YEAR(INDEX('1 Budget annuel'!$L$14:$L$43,COLUMN()-COLUMN($X$42)+1)))*12+MONTH($L409)-MONTH(INDEX('1 Budget annuel'!$L$14:$L$43,COLUMN()-COLUMN($X$42)+1)),12)=0,DAY($L409)=MIN(DAY(INDEX('1 Budget annuel'!$L$14:$L$43,COLUMN()-COLUMN($X$42)+1)),DAY(EOMONTH($L409,0))))),IF(INDEX('1 Budget annuel'!$B$14:$B$43,COLUMN()-COLUMN($X$42)+1)="Entrée",INDEX('1 Budget annuel'!$I$14:$I$43,COLUMN()-COLUMN($X$42)+1),-INDEX('1 Budget annuel'!$I$14:$I$43,COLUMN()-COLUMN($X$42)+1)),0))</x:f>
        <x:v>0</x:v>
      </x:c>
    </x:row>
    <x:row r="410">
      <x:c r="L410" s="114" t="n">
        <x:f>L409+1</x:f>
        <x:v>46604</x:v>
      </x:c>
      <x:c r="M410" s="115" t="b">
        <x:f>AND(L410&gt;=$D$5,L410&lt;=$D$5+363,MOD(L410-$D$5,7)=0)</x:f>
        <x:v>0</x:v>
      </x:c>
      <x:c r="N410" s="116" t="n">
        <x:f>SUM(X410:BA410)</x:f>
        <x:v>0</x:v>
      </x:c>
      <x:c r="O410" s="116" t="n">
        <x:f>IF(M410,$D$10,0)</x:f>
        <x:v>0</x:v>
      </x:c>
      <x:c r="P410" s="116" t="n">
        <x:f>N410-O410</x:f>
        <x:v>0</x:v>
      </x:c>
      <x:c r="Q410" s="116" t="n">
        <x:f>IF(L410&lt;$D$5,0,IF(L410=$D$5,P410,Q409+P410))</x:f>
        <x:v>0</x:v>
      </x:c>
      <x:c r="R410" s="116" t="n">
        <x:f>IF(L410&lt;$D$5,"",$J$10+Q410)</x:f>
        <x:v>0</x:v>
      </x:c>
      <x:c r="S410" s="116" t="n">
        <x:f>IF($L410&lt;$D$5,"",IF($L410=$D$5,$J$10+$N410-IF($M410,IF(INT(($L410-$D$5)/7)&lt;$A$20,$B$20,$D$10),0),S409+$N410-IF($M410,IF(INT(($L410-$D$5)/7)&lt;$A$20,$B$20,$D$10),0)))</x:f>
        <x:v>0</x:v>
      </x:c>
      <x:c r="T410" s="116" t="n">
        <x:f>IF($L410&lt;$D$5,"",IF($L410=$D$5,$J$10+$N410-IF($M410,IF(INT(($L410-$D$5)/7)&lt;$A$21,$B$21,$D$10),0),T409+$N410-IF($M410,IF(INT(($L410-$D$5)/7)&lt;$A$21,$B$21,$D$10),0)))</x:f>
        <x:v>0</x:v>
      </x:c>
      <x:c r="U410" s="116" t="n">
        <x:f>IF($L410&lt;$D$5,"",IF($L410=$D$5,$J$10+$N410-IF($M410,IF(INT(($L410-$D$5)/7)&lt;$A$22,$B$22,$D$10),0),U409+$N410-IF($M410,IF(INT(($L410-$D$5)/7)&lt;$A$22,$B$22,$D$10),0)))</x:f>
        <x:v>0</x:v>
      </x:c>
      <x:c r="V410" s="116" t="n">
        <x:f>IF($L410&lt;$D$5,"",IF($L410=$D$5,$J$10+$N410-IF($M410,IF(INT(($L410-$D$5)/7)&lt;$A$23,$B$23,$D$10),0),V409+$N410-IF($M410,IF(INT(($L410-$D$5)/7)&lt;$A$23,$B$23,$D$10),0)))</x:f>
        <x:v>0</x:v>
      </x:c>
      <x:c r="W410" s="116" t="n">
        <x:f>IF($L410&lt;$D$5,"",IF($L410=$D$5,$J$10+$N410-IF($M410,IF(INT(($L410-$D$5)/7)&lt;$A$24,$B$24,$D$10),0),W409+$N410-IF($M410,IF(INT(($L410-$D$5)/7)&lt;$A$24,$B$24,$D$10),0)))</x:f>
        <x:v>0</x:v>
      </x:c>
      <x:c r="X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Y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Z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A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B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C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D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E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F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G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H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I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J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K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L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M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N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O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P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Q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R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S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T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U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V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W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X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Y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AZ410" s="116"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c r="BA410" s="117" t="n">
        <x:f>IF(OR(INDEX('1 Budget annuel'!$A$14:$A$43,COLUMN()-COLUMN($X$42)+1)&lt;&gt;"Oui",INDEX('1 Budget annuel'!$L$14:$L$43,COLUMN()-COLUMN($X$42)+1)="",AND(INDEX('1 Budget annuel'!$B$14:$B$43,COLUMN()-COLUMN($X$42)+1)="Sortie",INDEX('1 Budget annuel'!$M$14:$M$43,COLUMN()-COLUMN($X$42)+1)="Oui"),$L410&lt;INDEX('1 Budget annuel'!$L$14:$L$43,COLUMN()-COLUMN($X$42)+1),$L410&gt;$D$5+363),0,IF(OR(AND(INDEX('1 Budget annuel'!$E$14:$E$43,COLUMN()-COLUMN($X$42)+1)="Hebdomadaire",MOD($L410-INDEX('1 Budget annuel'!$L$14:$L$43,COLUMN()-COLUMN($X$42)+1),7)=0),AND(INDEX('1 Budget annuel'!$E$14:$E$43,COLUMN()-COLUMN($X$42)+1)="Toutes les 4 semaines",MOD($L410-INDEX('1 Budget annuel'!$L$14:$L$43,COLUMN()-COLUMN($X$42)+1),28)=0),AND(INDEX('1 Budget annuel'!$E$14:$E$43,COLUMN()-COLUMN($X$42)+1)="Mensuelle",DAY($L410)=MIN(DAY(INDEX('1 Budget annuel'!$L$14:$L$43,COLUMN()-COLUMN($X$42)+1)),DAY(EOMONTH($L410,0)))),AND(INDEX('1 Budget annuel'!$E$14:$E$43,COLUMN()-COLUMN($X$42)+1)="Trimestrielle",MOD((YEAR($L410)-YEAR(INDEX('1 Budget annuel'!$L$14:$L$43,COLUMN()-COLUMN($X$42)+1)))*12+MONTH($L410)-MONTH(INDEX('1 Budget annuel'!$L$14:$L$43,COLUMN()-COLUMN($X$42)+1)),3)=0,DAY($L410)=MIN(DAY(INDEX('1 Budget annuel'!$L$14:$L$43,COLUMN()-COLUMN($X$42)+1)),DAY(EOMONTH($L410,0)))),AND(INDEX('1 Budget annuel'!$E$14:$E$43,COLUMN()-COLUMN($X$42)+1)="Semestrielle",MOD((YEAR($L410)-YEAR(INDEX('1 Budget annuel'!$L$14:$L$43,COLUMN()-COLUMN($X$42)+1)))*12+MONTH($L410)-MONTH(INDEX('1 Budget annuel'!$L$14:$L$43,COLUMN()-COLUMN($X$42)+1)),6)=0,DAY($L410)=MIN(DAY(INDEX('1 Budget annuel'!$L$14:$L$43,COLUMN()-COLUMN($X$42)+1)),DAY(EOMONTH($L410,0)))),AND(INDEX('1 Budget annuel'!$E$14:$E$43,COLUMN()-COLUMN($X$42)+1)="Annuelle",MOD((YEAR($L410)-YEAR(INDEX('1 Budget annuel'!$L$14:$L$43,COLUMN()-COLUMN($X$42)+1)))*12+MONTH($L410)-MONTH(INDEX('1 Budget annuel'!$L$14:$L$43,COLUMN()-COLUMN($X$42)+1)),12)=0,DAY($L410)=MIN(DAY(INDEX('1 Budget annuel'!$L$14:$L$43,COLUMN()-COLUMN($X$42)+1)),DAY(EOMONTH($L410,0))))),IF(INDEX('1 Budget annuel'!$B$14:$B$43,COLUMN()-COLUMN($X$42)+1)="Entrée",INDEX('1 Budget annuel'!$I$14:$I$43,COLUMN()-COLUMN($X$42)+1),-INDEX('1 Budget annuel'!$I$14:$I$43,COLUMN()-COLUMN($X$42)+1)),0))</x:f>
        <x:v>0</x:v>
      </x:c>
    </x:row>
    <x:row r="411">
      <x:c r="L411" s="114" t="n">
        <x:f>L410+1</x:f>
        <x:v>46605</x:v>
      </x:c>
      <x:c r="M411" s="115" t="b">
        <x:f>AND(L411&gt;=$D$5,L411&lt;=$D$5+363,MOD(L411-$D$5,7)=0)</x:f>
        <x:v>0</x:v>
      </x:c>
      <x:c r="N411" s="116" t="n">
        <x:f>SUM(X411:BA411)</x:f>
        <x:v>0</x:v>
      </x:c>
      <x:c r="O411" s="116" t="n">
        <x:f>IF(M411,$D$10,0)</x:f>
        <x:v>0</x:v>
      </x:c>
      <x:c r="P411" s="116" t="n">
        <x:f>N411-O411</x:f>
        <x:v>0</x:v>
      </x:c>
      <x:c r="Q411" s="116" t="n">
        <x:f>IF(L411&lt;$D$5,0,IF(L411=$D$5,P411,Q410+P411))</x:f>
        <x:v>0</x:v>
      </x:c>
      <x:c r="R411" s="116" t="n">
        <x:f>IF(L411&lt;$D$5,"",$J$10+Q411)</x:f>
        <x:v>0</x:v>
      </x:c>
      <x:c r="S411" s="116" t="n">
        <x:f>IF($L411&lt;$D$5,"",IF($L411=$D$5,$J$10+$N411-IF($M411,IF(INT(($L411-$D$5)/7)&lt;$A$20,$B$20,$D$10),0),S410+$N411-IF($M411,IF(INT(($L411-$D$5)/7)&lt;$A$20,$B$20,$D$10),0)))</x:f>
        <x:v>0</x:v>
      </x:c>
      <x:c r="T411" s="116" t="n">
        <x:f>IF($L411&lt;$D$5,"",IF($L411=$D$5,$J$10+$N411-IF($M411,IF(INT(($L411-$D$5)/7)&lt;$A$21,$B$21,$D$10),0),T410+$N411-IF($M411,IF(INT(($L411-$D$5)/7)&lt;$A$21,$B$21,$D$10),0)))</x:f>
        <x:v>0</x:v>
      </x:c>
      <x:c r="U411" s="116" t="n">
        <x:f>IF($L411&lt;$D$5,"",IF($L411=$D$5,$J$10+$N411-IF($M411,IF(INT(($L411-$D$5)/7)&lt;$A$22,$B$22,$D$10),0),U410+$N411-IF($M411,IF(INT(($L411-$D$5)/7)&lt;$A$22,$B$22,$D$10),0)))</x:f>
        <x:v>0</x:v>
      </x:c>
      <x:c r="V411" s="116" t="n">
        <x:f>IF($L411&lt;$D$5,"",IF($L411=$D$5,$J$10+$N411-IF($M411,IF(INT(($L411-$D$5)/7)&lt;$A$23,$B$23,$D$10),0),V410+$N411-IF($M411,IF(INT(($L411-$D$5)/7)&lt;$A$23,$B$23,$D$10),0)))</x:f>
        <x:v>0</x:v>
      </x:c>
      <x:c r="W411" s="116" t="n">
        <x:f>IF($L411&lt;$D$5,"",IF($L411=$D$5,$J$10+$N411-IF($M411,IF(INT(($L411-$D$5)/7)&lt;$A$24,$B$24,$D$10),0),W410+$N411-IF($M411,IF(INT(($L411-$D$5)/7)&lt;$A$24,$B$24,$D$10),0)))</x:f>
        <x:v>0</x:v>
      </x:c>
      <x:c r="X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Y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Z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A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B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C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D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E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F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G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H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I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J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K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L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M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N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O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P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Q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R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S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T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U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V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W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X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Y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AZ411" s="116"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c r="BA411" s="117" t="n">
        <x:f>IF(OR(INDEX('1 Budget annuel'!$A$14:$A$43,COLUMN()-COLUMN($X$42)+1)&lt;&gt;"Oui",INDEX('1 Budget annuel'!$L$14:$L$43,COLUMN()-COLUMN($X$42)+1)="",AND(INDEX('1 Budget annuel'!$B$14:$B$43,COLUMN()-COLUMN($X$42)+1)="Sortie",INDEX('1 Budget annuel'!$M$14:$M$43,COLUMN()-COLUMN($X$42)+1)="Oui"),$L411&lt;INDEX('1 Budget annuel'!$L$14:$L$43,COLUMN()-COLUMN($X$42)+1),$L411&gt;$D$5+363),0,IF(OR(AND(INDEX('1 Budget annuel'!$E$14:$E$43,COLUMN()-COLUMN($X$42)+1)="Hebdomadaire",MOD($L411-INDEX('1 Budget annuel'!$L$14:$L$43,COLUMN()-COLUMN($X$42)+1),7)=0),AND(INDEX('1 Budget annuel'!$E$14:$E$43,COLUMN()-COLUMN($X$42)+1)="Toutes les 4 semaines",MOD($L411-INDEX('1 Budget annuel'!$L$14:$L$43,COLUMN()-COLUMN($X$42)+1),28)=0),AND(INDEX('1 Budget annuel'!$E$14:$E$43,COLUMN()-COLUMN($X$42)+1)="Mensuelle",DAY($L411)=MIN(DAY(INDEX('1 Budget annuel'!$L$14:$L$43,COLUMN()-COLUMN($X$42)+1)),DAY(EOMONTH($L411,0)))),AND(INDEX('1 Budget annuel'!$E$14:$E$43,COLUMN()-COLUMN($X$42)+1)="Trimestrielle",MOD((YEAR($L411)-YEAR(INDEX('1 Budget annuel'!$L$14:$L$43,COLUMN()-COLUMN($X$42)+1)))*12+MONTH($L411)-MONTH(INDEX('1 Budget annuel'!$L$14:$L$43,COLUMN()-COLUMN($X$42)+1)),3)=0,DAY($L411)=MIN(DAY(INDEX('1 Budget annuel'!$L$14:$L$43,COLUMN()-COLUMN($X$42)+1)),DAY(EOMONTH($L411,0)))),AND(INDEX('1 Budget annuel'!$E$14:$E$43,COLUMN()-COLUMN($X$42)+1)="Semestrielle",MOD((YEAR($L411)-YEAR(INDEX('1 Budget annuel'!$L$14:$L$43,COLUMN()-COLUMN($X$42)+1)))*12+MONTH($L411)-MONTH(INDEX('1 Budget annuel'!$L$14:$L$43,COLUMN()-COLUMN($X$42)+1)),6)=0,DAY($L411)=MIN(DAY(INDEX('1 Budget annuel'!$L$14:$L$43,COLUMN()-COLUMN($X$42)+1)),DAY(EOMONTH($L411,0)))),AND(INDEX('1 Budget annuel'!$E$14:$E$43,COLUMN()-COLUMN($X$42)+1)="Annuelle",MOD((YEAR($L411)-YEAR(INDEX('1 Budget annuel'!$L$14:$L$43,COLUMN()-COLUMN($X$42)+1)))*12+MONTH($L411)-MONTH(INDEX('1 Budget annuel'!$L$14:$L$43,COLUMN()-COLUMN($X$42)+1)),12)=0,DAY($L411)=MIN(DAY(INDEX('1 Budget annuel'!$L$14:$L$43,COLUMN()-COLUMN($X$42)+1)),DAY(EOMONTH($L411,0))))),IF(INDEX('1 Budget annuel'!$B$14:$B$43,COLUMN()-COLUMN($X$42)+1)="Entrée",INDEX('1 Budget annuel'!$I$14:$I$43,COLUMN()-COLUMN($X$42)+1),-INDEX('1 Budget annuel'!$I$14:$I$43,COLUMN()-COLUMN($X$42)+1)),0))</x:f>
        <x:v>0</x:v>
      </x:c>
    </x:row>
    <x:row r="412">
      <x:c r="L412" s="118" t="n">
        <x:f>L411+1</x:f>
        <x:v>46606</x:v>
      </x:c>
      <x:c r="M412" s="119" t="b">
        <x:f>AND(L412&gt;=$D$5,L412&lt;=$D$5+363,MOD(L412-$D$5,7)=0)</x:f>
        <x:v>0</x:v>
      </x:c>
      <x:c r="N412" s="120" t="n">
        <x:f>SUM(X412:BA412)</x:f>
        <x:v>0</x:v>
      </x:c>
      <x:c r="O412" s="120" t="n">
        <x:f>IF(M412,$D$10,0)</x:f>
        <x:v>0</x:v>
      </x:c>
      <x:c r="P412" s="120" t="n">
        <x:f>N412-O412</x:f>
        <x:v>0</x:v>
      </x:c>
      <x:c r="Q412" s="120" t="n">
        <x:f>IF(L412&lt;$D$5,0,IF(L412=$D$5,P412,Q411+P412))</x:f>
        <x:v>0</x:v>
      </x:c>
      <x:c r="R412" s="120" t="n">
        <x:f>IF(L412&lt;$D$5,"",$J$10+Q412)</x:f>
        <x:v>0</x:v>
      </x:c>
      <x:c r="S412" s="120" t="n">
        <x:f>IF($L412&lt;$D$5,"",IF($L412=$D$5,$J$10+$N412-IF($M412,IF(INT(($L412-$D$5)/7)&lt;$A$20,$B$20,$D$10),0),S411+$N412-IF($M412,IF(INT(($L412-$D$5)/7)&lt;$A$20,$B$20,$D$10),0)))</x:f>
        <x:v>0</x:v>
      </x:c>
      <x:c r="T412" s="120" t="n">
        <x:f>IF($L412&lt;$D$5,"",IF($L412=$D$5,$J$10+$N412-IF($M412,IF(INT(($L412-$D$5)/7)&lt;$A$21,$B$21,$D$10),0),T411+$N412-IF($M412,IF(INT(($L412-$D$5)/7)&lt;$A$21,$B$21,$D$10),0)))</x:f>
        <x:v>0</x:v>
      </x:c>
      <x:c r="U412" s="120" t="n">
        <x:f>IF($L412&lt;$D$5,"",IF($L412=$D$5,$J$10+$N412-IF($M412,IF(INT(($L412-$D$5)/7)&lt;$A$22,$B$22,$D$10),0),U411+$N412-IF($M412,IF(INT(($L412-$D$5)/7)&lt;$A$22,$B$22,$D$10),0)))</x:f>
        <x:v>0</x:v>
      </x:c>
      <x:c r="V412" s="120" t="n">
        <x:f>IF($L412&lt;$D$5,"",IF($L412=$D$5,$J$10+$N412-IF($M412,IF(INT(($L412-$D$5)/7)&lt;$A$23,$B$23,$D$10),0),V411+$N412-IF($M412,IF(INT(($L412-$D$5)/7)&lt;$A$23,$B$23,$D$10),0)))</x:f>
        <x:v>0</x:v>
      </x:c>
      <x:c r="W412" s="120" t="n">
        <x:f>IF($L412&lt;$D$5,"",IF($L412=$D$5,$J$10+$N412-IF($M412,IF(INT(($L412-$D$5)/7)&lt;$A$24,$B$24,$D$10),0),W411+$N412-IF($M412,IF(INT(($L412-$D$5)/7)&lt;$A$24,$B$24,$D$10),0)))</x:f>
        <x:v>0</x:v>
      </x:c>
      <x:c r="X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Y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Z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A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B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C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D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E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F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G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H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I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J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K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L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M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N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O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P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Q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R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S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T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U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V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W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X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Y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AZ412" s="120"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c r="BA412" s="121" t="n">
        <x:f>IF(OR(INDEX('1 Budget annuel'!$A$14:$A$43,COLUMN()-COLUMN($X$42)+1)&lt;&gt;"Oui",INDEX('1 Budget annuel'!$L$14:$L$43,COLUMN()-COLUMN($X$42)+1)="",AND(INDEX('1 Budget annuel'!$B$14:$B$43,COLUMN()-COLUMN($X$42)+1)="Sortie",INDEX('1 Budget annuel'!$M$14:$M$43,COLUMN()-COLUMN($X$42)+1)="Oui"),$L412&lt;INDEX('1 Budget annuel'!$L$14:$L$43,COLUMN()-COLUMN($X$42)+1),$L412&gt;$D$5+363),0,IF(OR(AND(INDEX('1 Budget annuel'!$E$14:$E$43,COLUMN()-COLUMN($X$42)+1)="Hebdomadaire",MOD($L412-INDEX('1 Budget annuel'!$L$14:$L$43,COLUMN()-COLUMN($X$42)+1),7)=0),AND(INDEX('1 Budget annuel'!$E$14:$E$43,COLUMN()-COLUMN($X$42)+1)="Toutes les 4 semaines",MOD($L412-INDEX('1 Budget annuel'!$L$14:$L$43,COLUMN()-COLUMN($X$42)+1),28)=0),AND(INDEX('1 Budget annuel'!$E$14:$E$43,COLUMN()-COLUMN($X$42)+1)="Mensuelle",DAY($L412)=MIN(DAY(INDEX('1 Budget annuel'!$L$14:$L$43,COLUMN()-COLUMN($X$42)+1)),DAY(EOMONTH($L412,0)))),AND(INDEX('1 Budget annuel'!$E$14:$E$43,COLUMN()-COLUMN($X$42)+1)="Trimestrielle",MOD((YEAR($L412)-YEAR(INDEX('1 Budget annuel'!$L$14:$L$43,COLUMN()-COLUMN($X$42)+1)))*12+MONTH($L412)-MONTH(INDEX('1 Budget annuel'!$L$14:$L$43,COLUMN()-COLUMN($X$42)+1)),3)=0,DAY($L412)=MIN(DAY(INDEX('1 Budget annuel'!$L$14:$L$43,COLUMN()-COLUMN($X$42)+1)),DAY(EOMONTH($L412,0)))),AND(INDEX('1 Budget annuel'!$E$14:$E$43,COLUMN()-COLUMN($X$42)+1)="Semestrielle",MOD((YEAR($L412)-YEAR(INDEX('1 Budget annuel'!$L$14:$L$43,COLUMN()-COLUMN($X$42)+1)))*12+MONTH($L412)-MONTH(INDEX('1 Budget annuel'!$L$14:$L$43,COLUMN()-COLUMN($X$42)+1)),6)=0,DAY($L412)=MIN(DAY(INDEX('1 Budget annuel'!$L$14:$L$43,COLUMN()-COLUMN($X$42)+1)),DAY(EOMONTH($L412,0)))),AND(INDEX('1 Budget annuel'!$E$14:$E$43,COLUMN()-COLUMN($X$42)+1)="Annuelle",MOD((YEAR($L412)-YEAR(INDEX('1 Budget annuel'!$L$14:$L$43,COLUMN()-COLUMN($X$42)+1)))*12+MONTH($L412)-MONTH(INDEX('1 Budget annuel'!$L$14:$L$43,COLUMN()-COLUMN($X$42)+1)),12)=0,DAY($L412)=MIN(DAY(INDEX('1 Budget annuel'!$L$14:$L$43,COLUMN()-COLUMN($X$42)+1)),DAY(EOMONTH($L412,0))))),IF(INDEX('1 Budget annuel'!$B$14:$B$43,COLUMN()-COLUMN($X$42)+1)="Entrée",INDEX('1 Budget annuel'!$I$14:$I$43,COLUMN()-COLUMN($X$42)+1),-INDEX('1 Budget annuel'!$I$14:$I$43,COLUMN()-COLUMN($X$42)+1)),0))</x:f>
        <x:v>0</x:v>
      </x:c>
    </x:row>
  </x:sheetData>
  <x:mergeCells>
    <x:mergeCell ref="A1:J1"/>
    <x:mergeCell ref="A2:J2"/>
    <x:mergeCell ref="A4:J4"/>
    <x:mergeCell ref="A12:J12"/>
    <x:mergeCell ref="B15:J15"/>
    <x:mergeCell ref="A17:J17"/>
    <x:mergeCell ref="A26:J26"/>
    <x:mergeCell ref="A30:J30"/>
    <x:mergeCell ref="A32:J33"/>
    <x:mergeCell ref="L40:BA40"/>
  </x:mergeCells>
  <x:conditionalFormatting sqref="B15:J15">
    <x:cfRule type="containsText" dxfId="3" priority="1" operator="containsText" text="PRÊT"/>
    <x:cfRule type="containsText" dxfId="4" priority="2" operator="containsText" text="PLANCHER"/>
  </x:conditionalFormatting>
  <x:conditionalFormatting sqref="G19:G24">
    <x:cfRule type="containsText" dxfId="5" priority="3" operator="containsText" text="POSSIBLE"/>
    <x:cfRule type="containsText" dxfId="6" priority="4" operator="containsText" text="PLANCHER"/>
    <x:cfRule type="containsText" dxfId="7" priority="5" operator="containsText" text="TROP SERRÉ"/>
  </x:conditionalFormatting>
  <x:dataValidations count="4">
    <x:dataValidation type="list" sqref="F5">
      <x:formula1>"Oui,Non"</x:formula1>
    </x:dataValidation>
    <x:dataValidation type="list" sqref="H5">
      <x:formula1>"Oui,Non"</x:formula1>
    </x:dataValidation>
    <x:dataValidation type="list" sqref="J5">
      <x:formula1>"Oui,Non"</x:formula1>
    </x:dataValidation>
    <x:dataValidation type="list" sqref="B28">
      <x:formula1>"Direct,4 cycles,8 cycles,13 cycles,26 cycles,52 cycles"</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28" hidden="0" customWidth="1"/>
    <x:col min="3" max="3" width="16" hidden="0" customWidth="1"/>
    <x:col min="4" max="4" width="22" hidden="0" customWidth="1"/>
    <x:col min="5" max="5" width="36" hidden="0" customWidth="1"/>
    <x:col min="6" max="6" width="16" hidden="0" customWidth="1"/>
    <x:col min="7" max="7" width="16" hidden="0" customWidth="1"/>
    <x:col min="8" max="8" width="18" hidden="0" customWidth="1"/>
  </x:cols>
  <x:sheetData>
    <x:row r="1" ht="34" customHeight="1">
      <x:c r="A1" s="3" t="str">
        <x:v>REBOOT — 3. Piloter la semaine en cours</x:v>
      </x:c>
      <x:c r="B1" s="3" t="str">
        <x:v>REBOOT — 3. Piloter la semaine en cours</x:v>
      </x:c>
      <x:c r="C1" s="3" t="str">
        <x:v>REBOOT — 3. Piloter la semaine en cours</x:v>
      </x:c>
      <x:c r="D1" s="3" t="str">
        <x:v>REBOOT — 3. Piloter la semaine en cours</x:v>
      </x:c>
      <x:c r="E1" s="3" t="str">
        <x:v>REBOOT — 3. Piloter la semaine en cours</x:v>
      </x:c>
      <x:c r="F1" s="3" t="str">
        <x:v>REBOOT — 3. Piloter la semaine en cours</x:v>
      </x:c>
      <x:c r="G1" s="3" t="str">
        <x:v>REBOOT — 3. Piloter la semaine en cours</x:v>
      </x:c>
      <x:c r="H1" s="3" t="str">
        <x:v>REBOOT — 3. Piloter la semaine en cours</x:v>
      </x:c>
    </x:row>
    <x:row r="2" ht="34" customHeight="1">
      <x:c r="A2" s="7" t="str">
        <x:v>Saisissez les dépenses au fil de la semaine. Avant d’effacer les lignes pour une nouvelle semaine, recopiez le résumé dans l’onglet 4 Historique.</x:v>
      </x:c>
      <x:c r="B2" s="7" t="str">
        <x:v>Saisissez les dépenses au fil de la semaine. Avant d’effacer les lignes pour une nouvelle semaine, recopiez le résumé dans l’onglet 4 Historique.</x:v>
      </x:c>
      <x:c r="C2" s="7" t="str">
        <x:v>Saisissez les dépenses au fil de la semaine. Avant d’effacer les lignes pour une nouvelle semaine, recopiez le résumé dans l’onglet 4 Historique.</x:v>
      </x:c>
      <x:c r="D2" s="7" t="str">
        <x:v>Saisissez les dépenses au fil de la semaine. Avant d’effacer les lignes pour une nouvelle semaine, recopiez le résumé dans l’onglet 4 Historique.</x:v>
      </x:c>
      <x:c r="E2" s="7" t="str">
        <x:v>Saisissez les dépenses au fil de la semaine. Avant d’effacer les lignes pour une nouvelle semaine, recopiez le résumé dans l’onglet 4 Historique.</x:v>
      </x:c>
      <x:c r="F2" s="7" t="str">
        <x:v>Saisissez les dépenses au fil de la semaine. Avant d’effacer les lignes pour une nouvelle semaine, recopiez le résumé dans l’onglet 4 Historique.</x:v>
      </x:c>
      <x:c r="G2" s="7" t="str">
        <x:v>Saisissez les dépenses au fil de la semaine. Avant d’effacer les lignes pour une nouvelle semaine, recopiez le résumé dans l’onglet 4 Historique.</x:v>
      </x:c>
      <x:c r="H2" s="7" t="str">
        <x:v>Saisissez les dépenses au fil de la semaine. Avant d’effacer les lignes pour une nouvelle semaine, recopiez le résumé dans l’onglet 4 Historique.</x:v>
      </x:c>
    </x:row>
    <x:row r="4" ht="24" customHeight="1">
      <x:c r="A4" s="10" t="str">
        <x:v>Votre réponse rapide : combien reste-t-il ?</x:v>
      </x:c>
      <x:c r="B4" s="10" t="str">
        <x:v>Votre réponse rapide : combien reste-t-il ?</x:v>
      </x:c>
      <x:c r="C4" s="10" t="str">
        <x:v>Votre réponse rapide : combien reste-t-il ?</x:v>
      </x:c>
      <x:c r="D4" s="10" t="str">
        <x:v>Votre réponse rapide : combien reste-t-il ?</x:v>
      </x:c>
      <x:c r="E4" s="10" t="str">
        <x:v>Votre réponse rapide : combien reste-t-il ?</x:v>
      </x:c>
      <x:c r="F4" s="10" t="str">
        <x:v>Votre réponse rapide : combien reste-t-il ?</x:v>
      </x:c>
      <x:c r="G4" s="10" t="str">
        <x:v>Votre réponse rapide : combien reste-t-il ?</x:v>
      </x:c>
      <x:c r="H4" s="10" t="str">
        <x:v>Votre réponse rapide : combien reste-t-il ?</x:v>
      </x:c>
    </x:row>
    <x:row r="5">
      <x:c r="A5" t="str">
        <x:v>Date du jour</x:v>
      </x:c>
      <x:c r="B5" s="122" t="n">
        <x:v>46242</x:v>
      </x:c>
      <x:c r="C5" s="95" t="str">
        <x:v>Début de semaine</x:v>
      </x:c>
      <x:c r="D5" s="122" t="n">
        <x:v>46242</x:v>
      </x:c>
      <x:c r="E5" t="str">
        <x:v>Plan choisi</x:v>
      </x:c>
      <x:c r="F5" s="87" t="str">
        <x:f>IF('2 Bien démarrer'!B28="","",'2 Bien démarrer'!B28)</x:f>
      </x:c>
      <x:c r="G5" t="str">
        <x:v>Budget semaine</x:v>
      </x:c>
      <x:c r="H5" s="88" t="n">
        <x:f>'2 Bien démarrer'!D28</x:f>
        <x:v>0</x:v>
      </x:c>
    </x:row>
    <x:row r="7">
      <x:c r="A7" t="str">
        <x:v>Dépensé</x:v>
      </x:c>
      <x:c r="B7" s="123" t="n">
        <x:f>SUM($C$12:$C$51)</x:f>
        <x:v>0</x:v>
      </x:c>
      <x:c r="C7" t="str">
        <x:v>Il reste</x:v>
      </x:c>
      <x:c r="D7" s="123" t="n">
        <x:f>H5-B7</x:f>
        <x:v>0</x:v>
      </x:c>
      <x:c r="E7" t="str">
        <x:v>Repère par jour restant</x:v>
      </x:c>
      <x:c r="F7" s="123" t="n">
        <x:f>D7/MAX(1,H7-B5)</x:f>
        <x:v>0</x:v>
      </x:c>
      <x:c r="G7" t="str">
        <x:v>Fin de semaine</x:v>
      </x:c>
      <x:c r="H7" s="109" t="n">
        <x:f>D5+7</x:f>
        <x:v>46249</x:v>
      </x:c>
    </x:row>
    <x:row r="9">
      <x:c r="A9" s="125" t="str">
        <x:v>Astuce : « obligatoire », « plaisir » et « aurait pu attendre » sont facultatifs, mais améliorent votre lecture des habitudes.</x:v>
      </x:c>
      <x:c r="B9" s="125"/>
      <x:c r="C9" s="125"/>
      <x:c r="D9" s="125"/>
      <x:c r="E9" s="125"/>
      <x:c r="F9" s="125"/>
      <x:c r="G9" s="125"/>
      <x:c r="H9" s="125"/>
    </x:row>
    <x:row r="11">
      <x:c r="A11" s="34" t="str">
        <x:v>Date</x:v>
      </x:c>
      <x:c r="B11" s="34" t="str">
        <x:v>Libellé</x:v>
      </x:c>
      <x:c r="C11" s="34" t="str">
        <x:v>Montant</x:v>
      </x:c>
      <x:c r="D11" s="34" t="str">
        <x:v>Nature facultative</x:v>
      </x:c>
      <x:c r="E11" s="34" t="str">
        <x:v>Note</x:v>
      </x:c>
    </x:row>
    <x:row r="12">
      <x:c r="A12" s="126"/>
      <x:c r="B12" s="36"/>
      <x:c r="C12" s="129"/>
      <x:c r="D12" s="36"/>
      <x:c r="E12" s="37"/>
    </x:row>
    <x:row r="13">
      <x:c r="A13" s="127"/>
      <x:c r="B13" s="26"/>
      <x:c r="C13" s="130"/>
      <x:c r="D13" s="26"/>
      <x:c r="E13" s="39"/>
    </x:row>
    <x:row r="14">
      <x:c r="A14" s="127"/>
      <x:c r="B14" s="26"/>
      <x:c r="C14" s="130"/>
      <x:c r="D14" s="26"/>
      <x:c r="E14" s="39"/>
    </x:row>
    <x:row r="15">
      <x:c r="A15" s="127"/>
      <x:c r="B15" s="26"/>
      <x:c r="C15" s="130"/>
      <x:c r="D15" s="26"/>
      <x:c r="E15" s="39"/>
    </x:row>
    <x:row r="16">
      <x:c r="A16" s="127"/>
      <x:c r="B16" s="26"/>
      <x:c r="C16" s="130"/>
      <x:c r="D16" s="26"/>
      <x:c r="E16" s="39"/>
    </x:row>
    <x:row r="17">
      <x:c r="A17" s="127"/>
      <x:c r="B17" s="26"/>
      <x:c r="C17" s="130"/>
      <x:c r="D17" s="26"/>
      <x:c r="E17" s="39"/>
    </x:row>
    <x:row r="18">
      <x:c r="A18" s="127"/>
      <x:c r="B18" s="26"/>
      <x:c r="C18" s="130"/>
      <x:c r="D18" s="26"/>
      <x:c r="E18" s="39"/>
    </x:row>
    <x:row r="19">
      <x:c r="A19" s="127"/>
      <x:c r="B19" s="26"/>
      <x:c r="C19" s="130"/>
      <x:c r="D19" s="26"/>
      <x:c r="E19" s="39"/>
    </x:row>
    <x:row r="20">
      <x:c r="A20" s="127"/>
      <x:c r="B20" s="26"/>
      <x:c r="C20" s="130"/>
      <x:c r="D20" s="26"/>
      <x:c r="E20" s="39"/>
    </x:row>
    <x:row r="21">
      <x:c r="A21" s="127"/>
      <x:c r="B21" s="26"/>
      <x:c r="C21" s="130"/>
      <x:c r="D21" s="26"/>
      <x:c r="E21" s="39"/>
    </x:row>
    <x:row r="22">
      <x:c r="A22" s="127"/>
      <x:c r="B22" s="26"/>
      <x:c r="C22" s="130"/>
      <x:c r="D22" s="26"/>
      <x:c r="E22" s="39"/>
    </x:row>
    <x:row r="23">
      <x:c r="A23" s="127"/>
      <x:c r="B23" s="26"/>
      <x:c r="C23" s="130"/>
      <x:c r="D23" s="26"/>
      <x:c r="E23" s="39"/>
    </x:row>
    <x:row r="24">
      <x:c r="A24" s="127"/>
      <x:c r="B24" s="26"/>
      <x:c r="C24" s="130"/>
      <x:c r="D24" s="26"/>
      <x:c r="E24" s="39"/>
    </x:row>
    <x:row r="25">
      <x:c r="A25" s="127"/>
      <x:c r="B25" s="26"/>
      <x:c r="C25" s="130"/>
      <x:c r="D25" s="26"/>
      <x:c r="E25" s="39"/>
    </x:row>
    <x:row r="26">
      <x:c r="A26" s="127"/>
      <x:c r="B26" s="26"/>
      <x:c r="C26" s="130"/>
      <x:c r="D26" s="26"/>
      <x:c r="E26" s="39"/>
    </x:row>
    <x:row r="27">
      <x:c r="A27" s="127"/>
      <x:c r="B27" s="26"/>
      <x:c r="C27" s="130"/>
      <x:c r="D27" s="26"/>
      <x:c r="E27" s="39"/>
    </x:row>
    <x:row r="28">
      <x:c r="A28" s="127"/>
      <x:c r="B28" s="26"/>
      <x:c r="C28" s="130"/>
      <x:c r="D28" s="26"/>
      <x:c r="E28" s="39"/>
    </x:row>
    <x:row r="29">
      <x:c r="A29" s="127"/>
      <x:c r="B29" s="26"/>
      <x:c r="C29" s="130"/>
      <x:c r="D29" s="26"/>
      <x:c r="E29" s="39"/>
    </x:row>
    <x:row r="30">
      <x:c r="A30" s="127"/>
      <x:c r="B30" s="26"/>
      <x:c r="C30" s="130"/>
      <x:c r="D30" s="26"/>
      <x:c r="E30" s="39"/>
    </x:row>
    <x:row r="31">
      <x:c r="A31" s="127"/>
      <x:c r="B31" s="26"/>
      <x:c r="C31" s="130"/>
      <x:c r="D31" s="26"/>
      <x:c r="E31" s="39"/>
    </x:row>
    <x:row r="32">
      <x:c r="A32" s="127"/>
      <x:c r="B32" s="26"/>
      <x:c r="C32" s="130"/>
      <x:c r="D32" s="26"/>
      <x:c r="E32" s="39"/>
    </x:row>
    <x:row r="33">
      <x:c r="A33" s="127"/>
      <x:c r="B33" s="26"/>
      <x:c r="C33" s="130"/>
      <x:c r="D33" s="26"/>
      <x:c r="E33" s="39"/>
    </x:row>
    <x:row r="34">
      <x:c r="A34" s="127"/>
      <x:c r="B34" s="26"/>
      <x:c r="C34" s="130"/>
      <x:c r="D34" s="26"/>
      <x:c r="E34" s="39"/>
    </x:row>
    <x:row r="35">
      <x:c r="A35" s="127"/>
      <x:c r="B35" s="26"/>
      <x:c r="C35" s="130"/>
      <x:c r="D35" s="26"/>
      <x:c r="E35" s="39"/>
    </x:row>
    <x:row r="36">
      <x:c r="A36" s="127"/>
      <x:c r="B36" s="26"/>
      <x:c r="C36" s="130"/>
      <x:c r="D36" s="26"/>
      <x:c r="E36" s="39"/>
    </x:row>
    <x:row r="37">
      <x:c r="A37" s="127"/>
      <x:c r="B37" s="26"/>
      <x:c r="C37" s="130"/>
      <x:c r="D37" s="26"/>
      <x:c r="E37" s="39"/>
    </x:row>
    <x:row r="38">
      <x:c r="A38" s="127"/>
      <x:c r="B38" s="26"/>
      <x:c r="C38" s="130"/>
      <x:c r="D38" s="26"/>
      <x:c r="E38" s="39"/>
    </x:row>
    <x:row r="39">
      <x:c r="A39" s="127"/>
      <x:c r="B39" s="26"/>
      <x:c r="C39" s="130"/>
      <x:c r="D39" s="26"/>
      <x:c r="E39" s="39"/>
    </x:row>
    <x:row r="40">
      <x:c r="A40" s="127"/>
      <x:c r="B40" s="26"/>
      <x:c r="C40" s="130"/>
      <x:c r="D40" s="26"/>
      <x:c r="E40" s="39"/>
    </x:row>
    <x:row r="41">
      <x:c r="A41" s="127"/>
      <x:c r="B41" s="26"/>
      <x:c r="C41" s="130"/>
      <x:c r="D41" s="26"/>
      <x:c r="E41" s="39"/>
    </x:row>
    <x:row r="42">
      <x:c r="A42" s="127"/>
      <x:c r="B42" s="26"/>
      <x:c r="C42" s="130"/>
      <x:c r="D42" s="26"/>
      <x:c r="E42" s="39"/>
    </x:row>
    <x:row r="43">
      <x:c r="A43" s="127"/>
      <x:c r="B43" s="26"/>
      <x:c r="C43" s="130"/>
      <x:c r="D43" s="26"/>
      <x:c r="E43" s="39"/>
    </x:row>
    <x:row r="44">
      <x:c r="A44" s="127"/>
      <x:c r="B44" s="26"/>
      <x:c r="C44" s="130"/>
      <x:c r="D44" s="26"/>
      <x:c r="E44" s="39"/>
    </x:row>
    <x:row r="45">
      <x:c r="A45" s="127"/>
      <x:c r="B45" s="26"/>
      <x:c r="C45" s="130"/>
      <x:c r="D45" s="26"/>
      <x:c r="E45" s="39"/>
    </x:row>
    <x:row r="46">
      <x:c r="A46" s="127"/>
      <x:c r="B46" s="26"/>
      <x:c r="C46" s="130"/>
      <x:c r="D46" s="26"/>
      <x:c r="E46" s="39"/>
    </x:row>
    <x:row r="47">
      <x:c r="A47" s="127"/>
      <x:c r="B47" s="26"/>
      <x:c r="C47" s="130"/>
      <x:c r="D47" s="26"/>
      <x:c r="E47" s="39"/>
    </x:row>
    <x:row r="48">
      <x:c r="A48" s="127"/>
      <x:c r="B48" s="26"/>
      <x:c r="C48" s="130"/>
      <x:c r="D48" s="26"/>
      <x:c r="E48" s="39"/>
    </x:row>
    <x:row r="49">
      <x:c r="A49" s="127"/>
      <x:c r="B49" s="26"/>
      <x:c r="C49" s="130"/>
      <x:c r="D49" s="26"/>
      <x:c r="E49" s="39"/>
    </x:row>
    <x:row r="50">
      <x:c r="A50" s="127"/>
      <x:c r="B50" s="26"/>
      <x:c r="C50" s="130"/>
      <x:c r="D50" s="26"/>
      <x:c r="E50" s="39"/>
    </x:row>
    <x:row r="51">
      <x:c r="A51" s="128"/>
      <x:c r="B51" s="41"/>
      <x:c r="C51" s="131"/>
      <x:c r="D51" s="41"/>
      <x:c r="E51" s="42"/>
    </x:row>
    <x:row r="53" ht="30" customHeight="1">
      <x:c r="A53" s="134" t="str">
        <x:v>FIN DE SEMAINE : recopiez Début de semaine, Budget, Dépensé et Bonus/Malus dans l’onglet 4. Ensuite seulement, effacez A12:E51 et changez les deux dates bleues. Un bonus ne change pas automatiquement le budget de la semaine suivante.</x:v>
      </x:c>
      <x:c r="B53" s="134"/>
      <x:c r="C53" s="134"/>
      <x:c r="D53" s="134"/>
      <x:c r="E53" s="134"/>
      <x:c r="F53" s="134"/>
      <x:c r="G53" s="134"/>
      <x:c r="H53" s="134"/>
    </x:row>
    <x:row r="54" ht="30" customHeight="1">
      <x:c r="A54" s="134"/>
      <x:c r="B54" s="134"/>
      <x:c r="C54" s="134"/>
      <x:c r="D54" s="134"/>
      <x:c r="E54" s="134"/>
      <x:c r="F54" s="134"/>
      <x:c r="G54" s="134"/>
      <x:c r="H54" s="134"/>
    </x:row>
  </x:sheetData>
  <x:mergeCells>
    <x:mergeCell ref="A1:H1"/>
    <x:mergeCell ref="A2:H2"/>
    <x:mergeCell ref="A4:H4"/>
    <x:mergeCell ref="A9:H9"/>
    <x:mergeCell ref="A53:H54"/>
  </x:mergeCells>
  <x:conditionalFormatting sqref="D7:D7">
    <x:cfRule type="cellIs" dxfId="8" priority="1" operator="lessThan">
      <x:formula>0</x:formula>
    </x:cfRule>
    <x:cfRule type="cellIs" dxfId="9" priority="2" operator="greaterThanOrEqual">
      <x:formula>0</x:formula>
    </x:cfRule>
  </x:conditionalFormatting>
  <x:dataValidations count="1">
    <x:dataValidation type="list" sqref="D12:D51">
      <x:formula1>"Obligatoire,Plaisir,Aurait pu attendre,"</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14" hidden="0" customWidth="1"/>
    <x:col min="3" max="3" width="14" hidden="0" customWidth="1"/>
    <x:col min="4" max="4" width="16" hidden="0" customWidth="1"/>
    <x:col min="5" max="5" width="12" hidden="0" customWidth="1"/>
    <x:col min="6" max="6" width="14" hidden="0" customWidth="1"/>
    <x:col min="7" max="7" width="14" hidden="0" customWidth="1"/>
    <x:col min="8" max="8" width="14" hidden="0" customWidth="1"/>
    <x:col min="9" max="9" width="14" hidden="0" customWidth="1"/>
    <x:col min="10" max="10" width="14" hidden="0" customWidth="1"/>
    <x:col min="11" max="11" width="20" hidden="0" customWidth="1"/>
  </x:cols>
  <x:sheetData>
    <x:row r="1" ht="34" customHeight="1">
      <x:c r="A1" s="3" t="str">
        <x:v>REBOOT — 4. Suivre les bonus et malus</x:v>
      </x:c>
      <x:c r="B1" s="3" t="str">
        <x:v>REBOOT — 4. Suivre les bonus et malus</x:v>
      </x:c>
      <x:c r="C1" s="3" t="str">
        <x:v>REBOOT — 4. Suivre les bonus et malus</x:v>
      </x:c>
      <x:c r="D1" s="3" t="str">
        <x:v>REBOOT — 4. Suivre les bonus et malus</x:v>
      </x:c>
      <x:c r="E1" s="3" t="str">
        <x:v>REBOOT — 4. Suivre les bonus et malus</x:v>
      </x:c>
      <x:c r="F1" s="3" t="str">
        <x:v>REBOOT — 4. Suivre les bonus et malus</x:v>
      </x:c>
      <x:c r="G1" s="3" t="str">
        <x:v>REBOOT — 4. Suivre les bonus et malus</x:v>
      </x:c>
      <x:c r="H1" s="3" t="str">
        <x:v>REBOOT — 4. Suivre les bonus et malus</x:v>
      </x:c>
      <x:c r="I1" s="3" t="str">
        <x:v>REBOOT — 4. Suivre les bonus et malus</x:v>
      </x:c>
      <x:c r="J1" s="3" t="str">
        <x:v>REBOOT — 4. Suivre les bonus et malus</x:v>
      </x:c>
      <x:c r="K1" s="3" t="str">
        <x:v>REBOOT — 4. Suivre les bonus et malus</x:v>
      </x:c>
    </x:row>
    <x:row r="2" ht="34" customHeight="1">
      <x:c r="A2" s="7" t="str">
        <x:v>Une semaine positive ne gonfle pas la suivante ; une semaine négative ne la réduit pas automatiquement. La balance glissante sert à voir la direction et à décider vous-même quand agir.</x:v>
      </x:c>
      <x:c r="B2" s="7" t="str">
        <x:v>Une semaine positive ne gonfle pas la suivante ; une semaine négative ne la réduit pas automatiquement. La balance glissante sert à voir la direction et à décider vous-même quand agir.</x:v>
      </x:c>
      <x:c r="C2" s="7" t="str">
        <x:v>Une semaine positive ne gonfle pas la suivante ; une semaine négative ne la réduit pas automatiquement. La balance glissante sert à voir la direction et à décider vous-même quand agir.</x:v>
      </x:c>
      <x:c r="D2" s="7" t="str">
        <x:v>Une semaine positive ne gonfle pas la suivante ; une semaine négative ne la réduit pas automatiquement. La balance glissante sert à voir la direction et à décider vous-même quand agir.</x:v>
      </x:c>
      <x:c r="E2" s="7" t="str">
        <x:v>Une semaine positive ne gonfle pas la suivante ; une semaine négative ne la réduit pas automatiquement. La balance glissante sert à voir la direction et à décider vous-même quand agir.</x:v>
      </x:c>
      <x:c r="F2" s="7" t="str">
        <x:v>Une semaine positive ne gonfle pas la suivante ; une semaine négative ne la réduit pas automatiquement. La balance glissante sert à voir la direction et à décider vous-même quand agir.</x:v>
      </x:c>
      <x:c r="G2" s="7" t="str">
        <x:v>Une semaine positive ne gonfle pas la suivante ; une semaine négative ne la réduit pas automatiquement. La balance glissante sert à voir la direction et à décider vous-même quand agir.</x:v>
      </x:c>
      <x:c r="H2" s="7" t="str">
        <x:v>Une semaine positive ne gonfle pas la suivante ; une semaine négative ne la réduit pas automatiquement. La balance glissante sert à voir la direction et à décider vous-même quand agir.</x:v>
      </x:c>
      <x:c r="I2" s="7" t="str">
        <x:v>Une semaine positive ne gonfle pas la suivante ; une semaine négative ne la réduit pas automatiquement. La balance glissante sert à voir la direction et à décider vous-même quand agir.</x:v>
      </x:c>
      <x:c r="J2" s="7" t="str">
        <x:v>Une semaine positive ne gonfle pas la suivante ; une semaine négative ne la réduit pas automatiquement. La balance glissante sert à voir la direction et à décider vous-même quand agir.</x:v>
      </x:c>
      <x:c r="K2" s="7" t="str">
        <x:v>Une semaine positive ne gonfle pas la suivante ; une semaine négative ne la réduit pas automatiquement. La balance glissante sert à voir la direction et à décider vous-même quand agir.</x:v>
      </x:c>
    </x:row>
    <x:row r="4" ht="24" customHeight="1">
      <x:c r="A4" s="10" t="str">
        <x:v>Tendance des semaines terminées — maximum 52</x:v>
      </x:c>
      <x:c r="B4" s="10" t="str">
        <x:v>Tendance des semaines terminées — maximum 52</x:v>
      </x:c>
      <x:c r="C4" s="10" t="str">
        <x:v>Tendance des semaines terminées — maximum 52</x:v>
      </x:c>
      <x:c r="D4" s="10" t="str">
        <x:v>Tendance des semaines terminées — maximum 52</x:v>
      </x:c>
      <x:c r="E4" s="10" t="str">
        <x:v>Tendance des semaines terminées — maximum 52</x:v>
      </x:c>
      <x:c r="F4" s="10" t="str">
        <x:v>Tendance des semaines terminées — maximum 52</x:v>
      </x:c>
      <x:c r="G4" s="10" t="str">
        <x:v>Tendance des semaines terminées — maximum 52</x:v>
      </x:c>
      <x:c r="H4" s="10" t="str">
        <x:v>Tendance des semaines terminées — maximum 52</x:v>
      </x:c>
      <x:c r="I4" s="10" t="str">
        <x:v>Tendance des semaines terminées — maximum 52</x:v>
      </x:c>
      <x:c r="J4" s="10" t="str">
        <x:v>Tendance des semaines terminées — maximum 52</x:v>
      </x:c>
      <x:c r="K4" s="10" t="str">
        <x:v>Tendance des semaines terminées — maximum 52</x:v>
      </x:c>
    </x:row>
    <x:row r="5" ht="30" customHeight="1">
      <x:c r="A5" s="90" t="str">
        <x:v>Semaines observées</x:v>
      </x:c>
      <x:c r="B5" s="136" t="n">
        <x:f>COUNT($A$10:$A$61)</x:f>
        <x:v>0</x:v>
      </x:c>
      <x:c r="C5" s="90" t="str">
        <x:v>Balance 52 semaines</x:v>
      </x:c>
      <x:c r="D5" s="16" t="n">
        <x:f>SUM($D$10:$D$61)</x:f>
        <x:v>0</x:v>
      </x:c>
      <x:c r="E5" s="90" t="str">
        <x:v>Résultat moyen</x:v>
      </x:c>
      <x:c r="F5" s="137" t="n">
        <x:f>IF(B5=0,0,D5/B5)</x:f>
        <x:v>0</x:v>
      </x:c>
      <x:c r="G5" s="90" t="str">
        <x:v>Lecture</x:v>
      </x:c>
      <x:c r="H5" s="15" t="str">
        <x:f>IF(B5=0,"À COMPLÉTER",IF(D5&gt;0,"TENDANCE POSITIVE",IF(D5=0,"ÉQUILIBRE","TENDANCE NÉGATIVE — À SURVEILLER")))</x:f>
        <x:v>À COMPLÉTER</x:v>
      </x:c>
    </x:row>
    <x:row r="7">
      <x:c r="A7" s="125" t="str">
        <x:v>Alerte de semaine : moins de 5 % de dépassement = écart faible ; de 5 % à moins de 15 % = vigilance ; 15 % ou plus = alerte forte. La balance reste affichée séparément pour ne pas dramatiser une seule mauvaise semaine.</x:v>
      </x:c>
      <x:c r="B7" s="125"/>
      <x:c r="C7" s="125"/>
      <x:c r="D7" s="125"/>
      <x:c r="E7" s="125"/>
      <x:c r="F7" s="125"/>
      <x:c r="G7" s="125"/>
      <x:c r="H7" s="125"/>
      <x:c r="I7" s="125"/>
      <x:c r="J7" s="125"/>
      <x:c r="K7" s="125"/>
    </x:row>
    <x:row r="9">
      <x:c r="A9" s="34" t="str">
        <x:v>Début semaine</x:v>
      </x:c>
      <x:c r="B9" s="34" t="str">
        <x:v>Budget</x:v>
      </x:c>
      <x:c r="C9" s="34" t="str">
        <x:v>Dépenses</x:v>
      </x:c>
      <x:c r="D9" s="34" t="str">
        <x:v>Bonus / malus</x:v>
      </x:c>
      <x:c r="E9" s="34" t="str">
        <x:v>Écart %</x:v>
      </x:c>
      <x:c r="F9" s="34" t="str">
        <x:v>Balance 4</x:v>
      </x:c>
      <x:c r="G9" s="34" t="str">
        <x:v>Balance 8</x:v>
      </x:c>
      <x:c r="H9" s="34" t="str">
        <x:v>Balance 16</x:v>
      </x:c>
      <x:c r="I9" s="34" t="str">
        <x:v>Balance 32</x:v>
      </x:c>
      <x:c r="J9" s="34" t="str">
        <x:v>Balance 52</x:v>
      </x:c>
      <x:c r="K9" s="34" t="str">
        <x:v>Alerte semaine</x:v>
      </x:c>
    </x:row>
    <x:row r="10">
      <x:c r="A10" s="126"/>
      <x:c r="B10" s="129"/>
      <x:c r="C10" s="138"/>
      <x:c r="D10" s="139" t="str">
        <x:f>IF(A10="","",B10-C10)</x:f>
      </x:c>
      <x:c r="E10" s="100" t="str">
        <x:f>IF(OR(A10="",B10=0),"",D10/B10)</x:f>
      </x:c>
      <x:c r="F10" s="139" t="str">
        <x:f>IF(COUNT($D$10:D10)&lt;4,"",SUM(INDEX($D$10:$D$61,COUNT($D$10:D10)-3):D10))</x:f>
      </x:c>
      <x:c r="G10" s="139" t="str">
        <x:f>IF(COUNT($D$10:D10)&lt;8,"",SUM(INDEX($D$10:$D$61,COUNT($D$10:D10)-7):D10))</x:f>
      </x:c>
      <x:c r="H10" s="139" t="str">
        <x:f>IF(COUNT($D$10:D10)&lt;16,"",SUM(INDEX($D$10:$D$61,COUNT($D$10:D10)-15):D10))</x:f>
      </x:c>
      <x:c r="I10" s="139" t="str">
        <x:f>IF(COUNT($D$10:D10)&lt;32,"",SUM(INDEX($D$10:$D$61,COUNT($D$10:D10)-31):D10))</x:f>
      </x:c>
      <x:c r="J10" s="139" t="str">
        <x:f>IF(COUNT($D$10:D10)&lt;52,"",SUM(INDEX($D$10:$D$61,COUNT($D$10:D10)-51):D10))</x:f>
      </x:c>
      <x:c r="K10" s="97" t="str">
        <x:f>IF(A10="","",IF(C10&lt;=B10,"Dans les clous",IF((C10-B10)/B10&lt;0.05,"Écart faible",IF((C10-B10)/B10&lt;0.15,"Vigilance","Alerte forte"))))</x:f>
      </x:c>
    </x:row>
    <x:row r="11">
      <x:c r="A11" s="127"/>
      <x:c r="B11" s="130"/>
      <x:c r="C11" s="140"/>
      <x:c r="D11" s="141" t="str">
        <x:f>IF(A11="","",B11-C11)</x:f>
      </x:c>
      <x:c r="E11" s="104" t="str">
        <x:f>IF(OR(A11="",B11=0),"",D11/B11)</x:f>
      </x:c>
      <x:c r="F11" s="141" t="str">
        <x:f>IF(COUNT($D$10:D11)&lt;4,"",SUM(INDEX($D$10:$D$61,COUNT($D$10:D11)-3):D11))</x:f>
      </x:c>
      <x:c r="G11" s="141" t="str">
        <x:f>IF(COUNT($D$10:D11)&lt;8,"",SUM(INDEX($D$10:$D$61,COUNT($D$10:D11)-7):D11))</x:f>
      </x:c>
      <x:c r="H11" s="141" t="str">
        <x:f>IF(COUNT($D$10:D11)&lt;16,"",SUM(INDEX($D$10:$D$61,COUNT($D$10:D11)-15):D11))</x:f>
      </x:c>
      <x:c r="I11" s="141" t="str">
        <x:f>IF(COUNT($D$10:D11)&lt;32,"",SUM(INDEX($D$10:$D$61,COUNT($D$10:D11)-31):D11))</x:f>
      </x:c>
      <x:c r="J11" s="141" t="str">
        <x:f>IF(COUNT($D$10:D11)&lt;52,"",SUM(INDEX($D$10:$D$61,COUNT($D$10:D11)-51):D11))</x:f>
      </x:c>
      <x:c r="K11" s="101" t="str">
        <x:f>IF(A11="","",IF(C11&lt;=B11,"Dans les clous",IF((C11-B11)/B11&lt;0.05,"Écart faible",IF((C11-B11)/B11&lt;0.15,"Vigilance","Alerte forte"))))</x:f>
      </x:c>
    </x:row>
    <x:row r="12">
      <x:c r="A12" s="127"/>
      <x:c r="B12" s="130"/>
      <x:c r="C12" s="140"/>
      <x:c r="D12" s="141" t="str">
        <x:f>IF(A12="","",B12-C12)</x:f>
      </x:c>
      <x:c r="E12" s="104" t="str">
        <x:f>IF(OR(A12="",B12=0),"",D12/B12)</x:f>
      </x:c>
      <x:c r="F12" s="141" t="str">
        <x:f>IF(COUNT($D$10:D12)&lt;4,"",SUM(INDEX($D$10:$D$61,COUNT($D$10:D12)-3):D12))</x:f>
      </x:c>
      <x:c r="G12" s="141" t="str">
        <x:f>IF(COUNT($D$10:D12)&lt;8,"",SUM(INDEX($D$10:$D$61,COUNT($D$10:D12)-7):D12))</x:f>
      </x:c>
      <x:c r="H12" s="141" t="str">
        <x:f>IF(COUNT($D$10:D12)&lt;16,"",SUM(INDEX($D$10:$D$61,COUNT($D$10:D12)-15):D12))</x:f>
      </x:c>
      <x:c r="I12" s="141" t="str">
        <x:f>IF(COUNT($D$10:D12)&lt;32,"",SUM(INDEX($D$10:$D$61,COUNT($D$10:D12)-31):D12))</x:f>
      </x:c>
      <x:c r="J12" s="141" t="str">
        <x:f>IF(COUNT($D$10:D12)&lt;52,"",SUM(INDEX($D$10:$D$61,COUNT($D$10:D12)-51):D12))</x:f>
      </x:c>
      <x:c r="K12" s="101" t="str">
        <x:f>IF(A12="","",IF(C12&lt;=B12,"Dans les clous",IF((C12-B12)/B12&lt;0.05,"Écart faible",IF((C12-B12)/B12&lt;0.15,"Vigilance","Alerte forte"))))</x:f>
      </x:c>
    </x:row>
    <x:row r="13">
      <x:c r="A13" s="127"/>
      <x:c r="B13" s="130"/>
      <x:c r="C13" s="140"/>
      <x:c r="D13" s="141" t="str">
        <x:f>IF(A13="","",B13-C13)</x:f>
      </x:c>
      <x:c r="E13" s="104" t="str">
        <x:f>IF(OR(A13="",B13=0),"",D13/B13)</x:f>
      </x:c>
      <x:c r="F13" s="141" t="str">
        <x:f>IF(COUNT($D$10:D13)&lt;4,"",SUM(INDEX($D$10:$D$61,COUNT($D$10:D13)-3):D13))</x:f>
      </x:c>
      <x:c r="G13" s="141" t="str">
        <x:f>IF(COUNT($D$10:D13)&lt;8,"",SUM(INDEX($D$10:$D$61,COUNT($D$10:D13)-7):D13))</x:f>
      </x:c>
      <x:c r="H13" s="141" t="str">
        <x:f>IF(COUNT($D$10:D13)&lt;16,"",SUM(INDEX($D$10:$D$61,COUNT($D$10:D13)-15):D13))</x:f>
      </x:c>
      <x:c r="I13" s="141" t="str">
        <x:f>IF(COUNT($D$10:D13)&lt;32,"",SUM(INDEX($D$10:$D$61,COUNT($D$10:D13)-31):D13))</x:f>
      </x:c>
      <x:c r="J13" s="141" t="str">
        <x:f>IF(COUNT($D$10:D13)&lt;52,"",SUM(INDEX($D$10:$D$61,COUNT($D$10:D13)-51):D13))</x:f>
      </x:c>
      <x:c r="K13" s="101" t="str">
        <x:f>IF(A13="","",IF(C13&lt;=B13,"Dans les clous",IF((C13-B13)/B13&lt;0.05,"Écart faible",IF((C13-B13)/B13&lt;0.15,"Vigilance","Alerte forte"))))</x:f>
      </x:c>
    </x:row>
    <x:row r="14">
      <x:c r="A14" s="127"/>
      <x:c r="B14" s="130"/>
      <x:c r="C14" s="140"/>
      <x:c r="D14" s="141" t="str">
        <x:f>IF(A14="","",B14-C14)</x:f>
      </x:c>
      <x:c r="E14" s="104" t="str">
        <x:f>IF(OR(A14="",B14=0),"",D14/B14)</x:f>
      </x:c>
      <x:c r="F14" s="141" t="str">
        <x:f>IF(COUNT($D$10:D14)&lt;4,"",SUM(INDEX($D$10:$D$61,COUNT($D$10:D14)-3):D14))</x:f>
      </x:c>
      <x:c r="G14" s="141" t="str">
        <x:f>IF(COUNT($D$10:D14)&lt;8,"",SUM(INDEX($D$10:$D$61,COUNT($D$10:D14)-7):D14))</x:f>
      </x:c>
      <x:c r="H14" s="141" t="str">
        <x:f>IF(COUNT($D$10:D14)&lt;16,"",SUM(INDEX($D$10:$D$61,COUNT($D$10:D14)-15):D14))</x:f>
      </x:c>
      <x:c r="I14" s="141" t="str">
        <x:f>IF(COUNT($D$10:D14)&lt;32,"",SUM(INDEX($D$10:$D$61,COUNT($D$10:D14)-31):D14))</x:f>
      </x:c>
      <x:c r="J14" s="141" t="str">
        <x:f>IF(COUNT($D$10:D14)&lt;52,"",SUM(INDEX($D$10:$D$61,COUNT($D$10:D14)-51):D14))</x:f>
      </x:c>
      <x:c r="K14" s="101" t="str">
        <x:f>IF(A14="","",IF(C14&lt;=B14,"Dans les clous",IF((C14-B14)/B14&lt;0.05,"Écart faible",IF((C14-B14)/B14&lt;0.15,"Vigilance","Alerte forte"))))</x:f>
      </x:c>
    </x:row>
    <x:row r="15">
      <x:c r="A15" s="127"/>
      <x:c r="B15" s="130"/>
      <x:c r="C15" s="140"/>
      <x:c r="D15" s="141" t="str">
        <x:f>IF(A15="","",B15-C15)</x:f>
      </x:c>
      <x:c r="E15" s="104" t="str">
        <x:f>IF(OR(A15="",B15=0),"",D15/B15)</x:f>
      </x:c>
      <x:c r="F15" s="141" t="str">
        <x:f>IF(COUNT($D$10:D15)&lt;4,"",SUM(INDEX($D$10:$D$61,COUNT($D$10:D15)-3):D15))</x:f>
      </x:c>
      <x:c r="G15" s="141" t="str">
        <x:f>IF(COUNT($D$10:D15)&lt;8,"",SUM(INDEX($D$10:$D$61,COUNT($D$10:D15)-7):D15))</x:f>
      </x:c>
      <x:c r="H15" s="141" t="str">
        <x:f>IF(COUNT($D$10:D15)&lt;16,"",SUM(INDEX($D$10:$D$61,COUNT($D$10:D15)-15):D15))</x:f>
      </x:c>
      <x:c r="I15" s="141" t="str">
        <x:f>IF(COUNT($D$10:D15)&lt;32,"",SUM(INDEX($D$10:$D$61,COUNT($D$10:D15)-31):D15))</x:f>
      </x:c>
      <x:c r="J15" s="141" t="str">
        <x:f>IF(COUNT($D$10:D15)&lt;52,"",SUM(INDEX($D$10:$D$61,COUNT($D$10:D15)-51):D15))</x:f>
      </x:c>
      <x:c r="K15" s="101" t="str">
        <x:f>IF(A15="","",IF(C15&lt;=B15,"Dans les clous",IF((C15-B15)/B15&lt;0.05,"Écart faible",IF((C15-B15)/B15&lt;0.15,"Vigilance","Alerte forte"))))</x:f>
      </x:c>
    </x:row>
    <x:row r="16">
      <x:c r="A16" s="127"/>
      <x:c r="B16" s="130"/>
      <x:c r="C16" s="140"/>
      <x:c r="D16" s="141" t="str">
        <x:f>IF(A16="","",B16-C16)</x:f>
      </x:c>
      <x:c r="E16" s="104" t="str">
        <x:f>IF(OR(A16="",B16=0),"",D16/B16)</x:f>
      </x:c>
      <x:c r="F16" s="141" t="str">
        <x:f>IF(COUNT($D$10:D16)&lt;4,"",SUM(INDEX($D$10:$D$61,COUNT($D$10:D16)-3):D16))</x:f>
      </x:c>
      <x:c r="G16" s="141" t="str">
        <x:f>IF(COUNT($D$10:D16)&lt;8,"",SUM(INDEX($D$10:$D$61,COUNT($D$10:D16)-7):D16))</x:f>
      </x:c>
      <x:c r="H16" s="141" t="str">
        <x:f>IF(COUNT($D$10:D16)&lt;16,"",SUM(INDEX($D$10:$D$61,COUNT($D$10:D16)-15):D16))</x:f>
      </x:c>
      <x:c r="I16" s="141" t="str">
        <x:f>IF(COUNT($D$10:D16)&lt;32,"",SUM(INDEX($D$10:$D$61,COUNT($D$10:D16)-31):D16))</x:f>
      </x:c>
      <x:c r="J16" s="141" t="str">
        <x:f>IF(COUNT($D$10:D16)&lt;52,"",SUM(INDEX($D$10:$D$61,COUNT($D$10:D16)-51):D16))</x:f>
      </x:c>
      <x:c r="K16" s="101" t="str">
        <x:f>IF(A16="","",IF(C16&lt;=B16,"Dans les clous",IF((C16-B16)/B16&lt;0.05,"Écart faible",IF((C16-B16)/B16&lt;0.15,"Vigilance","Alerte forte"))))</x:f>
      </x:c>
    </x:row>
    <x:row r="17">
      <x:c r="A17" s="127"/>
      <x:c r="B17" s="130"/>
      <x:c r="C17" s="140"/>
      <x:c r="D17" s="141" t="str">
        <x:f>IF(A17="","",B17-C17)</x:f>
      </x:c>
      <x:c r="E17" s="104" t="str">
        <x:f>IF(OR(A17="",B17=0),"",D17/B17)</x:f>
      </x:c>
      <x:c r="F17" s="141" t="str">
        <x:f>IF(COUNT($D$10:D17)&lt;4,"",SUM(INDEX($D$10:$D$61,COUNT($D$10:D17)-3):D17))</x:f>
      </x:c>
      <x:c r="G17" s="141" t="str">
        <x:f>IF(COUNT($D$10:D17)&lt;8,"",SUM(INDEX($D$10:$D$61,COUNT($D$10:D17)-7):D17))</x:f>
      </x:c>
      <x:c r="H17" s="141" t="str">
        <x:f>IF(COUNT($D$10:D17)&lt;16,"",SUM(INDEX($D$10:$D$61,COUNT($D$10:D17)-15):D17))</x:f>
      </x:c>
      <x:c r="I17" s="141" t="str">
        <x:f>IF(COUNT($D$10:D17)&lt;32,"",SUM(INDEX($D$10:$D$61,COUNT($D$10:D17)-31):D17))</x:f>
      </x:c>
      <x:c r="J17" s="141" t="str">
        <x:f>IF(COUNT($D$10:D17)&lt;52,"",SUM(INDEX($D$10:$D$61,COUNT($D$10:D17)-51):D17))</x:f>
      </x:c>
      <x:c r="K17" s="101" t="str">
        <x:f>IF(A17="","",IF(C17&lt;=B17,"Dans les clous",IF((C17-B17)/B17&lt;0.05,"Écart faible",IF((C17-B17)/B17&lt;0.15,"Vigilance","Alerte forte"))))</x:f>
      </x:c>
    </x:row>
    <x:row r="18">
      <x:c r="A18" s="127"/>
      <x:c r="B18" s="130"/>
      <x:c r="C18" s="140"/>
      <x:c r="D18" s="141" t="str">
        <x:f>IF(A18="","",B18-C18)</x:f>
      </x:c>
      <x:c r="E18" s="104" t="str">
        <x:f>IF(OR(A18="",B18=0),"",D18/B18)</x:f>
      </x:c>
      <x:c r="F18" s="141" t="str">
        <x:f>IF(COUNT($D$10:D18)&lt;4,"",SUM(INDEX($D$10:$D$61,COUNT($D$10:D18)-3):D18))</x:f>
      </x:c>
      <x:c r="G18" s="141" t="str">
        <x:f>IF(COUNT($D$10:D18)&lt;8,"",SUM(INDEX($D$10:$D$61,COUNT($D$10:D18)-7):D18))</x:f>
      </x:c>
      <x:c r="H18" s="141" t="str">
        <x:f>IF(COUNT($D$10:D18)&lt;16,"",SUM(INDEX($D$10:$D$61,COUNT($D$10:D18)-15):D18))</x:f>
      </x:c>
      <x:c r="I18" s="141" t="str">
        <x:f>IF(COUNT($D$10:D18)&lt;32,"",SUM(INDEX($D$10:$D$61,COUNT($D$10:D18)-31):D18))</x:f>
      </x:c>
      <x:c r="J18" s="141" t="str">
        <x:f>IF(COUNT($D$10:D18)&lt;52,"",SUM(INDEX($D$10:$D$61,COUNT($D$10:D18)-51):D18))</x:f>
      </x:c>
      <x:c r="K18" s="101" t="str">
        <x:f>IF(A18="","",IF(C18&lt;=B18,"Dans les clous",IF((C18-B18)/B18&lt;0.05,"Écart faible",IF((C18-B18)/B18&lt;0.15,"Vigilance","Alerte forte"))))</x:f>
      </x:c>
    </x:row>
    <x:row r="19">
      <x:c r="A19" s="127"/>
      <x:c r="B19" s="130"/>
      <x:c r="C19" s="140"/>
      <x:c r="D19" s="141" t="str">
        <x:f>IF(A19="","",B19-C19)</x:f>
      </x:c>
      <x:c r="E19" s="104" t="str">
        <x:f>IF(OR(A19="",B19=0),"",D19/B19)</x:f>
      </x:c>
      <x:c r="F19" s="141" t="str">
        <x:f>IF(COUNT($D$10:D19)&lt;4,"",SUM(INDEX($D$10:$D$61,COUNT($D$10:D19)-3):D19))</x:f>
      </x:c>
      <x:c r="G19" s="141" t="str">
        <x:f>IF(COUNT($D$10:D19)&lt;8,"",SUM(INDEX($D$10:$D$61,COUNT($D$10:D19)-7):D19))</x:f>
      </x:c>
      <x:c r="H19" s="141" t="str">
        <x:f>IF(COUNT($D$10:D19)&lt;16,"",SUM(INDEX($D$10:$D$61,COUNT($D$10:D19)-15):D19))</x:f>
      </x:c>
      <x:c r="I19" s="141" t="str">
        <x:f>IF(COUNT($D$10:D19)&lt;32,"",SUM(INDEX($D$10:$D$61,COUNT($D$10:D19)-31):D19))</x:f>
      </x:c>
      <x:c r="J19" s="141" t="str">
        <x:f>IF(COUNT($D$10:D19)&lt;52,"",SUM(INDEX($D$10:$D$61,COUNT($D$10:D19)-51):D19))</x:f>
      </x:c>
      <x:c r="K19" s="101" t="str">
        <x:f>IF(A19="","",IF(C19&lt;=B19,"Dans les clous",IF((C19-B19)/B19&lt;0.05,"Écart faible",IF((C19-B19)/B19&lt;0.15,"Vigilance","Alerte forte"))))</x:f>
      </x:c>
    </x:row>
    <x:row r="20">
      <x:c r="A20" s="127"/>
      <x:c r="B20" s="130"/>
      <x:c r="C20" s="140"/>
      <x:c r="D20" s="141" t="str">
        <x:f>IF(A20="","",B20-C20)</x:f>
      </x:c>
      <x:c r="E20" s="104" t="str">
        <x:f>IF(OR(A20="",B20=0),"",D20/B20)</x:f>
      </x:c>
      <x:c r="F20" s="141" t="str">
        <x:f>IF(COUNT($D$10:D20)&lt;4,"",SUM(INDEX($D$10:$D$61,COUNT($D$10:D20)-3):D20))</x:f>
      </x:c>
      <x:c r="G20" s="141" t="str">
        <x:f>IF(COUNT($D$10:D20)&lt;8,"",SUM(INDEX($D$10:$D$61,COUNT($D$10:D20)-7):D20))</x:f>
      </x:c>
      <x:c r="H20" s="141" t="str">
        <x:f>IF(COUNT($D$10:D20)&lt;16,"",SUM(INDEX($D$10:$D$61,COUNT($D$10:D20)-15):D20))</x:f>
      </x:c>
      <x:c r="I20" s="141" t="str">
        <x:f>IF(COUNT($D$10:D20)&lt;32,"",SUM(INDEX($D$10:$D$61,COUNT($D$10:D20)-31):D20))</x:f>
      </x:c>
      <x:c r="J20" s="141" t="str">
        <x:f>IF(COUNT($D$10:D20)&lt;52,"",SUM(INDEX($D$10:$D$61,COUNT($D$10:D20)-51):D20))</x:f>
      </x:c>
      <x:c r="K20" s="101" t="str">
        <x:f>IF(A20="","",IF(C20&lt;=B20,"Dans les clous",IF((C20-B20)/B20&lt;0.05,"Écart faible",IF((C20-B20)/B20&lt;0.15,"Vigilance","Alerte forte"))))</x:f>
      </x:c>
    </x:row>
    <x:row r="21">
      <x:c r="A21" s="127"/>
      <x:c r="B21" s="130"/>
      <x:c r="C21" s="140"/>
      <x:c r="D21" s="141" t="str">
        <x:f>IF(A21="","",B21-C21)</x:f>
      </x:c>
      <x:c r="E21" s="104" t="str">
        <x:f>IF(OR(A21="",B21=0),"",D21/B21)</x:f>
      </x:c>
      <x:c r="F21" s="141" t="str">
        <x:f>IF(COUNT($D$10:D21)&lt;4,"",SUM(INDEX($D$10:$D$61,COUNT($D$10:D21)-3):D21))</x:f>
      </x:c>
      <x:c r="G21" s="141" t="str">
        <x:f>IF(COUNT($D$10:D21)&lt;8,"",SUM(INDEX($D$10:$D$61,COUNT($D$10:D21)-7):D21))</x:f>
      </x:c>
      <x:c r="H21" s="141" t="str">
        <x:f>IF(COUNT($D$10:D21)&lt;16,"",SUM(INDEX($D$10:$D$61,COUNT($D$10:D21)-15):D21))</x:f>
      </x:c>
      <x:c r="I21" s="141" t="str">
        <x:f>IF(COUNT($D$10:D21)&lt;32,"",SUM(INDEX($D$10:$D$61,COUNT($D$10:D21)-31):D21))</x:f>
      </x:c>
      <x:c r="J21" s="141" t="str">
        <x:f>IF(COUNT($D$10:D21)&lt;52,"",SUM(INDEX($D$10:$D$61,COUNT($D$10:D21)-51):D21))</x:f>
      </x:c>
      <x:c r="K21" s="101" t="str">
        <x:f>IF(A21="","",IF(C21&lt;=B21,"Dans les clous",IF((C21-B21)/B21&lt;0.05,"Écart faible",IF((C21-B21)/B21&lt;0.15,"Vigilance","Alerte forte"))))</x:f>
      </x:c>
    </x:row>
    <x:row r="22">
      <x:c r="A22" s="127"/>
      <x:c r="B22" s="130"/>
      <x:c r="C22" s="140"/>
      <x:c r="D22" s="141" t="str">
        <x:f>IF(A22="","",B22-C22)</x:f>
      </x:c>
      <x:c r="E22" s="104" t="str">
        <x:f>IF(OR(A22="",B22=0),"",D22/B22)</x:f>
      </x:c>
      <x:c r="F22" s="141" t="str">
        <x:f>IF(COUNT($D$10:D22)&lt;4,"",SUM(INDEX($D$10:$D$61,COUNT($D$10:D22)-3):D22))</x:f>
      </x:c>
      <x:c r="G22" s="141" t="str">
        <x:f>IF(COUNT($D$10:D22)&lt;8,"",SUM(INDEX($D$10:$D$61,COUNT($D$10:D22)-7):D22))</x:f>
      </x:c>
      <x:c r="H22" s="141" t="str">
        <x:f>IF(COUNT($D$10:D22)&lt;16,"",SUM(INDEX($D$10:$D$61,COUNT($D$10:D22)-15):D22))</x:f>
      </x:c>
      <x:c r="I22" s="141" t="str">
        <x:f>IF(COUNT($D$10:D22)&lt;32,"",SUM(INDEX($D$10:$D$61,COUNT($D$10:D22)-31):D22))</x:f>
      </x:c>
      <x:c r="J22" s="141" t="str">
        <x:f>IF(COUNT($D$10:D22)&lt;52,"",SUM(INDEX($D$10:$D$61,COUNT($D$10:D22)-51):D22))</x:f>
      </x:c>
      <x:c r="K22" s="101" t="str">
        <x:f>IF(A22="","",IF(C22&lt;=B22,"Dans les clous",IF((C22-B22)/B22&lt;0.05,"Écart faible",IF((C22-B22)/B22&lt;0.15,"Vigilance","Alerte forte"))))</x:f>
      </x:c>
    </x:row>
    <x:row r="23">
      <x:c r="A23" s="127"/>
      <x:c r="B23" s="130"/>
      <x:c r="C23" s="140"/>
      <x:c r="D23" s="141" t="str">
        <x:f>IF(A23="","",B23-C23)</x:f>
      </x:c>
      <x:c r="E23" s="104" t="str">
        <x:f>IF(OR(A23="",B23=0),"",D23/B23)</x:f>
      </x:c>
      <x:c r="F23" s="141" t="str">
        <x:f>IF(COUNT($D$10:D23)&lt;4,"",SUM(INDEX($D$10:$D$61,COUNT($D$10:D23)-3):D23))</x:f>
      </x:c>
      <x:c r="G23" s="141" t="str">
        <x:f>IF(COUNT($D$10:D23)&lt;8,"",SUM(INDEX($D$10:$D$61,COUNT($D$10:D23)-7):D23))</x:f>
      </x:c>
      <x:c r="H23" s="141" t="str">
        <x:f>IF(COUNT($D$10:D23)&lt;16,"",SUM(INDEX($D$10:$D$61,COUNT($D$10:D23)-15):D23))</x:f>
      </x:c>
      <x:c r="I23" s="141" t="str">
        <x:f>IF(COUNT($D$10:D23)&lt;32,"",SUM(INDEX($D$10:$D$61,COUNT($D$10:D23)-31):D23))</x:f>
      </x:c>
      <x:c r="J23" s="141" t="str">
        <x:f>IF(COUNT($D$10:D23)&lt;52,"",SUM(INDEX($D$10:$D$61,COUNT($D$10:D23)-51):D23))</x:f>
      </x:c>
      <x:c r="K23" s="101" t="str">
        <x:f>IF(A23="","",IF(C23&lt;=B23,"Dans les clous",IF((C23-B23)/B23&lt;0.05,"Écart faible",IF((C23-B23)/B23&lt;0.15,"Vigilance","Alerte forte"))))</x:f>
      </x:c>
    </x:row>
    <x:row r="24">
      <x:c r="A24" s="127"/>
      <x:c r="B24" s="130"/>
      <x:c r="C24" s="140"/>
      <x:c r="D24" s="141" t="str">
        <x:f>IF(A24="","",B24-C24)</x:f>
      </x:c>
      <x:c r="E24" s="104" t="str">
        <x:f>IF(OR(A24="",B24=0),"",D24/B24)</x:f>
      </x:c>
      <x:c r="F24" s="141" t="str">
        <x:f>IF(COUNT($D$10:D24)&lt;4,"",SUM(INDEX($D$10:$D$61,COUNT($D$10:D24)-3):D24))</x:f>
      </x:c>
      <x:c r="G24" s="141" t="str">
        <x:f>IF(COUNT($D$10:D24)&lt;8,"",SUM(INDEX($D$10:$D$61,COUNT($D$10:D24)-7):D24))</x:f>
      </x:c>
      <x:c r="H24" s="141" t="str">
        <x:f>IF(COUNT($D$10:D24)&lt;16,"",SUM(INDEX($D$10:$D$61,COUNT($D$10:D24)-15):D24))</x:f>
      </x:c>
      <x:c r="I24" s="141" t="str">
        <x:f>IF(COUNT($D$10:D24)&lt;32,"",SUM(INDEX($D$10:$D$61,COUNT($D$10:D24)-31):D24))</x:f>
      </x:c>
      <x:c r="J24" s="141" t="str">
        <x:f>IF(COUNT($D$10:D24)&lt;52,"",SUM(INDEX($D$10:$D$61,COUNT($D$10:D24)-51):D24))</x:f>
      </x:c>
      <x:c r="K24" s="101" t="str">
        <x:f>IF(A24="","",IF(C24&lt;=B24,"Dans les clous",IF((C24-B24)/B24&lt;0.05,"Écart faible",IF((C24-B24)/B24&lt;0.15,"Vigilance","Alerte forte"))))</x:f>
      </x:c>
    </x:row>
    <x:row r="25">
      <x:c r="A25" s="127"/>
      <x:c r="B25" s="130"/>
      <x:c r="C25" s="140"/>
      <x:c r="D25" s="141" t="str">
        <x:f>IF(A25="","",B25-C25)</x:f>
      </x:c>
      <x:c r="E25" s="104" t="str">
        <x:f>IF(OR(A25="",B25=0),"",D25/B25)</x:f>
      </x:c>
      <x:c r="F25" s="141" t="str">
        <x:f>IF(COUNT($D$10:D25)&lt;4,"",SUM(INDEX($D$10:$D$61,COUNT($D$10:D25)-3):D25))</x:f>
      </x:c>
      <x:c r="G25" s="141" t="str">
        <x:f>IF(COUNT($D$10:D25)&lt;8,"",SUM(INDEX($D$10:$D$61,COUNT($D$10:D25)-7):D25))</x:f>
      </x:c>
      <x:c r="H25" s="141" t="str">
        <x:f>IF(COUNT($D$10:D25)&lt;16,"",SUM(INDEX($D$10:$D$61,COUNT($D$10:D25)-15):D25))</x:f>
      </x:c>
      <x:c r="I25" s="141" t="str">
        <x:f>IF(COUNT($D$10:D25)&lt;32,"",SUM(INDEX($D$10:$D$61,COUNT($D$10:D25)-31):D25))</x:f>
      </x:c>
      <x:c r="J25" s="141" t="str">
        <x:f>IF(COUNT($D$10:D25)&lt;52,"",SUM(INDEX($D$10:$D$61,COUNT($D$10:D25)-51):D25))</x:f>
      </x:c>
      <x:c r="K25" s="101" t="str">
        <x:f>IF(A25="","",IF(C25&lt;=B25,"Dans les clous",IF((C25-B25)/B25&lt;0.05,"Écart faible",IF((C25-B25)/B25&lt;0.15,"Vigilance","Alerte forte"))))</x:f>
      </x:c>
    </x:row>
    <x:row r="26">
      <x:c r="A26" s="127"/>
      <x:c r="B26" s="130"/>
      <x:c r="C26" s="140"/>
      <x:c r="D26" s="141" t="str">
        <x:f>IF(A26="","",B26-C26)</x:f>
      </x:c>
      <x:c r="E26" s="104" t="str">
        <x:f>IF(OR(A26="",B26=0),"",D26/B26)</x:f>
      </x:c>
      <x:c r="F26" s="141" t="str">
        <x:f>IF(COUNT($D$10:D26)&lt;4,"",SUM(INDEX($D$10:$D$61,COUNT($D$10:D26)-3):D26))</x:f>
      </x:c>
      <x:c r="G26" s="141" t="str">
        <x:f>IF(COUNT($D$10:D26)&lt;8,"",SUM(INDEX($D$10:$D$61,COUNT($D$10:D26)-7):D26))</x:f>
      </x:c>
      <x:c r="H26" s="141" t="str">
        <x:f>IF(COUNT($D$10:D26)&lt;16,"",SUM(INDEX($D$10:$D$61,COUNT($D$10:D26)-15):D26))</x:f>
      </x:c>
      <x:c r="I26" s="141" t="str">
        <x:f>IF(COUNT($D$10:D26)&lt;32,"",SUM(INDEX($D$10:$D$61,COUNT($D$10:D26)-31):D26))</x:f>
      </x:c>
      <x:c r="J26" s="141" t="str">
        <x:f>IF(COUNT($D$10:D26)&lt;52,"",SUM(INDEX($D$10:$D$61,COUNT($D$10:D26)-51):D26))</x:f>
      </x:c>
      <x:c r="K26" s="101" t="str">
        <x:f>IF(A26="","",IF(C26&lt;=B26,"Dans les clous",IF((C26-B26)/B26&lt;0.05,"Écart faible",IF((C26-B26)/B26&lt;0.15,"Vigilance","Alerte forte"))))</x:f>
      </x:c>
    </x:row>
    <x:row r="27">
      <x:c r="A27" s="127"/>
      <x:c r="B27" s="130"/>
      <x:c r="C27" s="140"/>
      <x:c r="D27" s="141" t="str">
        <x:f>IF(A27="","",B27-C27)</x:f>
      </x:c>
      <x:c r="E27" s="104" t="str">
        <x:f>IF(OR(A27="",B27=0),"",D27/B27)</x:f>
      </x:c>
      <x:c r="F27" s="141" t="str">
        <x:f>IF(COUNT($D$10:D27)&lt;4,"",SUM(INDEX($D$10:$D$61,COUNT($D$10:D27)-3):D27))</x:f>
      </x:c>
      <x:c r="G27" s="141" t="str">
        <x:f>IF(COUNT($D$10:D27)&lt;8,"",SUM(INDEX($D$10:$D$61,COUNT($D$10:D27)-7):D27))</x:f>
      </x:c>
      <x:c r="H27" s="141" t="str">
        <x:f>IF(COUNT($D$10:D27)&lt;16,"",SUM(INDEX($D$10:$D$61,COUNT($D$10:D27)-15):D27))</x:f>
      </x:c>
      <x:c r="I27" s="141" t="str">
        <x:f>IF(COUNT($D$10:D27)&lt;32,"",SUM(INDEX($D$10:$D$61,COUNT($D$10:D27)-31):D27))</x:f>
      </x:c>
      <x:c r="J27" s="141" t="str">
        <x:f>IF(COUNT($D$10:D27)&lt;52,"",SUM(INDEX($D$10:$D$61,COUNT($D$10:D27)-51):D27))</x:f>
      </x:c>
      <x:c r="K27" s="101" t="str">
        <x:f>IF(A27="","",IF(C27&lt;=B27,"Dans les clous",IF((C27-B27)/B27&lt;0.05,"Écart faible",IF((C27-B27)/B27&lt;0.15,"Vigilance","Alerte forte"))))</x:f>
      </x:c>
    </x:row>
    <x:row r="28">
      <x:c r="A28" s="127"/>
      <x:c r="B28" s="130"/>
      <x:c r="C28" s="140"/>
      <x:c r="D28" s="141" t="str">
        <x:f>IF(A28="","",B28-C28)</x:f>
      </x:c>
      <x:c r="E28" s="104" t="str">
        <x:f>IF(OR(A28="",B28=0),"",D28/B28)</x:f>
      </x:c>
      <x:c r="F28" s="141" t="str">
        <x:f>IF(COUNT($D$10:D28)&lt;4,"",SUM(INDEX($D$10:$D$61,COUNT($D$10:D28)-3):D28))</x:f>
      </x:c>
      <x:c r="G28" s="141" t="str">
        <x:f>IF(COUNT($D$10:D28)&lt;8,"",SUM(INDEX($D$10:$D$61,COUNT($D$10:D28)-7):D28))</x:f>
      </x:c>
      <x:c r="H28" s="141" t="str">
        <x:f>IF(COUNT($D$10:D28)&lt;16,"",SUM(INDEX($D$10:$D$61,COUNT($D$10:D28)-15):D28))</x:f>
      </x:c>
      <x:c r="I28" s="141" t="str">
        <x:f>IF(COUNT($D$10:D28)&lt;32,"",SUM(INDEX($D$10:$D$61,COUNT($D$10:D28)-31):D28))</x:f>
      </x:c>
      <x:c r="J28" s="141" t="str">
        <x:f>IF(COUNT($D$10:D28)&lt;52,"",SUM(INDEX($D$10:$D$61,COUNT($D$10:D28)-51):D28))</x:f>
      </x:c>
      <x:c r="K28" s="101" t="str">
        <x:f>IF(A28="","",IF(C28&lt;=B28,"Dans les clous",IF((C28-B28)/B28&lt;0.05,"Écart faible",IF((C28-B28)/B28&lt;0.15,"Vigilance","Alerte forte"))))</x:f>
      </x:c>
    </x:row>
    <x:row r="29">
      <x:c r="A29" s="127"/>
      <x:c r="B29" s="130"/>
      <x:c r="C29" s="140"/>
      <x:c r="D29" s="141" t="str">
        <x:f>IF(A29="","",B29-C29)</x:f>
      </x:c>
      <x:c r="E29" s="104" t="str">
        <x:f>IF(OR(A29="",B29=0),"",D29/B29)</x:f>
      </x:c>
      <x:c r="F29" s="141" t="str">
        <x:f>IF(COUNT($D$10:D29)&lt;4,"",SUM(INDEX($D$10:$D$61,COUNT($D$10:D29)-3):D29))</x:f>
      </x:c>
      <x:c r="G29" s="141" t="str">
        <x:f>IF(COUNT($D$10:D29)&lt;8,"",SUM(INDEX($D$10:$D$61,COUNT($D$10:D29)-7):D29))</x:f>
      </x:c>
      <x:c r="H29" s="141" t="str">
        <x:f>IF(COUNT($D$10:D29)&lt;16,"",SUM(INDEX($D$10:$D$61,COUNT($D$10:D29)-15):D29))</x:f>
      </x:c>
      <x:c r="I29" s="141" t="str">
        <x:f>IF(COUNT($D$10:D29)&lt;32,"",SUM(INDEX($D$10:$D$61,COUNT($D$10:D29)-31):D29))</x:f>
      </x:c>
      <x:c r="J29" s="141" t="str">
        <x:f>IF(COUNT($D$10:D29)&lt;52,"",SUM(INDEX($D$10:$D$61,COUNT($D$10:D29)-51):D29))</x:f>
      </x:c>
      <x:c r="K29" s="101" t="str">
        <x:f>IF(A29="","",IF(C29&lt;=B29,"Dans les clous",IF((C29-B29)/B29&lt;0.05,"Écart faible",IF((C29-B29)/B29&lt;0.15,"Vigilance","Alerte forte"))))</x:f>
      </x:c>
    </x:row>
    <x:row r="30">
      <x:c r="A30" s="127"/>
      <x:c r="B30" s="130"/>
      <x:c r="C30" s="140"/>
      <x:c r="D30" s="141" t="str">
        <x:f>IF(A30="","",B30-C30)</x:f>
      </x:c>
      <x:c r="E30" s="104" t="str">
        <x:f>IF(OR(A30="",B30=0),"",D30/B30)</x:f>
      </x:c>
      <x:c r="F30" s="141" t="str">
        <x:f>IF(COUNT($D$10:D30)&lt;4,"",SUM(INDEX($D$10:$D$61,COUNT($D$10:D30)-3):D30))</x:f>
      </x:c>
      <x:c r="G30" s="141" t="str">
        <x:f>IF(COUNT($D$10:D30)&lt;8,"",SUM(INDEX($D$10:$D$61,COUNT($D$10:D30)-7):D30))</x:f>
      </x:c>
      <x:c r="H30" s="141" t="str">
        <x:f>IF(COUNT($D$10:D30)&lt;16,"",SUM(INDEX($D$10:$D$61,COUNT($D$10:D30)-15):D30))</x:f>
      </x:c>
      <x:c r="I30" s="141" t="str">
        <x:f>IF(COUNT($D$10:D30)&lt;32,"",SUM(INDEX($D$10:$D$61,COUNT($D$10:D30)-31):D30))</x:f>
      </x:c>
      <x:c r="J30" s="141" t="str">
        <x:f>IF(COUNT($D$10:D30)&lt;52,"",SUM(INDEX($D$10:$D$61,COUNT($D$10:D30)-51):D30))</x:f>
      </x:c>
      <x:c r="K30" s="101" t="str">
        <x:f>IF(A30="","",IF(C30&lt;=B30,"Dans les clous",IF((C30-B30)/B30&lt;0.05,"Écart faible",IF((C30-B30)/B30&lt;0.15,"Vigilance","Alerte forte"))))</x:f>
      </x:c>
    </x:row>
    <x:row r="31">
      <x:c r="A31" s="127"/>
      <x:c r="B31" s="130"/>
      <x:c r="C31" s="140"/>
      <x:c r="D31" s="141" t="str">
        <x:f>IF(A31="","",B31-C31)</x:f>
      </x:c>
      <x:c r="E31" s="104" t="str">
        <x:f>IF(OR(A31="",B31=0),"",D31/B31)</x:f>
      </x:c>
      <x:c r="F31" s="141" t="str">
        <x:f>IF(COUNT($D$10:D31)&lt;4,"",SUM(INDEX($D$10:$D$61,COUNT($D$10:D31)-3):D31))</x:f>
      </x:c>
      <x:c r="G31" s="141" t="str">
        <x:f>IF(COUNT($D$10:D31)&lt;8,"",SUM(INDEX($D$10:$D$61,COUNT($D$10:D31)-7):D31))</x:f>
      </x:c>
      <x:c r="H31" s="141" t="str">
        <x:f>IF(COUNT($D$10:D31)&lt;16,"",SUM(INDEX($D$10:$D$61,COUNT($D$10:D31)-15):D31))</x:f>
      </x:c>
      <x:c r="I31" s="141" t="str">
        <x:f>IF(COUNT($D$10:D31)&lt;32,"",SUM(INDEX($D$10:$D$61,COUNT($D$10:D31)-31):D31))</x:f>
      </x:c>
      <x:c r="J31" s="141" t="str">
        <x:f>IF(COUNT($D$10:D31)&lt;52,"",SUM(INDEX($D$10:$D$61,COUNT($D$10:D31)-51):D31))</x:f>
      </x:c>
      <x:c r="K31" s="101" t="str">
        <x:f>IF(A31="","",IF(C31&lt;=B31,"Dans les clous",IF((C31-B31)/B31&lt;0.05,"Écart faible",IF((C31-B31)/B31&lt;0.15,"Vigilance","Alerte forte"))))</x:f>
      </x:c>
    </x:row>
    <x:row r="32">
      <x:c r="A32" s="127"/>
      <x:c r="B32" s="130"/>
      <x:c r="C32" s="140"/>
      <x:c r="D32" s="141" t="str">
        <x:f>IF(A32="","",B32-C32)</x:f>
      </x:c>
      <x:c r="E32" s="104" t="str">
        <x:f>IF(OR(A32="",B32=0),"",D32/B32)</x:f>
      </x:c>
      <x:c r="F32" s="141" t="str">
        <x:f>IF(COUNT($D$10:D32)&lt;4,"",SUM(INDEX($D$10:$D$61,COUNT($D$10:D32)-3):D32))</x:f>
      </x:c>
      <x:c r="G32" s="141" t="str">
        <x:f>IF(COUNT($D$10:D32)&lt;8,"",SUM(INDEX($D$10:$D$61,COUNT($D$10:D32)-7):D32))</x:f>
      </x:c>
      <x:c r="H32" s="141" t="str">
        <x:f>IF(COUNT($D$10:D32)&lt;16,"",SUM(INDEX($D$10:$D$61,COUNT($D$10:D32)-15):D32))</x:f>
      </x:c>
      <x:c r="I32" s="141" t="str">
        <x:f>IF(COUNT($D$10:D32)&lt;32,"",SUM(INDEX($D$10:$D$61,COUNT($D$10:D32)-31):D32))</x:f>
      </x:c>
      <x:c r="J32" s="141" t="str">
        <x:f>IF(COUNT($D$10:D32)&lt;52,"",SUM(INDEX($D$10:$D$61,COUNT($D$10:D32)-51):D32))</x:f>
      </x:c>
      <x:c r="K32" s="101" t="str">
        <x:f>IF(A32="","",IF(C32&lt;=B32,"Dans les clous",IF((C32-B32)/B32&lt;0.05,"Écart faible",IF((C32-B32)/B32&lt;0.15,"Vigilance","Alerte forte"))))</x:f>
      </x:c>
    </x:row>
    <x:row r="33">
      <x:c r="A33" s="127"/>
      <x:c r="B33" s="130"/>
      <x:c r="C33" s="140"/>
      <x:c r="D33" s="141" t="str">
        <x:f>IF(A33="","",B33-C33)</x:f>
      </x:c>
      <x:c r="E33" s="104" t="str">
        <x:f>IF(OR(A33="",B33=0),"",D33/B33)</x:f>
      </x:c>
      <x:c r="F33" s="141" t="str">
        <x:f>IF(COUNT($D$10:D33)&lt;4,"",SUM(INDEX($D$10:$D$61,COUNT($D$10:D33)-3):D33))</x:f>
      </x:c>
      <x:c r="G33" s="141" t="str">
        <x:f>IF(COUNT($D$10:D33)&lt;8,"",SUM(INDEX($D$10:$D$61,COUNT($D$10:D33)-7):D33))</x:f>
      </x:c>
      <x:c r="H33" s="141" t="str">
        <x:f>IF(COUNT($D$10:D33)&lt;16,"",SUM(INDEX($D$10:$D$61,COUNT($D$10:D33)-15):D33))</x:f>
      </x:c>
      <x:c r="I33" s="141" t="str">
        <x:f>IF(COUNT($D$10:D33)&lt;32,"",SUM(INDEX($D$10:$D$61,COUNT($D$10:D33)-31):D33))</x:f>
      </x:c>
      <x:c r="J33" s="141" t="str">
        <x:f>IF(COUNT($D$10:D33)&lt;52,"",SUM(INDEX($D$10:$D$61,COUNT($D$10:D33)-51):D33))</x:f>
      </x:c>
      <x:c r="K33" s="101" t="str">
        <x:f>IF(A33="","",IF(C33&lt;=B33,"Dans les clous",IF((C33-B33)/B33&lt;0.05,"Écart faible",IF((C33-B33)/B33&lt;0.15,"Vigilance","Alerte forte"))))</x:f>
      </x:c>
    </x:row>
    <x:row r="34">
      <x:c r="A34" s="127"/>
      <x:c r="B34" s="130"/>
      <x:c r="C34" s="140"/>
      <x:c r="D34" s="141" t="str">
        <x:f>IF(A34="","",B34-C34)</x:f>
      </x:c>
      <x:c r="E34" s="104" t="str">
        <x:f>IF(OR(A34="",B34=0),"",D34/B34)</x:f>
      </x:c>
      <x:c r="F34" s="141" t="str">
        <x:f>IF(COUNT($D$10:D34)&lt;4,"",SUM(INDEX($D$10:$D$61,COUNT($D$10:D34)-3):D34))</x:f>
      </x:c>
      <x:c r="G34" s="141" t="str">
        <x:f>IF(COUNT($D$10:D34)&lt;8,"",SUM(INDEX($D$10:$D$61,COUNT($D$10:D34)-7):D34))</x:f>
      </x:c>
      <x:c r="H34" s="141" t="str">
        <x:f>IF(COUNT($D$10:D34)&lt;16,"",SUM(INDEX($D$10:$D$61,COUNT($D$10:D34)-15):D34))</x:f>
      </x:c>
      <x:c r="I34" s="141" t="str">
        <x:f>IF(COUNT($D$10:D34)&lt;32,"",SUM(INDEX($D$10:$D$61,COUNT($D$10:D34)-31):D34))</x:f>
      </x:c>
      <x:c r="J34" s="141" t="str">
        <x:f>IF(COUNT($D$10:D34)&lt;52,"",SUM(INDEX($D$10:$D$61,COUNT($D$10:D34)-51):D34))</x:f>
      </x:c>
      <x:c r="K34" s="101" t="str">
        <x:f>IF(A34="","",IF(C34&lt;=B34,"Dans les clous",IF((C34-B34)/B34&lt;0.05,"Écart faible",IF((C34-B34)/B34&lt;0.15,"Vigilance","Alerte forte"))))</x:f>
      </x:c>
    </x:row>
    <x:row r="35">
      <x:c r="A35" s="127"/>
      <x:c r="B35" s="130"/>
      <x:c r="C35" s="140"/>
      <x:c r="D35" s="141" t="str">
        <x:f>IF(A35="","",B35-C35)</x:f>
      </x:c>
      <x:c r="E35" s="104" t="str">
        <x:f>IF(OR(A35="",B35=0),"",D35/B35)</x:f>
      </x:c>
      <x:c r="F35" s="141" t="str">
        <x:f>IF(COUNT($D$10:D35)&lt;4,"",SUM(INDEX($D$10:$D$61,COUNT($D$10:D35)-3):D35))</x:f>
      </x:c>
      <x:c r="G35" s="141" t="str">
        <x:f>IF(COUNT($D$10:D35)&lt;8,"",SUM(INDEX($D$10:$D$61,COUNT($D$10:D35)-7):D35))</x:f>
      </x:c>
      <x:c r="H35" s="141" t="str">
        <x:f>IF(COUNT($D$10:D35)&lt;16,"",SUM(INDEX($D$10:$D$61,COUNT($D$10:D35)-15):D35))</x:f>
      </x:c>
      <x:c r="I35" s="141" t="str">
        <x:f>IF(COUNT($D$10:D35)&lt;32,"",SUM(INDEX($D$10:$D$61,COUNT($D$10:D35)-31):D35))</x:f>
      </x:c>
      <x:c r="J35" s="141" t="str">
        <x:f>IF(COUNT($D$10:D35)&lt;52,"",SUM(INDEX($D$10:$D$61,COUNT($D$10:D35)-51):D35))</x:f>
      </x:c>
      <x:c r="K35" s="101" t="str">
        <x:f>IF(A35="","",IF(C35&lt;=B35,"Dans les clous",IF((C35-B35)/B35&lt;0.05,"Écart faible",IF((C35-B35)/B35&lt;0.15,"Vigilance","Alerte forte"))))</x:f>
      </x:c>
    </x:row>
    <x:row r="36">
      <x:c r="A36" s="127"/>
      <x:c r="B36" s="130"/>
      <x:c r="C36" s="140"/>
      <x:c r="D36" s="141" t="str">
        <x:f>IF(A36="","",B36-C36)</x:f>
      </x:c>
      <x:c r="E36" s="104" t="str">
        <x:f>IF(OR(A36="",B36=0),"",D36/B36)</x:f>
      </x:c>
      <x:c r="F36" s="141" t="str">
        <x:f>IF(COUNT($D$10:D36)&lt;4,"",SUM(INDEX($D$10:$D$61,COUNT($D$10:D36)-3):D36))</x:f>
      </x:c>
      <x:c r="G36" s="141" t="str">
        <x:f>IF(COUNT($D$10:D36)&lt;8,"",SUM(INDEX($D$10:$D$61,COUNT($D$10:D36)-7):D36))</x:f>
      </x:c>
      <x:c r="H36" s="141" t="str">
        <x:f>IF(COUNT($D$10:D36)&lt;16,"",SUM(INDEX($D$10:$D$61,COUNT($D$10:D36)-15):D36))</x:f>
      </x:c>
      <x:c r="I36" s="141" t="str">
        <x:f>IF(COUNT($D$10:D36)&lt;32,"",SUM(INDEX($D$10:$D$61,COUNT($D$10:D36)-31):D36))</x:f>
      </x:c>
      <x:c r="J36" s="141" t="str">
        <x:f>IF(COUNT($D$10:D36)&lt;52,"",SUM(INDEX($D$10:$D$61,COUNT($D$10:D36)-51):D36))</x:f>
      </x:c>
      <x:c r="K36" s="101" t="str">
        <x:f>IF(A36="","",IF(C36&lt;=B36,"Dans les clous",IF((C36-B36)/B36&lt;0.05,"Écart faible",IF((C36-B36)/B36&lt;0.15,"Vigilance","Alerte forte"))))</x:f>
      </x:c>
    </x:row>
    <x:row r="37">
      <x:c r="A37" s="127"/>
      <x:c r="B37" s="130"/>
      <x:c r="C37" s="140"/>
      <x:c r="D37" s="141" t="str">
        <x:f>IF(A37="","",B37-C37)</x:f>
      </x:c>
      <x:c r="E37" s="104" t="str">
        <x:f>IF(OR(A37="",B37=0),"",D37/B37)</x:f>
      </x:c>
      <x:c r="F37" s="141" t="str">
        <x:f>IF(COUNT($D$10:D37)&lt;4,"",SUM(INDEX($D$10:$D$61,COUNT($D$10:D37)-3):D37))</x:f>
      </x:c>
      <x:c r="G37" s="141" t="str">
        <x:f>IF(COUNT($D$10:D37)&lt;8,"",SUM(INDEX($D$10:$D$61,COUNT($D$10:D37)-7):D37))</x:f>
      </x:c>
      <x:c r="H37" s="141" t="str">
        <x:f>IF(COUNT($D$10:D37)&lt;16,"",SUM(INDEX($D$10:$D$61,COUNT($D$10:D37)-15):D37))</x:f>
      </x:c>
      <x:c r="I37" s="141" t="str">
        <x:f>IF(COUNT($D$10:D37)&lt;32,"",SUM(INDEX($D$10:$D$61,COUNT($D$10:D37)-31):D37))</x:f>
      </x:c>
      <x:c r="J37" s="141" t="str">
        <x:f>IF(COUNT($D$10:D37)&lt;52,"",SUM(INDEX($D$10:$D$61,COUNT($D$10:D37)-51):D37))</x:f>
      </x:c>
      <x:c r="K37" s="101" t="str">
        <x:f>IF(A37="","",IF(C37&lt;=B37,"Dans les clous",IF((C37-B37)/B37&lt;0.05,"Écart faible",IF((C37-B37)/B37&lt;0.15,"Vigilance","Alerte forte"))))</x:f>
      </x:c>
    </x:row>
    <x:row r="38">
      <x:c r="A38" s="127"/>
      <x:c r="B38" s="130"/>
      <x:c r="C38" s="140"/>
      <x:c r="D38" s="141" t="str">
        <x:f>IF(A38="","",B38-C38)</x:f>
      </x:c>
      <x:c r="E38" s="104" t="str">
        <x:f>IF(OR(A38="",B38=0),"",D38/B38)</x:f>
      </x:c>
      <x:c r="F38" s="141" t="str">
        <x:f>IF(COUNT($D$10:D38)&lt;4,"",SUM(INDEX($D$10:$D$61,COUNT($D$10:D38)-3):D38))</x:f>
      </x:c>
      <x:c r="G38" s="141" t="str">
        <x:f>IF(COUNT($D$10:D38)&lt;8,"",SUM(INDEX($D$10:$D$61,COUNT($D$10:D38)-7):D38))</x:f>
      </x:c>
      <x:c r="H38" s="141" t="str">
        <x:f>IF(COUNT($D$10:D38)&lt;16,"",SUM(INDEX($D$10:$D$61,COUNT($D$10:D38)-15):D38))</x:f>
      </x:c>
      <x:c r="I38" s="141" t="str">
        <x:f>IF(COUNT($D$10:D38)&lt;32,"",SUM(INDEX($D$10:$D$61,COUNT($D$10:D38)-31):D38))</x:f>
      </x:c>
      <x:c r="J38" s="141" t="str">
        <x:f>IF(COUNT($D$10:D38)&lt;52,"",SUM(INDEX($D$10:$D$61,COUNT($D$10:D38)-51):D38))</x:f>
      </x:c>
      <x:c r="K38" s="101" t="str">
        <x:f>IF(A38="","",IF(C38&lt;=B38,"Dans les clous",IF((C38-B38)/B38&lt;0.05,"Écart faible",IF((C38-B38)/B38&lt;0.15,"Vigilance","Alerte forte"))))</x:f>
      </x:c>
    </x:row>
    <x:row r="39">
      <x:c r="A39" s="127"/>
      <x:c r="B39" s="130"/>
      <x:c r="C39" s="140"/>
      <x:c r="D39" s="141" t="str">
        <x:f>IF(A39="","",B39-C39)</x:f>
      </x:c>
      <x:c r="E39" s="104" t="str">
        <x:f>IF(OR(A39="",B39=0),"",D39/B39)</x:f>
      </x:c>
      <x:c r="F39" s="141" t="str">
        <x:f>IF(COUNT($D$10:D39)&lt;4,"",SUM(INDEX($D$10:$D$61,COUNT($D$10:D39)-3):D39))</x:f>
      </x:c>
      <x:c r="G39" s="141" t="str">
        <x:f>IF(COUNT($D$10:D39)&lt;8,"",SUM(INDEX($D$10:$D$61,COUNT($D$10:D39)-7):D39))</x:f>
      </x:c>
      <x:c r="H39" s="141" t="str">
        <x:f>IF(COUNT($D$10:D39)&lt;16,"",SUM(INDEX($D$10:$D$61,COUNT($D$10:D39)-15):D39))</x:f>
      </x:c>
      <x:c r="I39" s="141" t="str">
        <x:f>IF(COUNT($D$10:D39)&lt;32,"",SUM(INDEX($D$10:$D$61,COUNT($D$10:D39)-31):D39))</x:f>
      </x:c>
      <x:c r="J39" s="141" t="str">
        <x:f>IF(COUNT($D$10:D39)&lt;52,"",SUM(INDEX($D$10:$D$61,COUNT($D$10:D39)-51):D39))</x:f>
      </x:c>
      <x:c r="K39" s="101" t="str">
        <x:f>IF(A39="","",IF(C39&lt;=B39,"Dans les clous",IF((C39-B39)/B39&lt;0.05,"Écart faible",IF((C39-B39)/B39&lt;0.15,"Vigilance","Alerte forte"))))</x:f>
      </x:c>
    </x:row>
    <x:row r="40">
      <x:c r="A40" s="127"/>
      <x:c r="B40" s="130"/>
      <x:c r="C40" s="140"/>
      <x:c r="D40" s="141" t="str">
        <x:f>IF(A40="","",B40-C40)</x:f>
      </x:c>
      <x:c r="E40" s="104" t="str">
        <x:f>IF(OR(A40="",B40=0),"",D40/B40)</x:f>
      </x:c>
      <x:c r="F40" s="141" t="str">
        <x:f>IF(COUNT($D$10:D40)&lt;4,"",SUM(INDEX($D$10:$D$61,COUNT($D$10:D40)-3):D40))</x:f>
      </x:c>
      <x:c r="G40" s="141" t="str">
        <x:f>IF(COUNT($D$10:D40)&lt;8,"",SUM(INDEX($D$10:$D$61,COUNT($D$10:D40)-7):D40))</x:f>
      </x:c>
      <x:c r="H40" s="141" t="str">
        <x:f>IF(COUNT($D$10:D40)&lt;16,"",SUM(INDEX($D$10:$D$61,COUNT($D$10:D40)-15):D40))</x:f>
      </x:c>
      <x:c r="I40" s="141" t="str">
        <x:f>IF(COUNT($D$10:D40)&lt;32,"",SUM(INDEX($D$10:$D$61,COUNT($D$10:D40)-31):D40))</x:f>
      </x:c>
      <x:c r="J40" s="141" t="str">
        <x:f>IF(COUNT($D$10:D40)&lt;52,"",SUM(INDEX($D$10:$D$61,COUNT($D$10:D40)-51):D40))</x:f>
      </x:c>
      <x:c r="K40" s="101" t="str">
        <x:f>IF(A40="","",IF(C40&lt;=B40,"Dans les clous",IF((C40-B40)/B40&lt;0.05,"Écart faible",IF((C40-B40)/B40&lt;0.15,"Vigilance","Alerte forte"))))</x:f>
      </x:c>
    </x:row>
    <x:row r="41">
      <x:c r="A41" s="127"/>
      <x:c r="B41" s="130"/>
      <x:c r="C41" s="140"/>
      <x:c r="D41" s="141" t="str">
        <x:f>IF(A41="","",B41-C41)</x:f>
      </x:c>
      <x:c r="E41" s="104" t="str">
        <x:f>IF(OR(A41="",B41=0),"",D41/B41)</x:f>
      </x:c>
      <x:c r="F41" s="141" t="str">
        <x:f>IF(COUNT($D$10:D41)&lt;4,"",SUM(INDEX($D$10:$D$61,COUNT($D$10:D41)-3):D41))</x:f>
      </x:c>
      <x:c r="G41" s="141" t="str">
        <x:f>IF(COUNT($D$10:D41)&lt;8,"",SUM(INDEX($D$10:$D$61,COUNT($D$10:D41)-7):D41))</x:f>
      </x:c>
      <x:c r="H41" s="141" t="str">
        <x:f>IF(COUNT($D$10:D41)&lt;16,"",SUM(INDEX($D$10:$D$61,COUNT($D$10:D41)-15):D41))</x:f>
      </x:c>
      <x:c r="I41" s="141" t="str">
        <x:f>IF(COUNT($D$10:D41)&lt;32,"",SUM(INDEX($D$10:$D$61,COUNT($D$10:D41)-31):D41))</x:f>
      </x:c>
      <x:c r="J41" s="141" t="str">
        <x:f>IF(COUNT($D$10:D41)&lt;52,"",SUM(INDEX($D$10:$D$61,COUNT($D$10:D41)-51):D41))</x:f>
      </x:c>
      <x:c r="K41" s="101" t="str">
        <x:f>IF(A41="","",IF(C41&lt;=B41,"Dans les clous",IF((C41-B41)/B41&lt;0.05,"Écart faible",IF((C41-B41)/B41&lt;0.15,"Vigilance","Alerte forte"))))</x:f>
      </x:c>
    </x:row>
    <x:row r="42">
      <x:c r="A42" s="127"/>
      <x:c r="B42" s="130"/>
      <x:c r="C42" s="140"/>
      <x:c r="D42" s="141" t="str">
        <x:f>IF(A42="","",B42-C42)</x:f>
      </x:c>
      <x:c r="E42" s="104" t="str">
        <x:f>IF(OR(A42="",B42=0),"",D42/B42)</x:f>
      </x:c>
      <x:c r="F42" s="141" t="str">
        <x:f>IF(COUNT($D$10:D42)&lt;4,"",SUM(INDEX($D$10:$D$61,COUNT($D$10:D42)-3):D42))</x:f>
      </x:c>
      <x:c r="G42" s="141" t="str">
        <x:f>IF(COUNT($D$10:D42)&lt;8,"",SUM(INDEX($D$10:$D$61,COUNT($D$10:D42)-7):D42))</x:f>
      </x:c>
      <x:c r="H42" s="141" t="str">
        <x:f>IF(COUNT($D$10:D42)&lt;16,"",SUM(INDEX($D$10:$D$61,COUNT($D$10:D42)-15):D42))</x:f>
      </x:c>
      <x:c r="I42" s="141" t="str">
        <x:f>IF(COUNT($D$10:D42)&lt;32,"",SUM(INDEX($D$10:$D$61,COUNT($D$10:D42)-31):D42))</x:f>
      </x:c>
      <x:c r="J42" s="141" t="str">
        <x:f>IF(COUNT($D$10:D42)&lt;52,"",SUM(INDEX($D$10:$D$61,COUNT($D$10:D42)-51):D42))</x:f>
      </x:c>
      <x:c r="K42" s="101" t="str">
        <x:f>IF(A42="","",IF(C42&lt;=B42,"Dans les clous",IF((C42-B42)/B42&lt;0.05,"Écart faible",IF((C42-B42)/B42&lt;0.15,"Vigilance","Alerte forte"))))</x:f>
      </x:c>
    </x:row>
    <x:row r="43">
      <x:c r="A43" s="127"/>
      <x:c r="B43" s="130"/>
      <x:c r="C43" s="140"/>
      <x:c r="D43" s="141" t="str">
        <x:f>IF(A43="","",B43-C43)</x:f>
      </x:c>
      <x:c r="E43" s="104" t="str">
        <x:f>IF(OR(A43="",B43=0),"",D43/B43)</x:f>
      </x:c>
      <x:c r="F43" s="141" t="str">
        <x:f>IF(COUNT($D$10:D43)&lt;4,"",SUM(INDEX($D$10:$D$61,COUNT($D$10:D43)-3):D43))</x:f>
      </x:c>
      <x:c r="G43" s="141" t="str">
        <x:f>IF(COUNT($D$10:D43)&lt;8,"",SUM(INDEX($D$10:$D$61,COUNT($D$10:D43)-7):D43))</x:f>
      </x:c>
      <x:c r="H43" s="141" t="str">
        <x:f>IF(COUNT($D$10:D43)&lt;16,"",SUM(INDEX($D$10:$D$61,COUNT($D$10:D43)-15):D43))</x:f>
      </x:c>
      <x:c r="I43" s="141" t="str">
        <x:f>IF(COUNT($D$10:D43)&lt;32,"",SUM(INDEX($D$10:$D$61,COUNT($D$10:D43)-31):D43))</x:f>
      </x:c>
      <x:c r="J43" s="141" t="str">
        <x:f>IF(COUNT($D$10:D43)&lt;52,"",SUM(INDEX($D$10:$D$61,COUNT($D$10:D43)-51):D43))</x:f>
      </x:c>
      <x:c r="K43" s="101" t="str">
        <x:f>IF(A43="","",IF(C43&lt;=B43,"Dans les clous",IF((C43-B43)/B43&lt;0.05,"Écart faible",IF((C43-B43)/B43&lt;0.15,"Vigilance","Alerte forte"))))</x:f>
      </x:c>
    </x:row>
    <x:row r="44">
      <x:c r="A44" s="127"/>
      <x:c r="B44" s="130"/>
      <x:c r="C44" s="140"/>
      <x:c r="D44" s="141" t="str">
        <x:f>IF(A44="","",B44-C44)</x:f>
      </x:c>
      <x:c r="E44" s="104" t="str">
        <x:f>IF(OR(A44="",B44=0),"",D44/B44)</x:f>
      </x:c>
      <x:c r="F44" s="141" t="str">
        <x:f>IF(COUNT($D$10:D44)&lt;4,"",SUM(INDEX($D$10:$D$61,COUNT($D$10:D44)-3):D44))</x:f>
      </x:c>
      <x:c r="G44" s="141" t="str">
        <x:f>IF(COUNT($D$10:D44)&lt;8,"",SUM(INDEX($D$10:$D$61,COUNT($D$10:D44)-7):D44))</x:f>
      </x:c>
      <x:c r="H44" s="141" t="str">
        <x:f>IF(COUNT($D$10:D44)&lt;16,"",SUM(INDEX($D$10:$D$61,COUNT($D$10:D44)-15):D44))</x:f>
      </x:c>
      <x:c r="I44" s="141" t="str">
        <x:f>IF(COUNT($D$10:D44)&lt;32,"",SUM(INDEX($D$10:$D$61,COUNT($D$10:D44)-31):D44))</x:f>
      </x:c>
      <x:c r="J44" s="141" t="str">
        <x:f>IF(COUNT($D$10:D44)&lt;52,"",SUM(INDEX($D$10:$D$61,COUNT($D$10:D44)-51):D44))</x:f>
      </x:c>
      <x:c r="K44" s="101" t="str">
        <x:f>IF(A44="","",IF(C44&lt;=B44,"Dans les clous",IF((C44-B44)/B44&lt;0.05,"Écart faible",IF((C44-B44)/B44&lt;0.15,"Vigilance","Alerte forte"))))</x:f>
      </x:c>
    </x:row>
    <x:row r="45">
      <x:c r="A45" s="127"/>
      <x:c r="B45" s="130"/>
      <x:c r="C45" s="140"/>
      <x:c r="D45" s="141" t="str">
        <x:f>IF(A45="","",B45-C45)</x:f>
      </x:c>
      <x:c r="E45" s="104" t="str">
        <x:f>IF(OR(A45="",B45=0),"",D45/B45)</x:f>
      </x:c>
      <x:c r="F45" s="141" t="str">
        <x:f>IF(COUNT($D$10:D45)&lt;4,"",SUM(INDEX($D$10:$D$61,COUNT($D$10:D45)-3):D45))</x:f>
      </x:c>
      <x:c r="G45" s="141" t="str">
        <x:f>IF(COUNT($D$10:D45)&lt;8,"",SUM(INDEX($D$10:$D$61,COUNT($D$10:D45)-7):D45))</x:f>
      </x:c>
      <x:c r="H45" s="141" t="str">
        <x:f>IF(COUNT($D$10:D45)&lt;16,"",SUM(INDEX($D$10:$D$61,COUNT($D$10:D45)-15):D45))</x:f>
      </x:c>
      <x:c r="I45" s="141" t="str">
        <x:f>IF(COUNT($D$10:D45)&lt;32,"",SUM(INDEX($D$10:$D$61,COUNT($D$10:D45)-31):D45))</x:f>
      </x:c>
      <x:c r="J45" s="141" t="str">
        <x:f>IF(COUNT($D$10:D45)&lt;52,"",SUM(INDEX($D$10:$D$61,COUNT($D$10:D45)-51):D45))</x:f>
      </x:c>
      <x:c r="K45" s="101" t="str">
        <x:f>IF(A45="","",IF(C45&lt;=B45,"Dans les clous",IF((C45-B45)/B45&lt;0.05,"Écart faible",IF((C45-B45)/B45&lt;0.15,"Vigilance","Alerte forte"))))</x:f>
      </x:c>
    </x:row>
    <x:row r="46">
      <x:c r="A46" s="127"/>
      <x:c r="B46" s="130"/>
      <x:c r="C46" s="140"/>
      <x:c r="D46" s="141" t="str">
        <x:f>IF(A46="","",B46-C46)</x:f>
      </x:c>
      <x:c r="E46" s="104" t="str">
        <x:f>IF(OR(A46="",B46=0),"",D46/B46)</x:f>
      </x:c>
      <x:c r="F46" s="141" t="str">
        <x:f>IF(COUNT($D$10:D46)&lt;4,"",SUM(INDEX($D$10:$D$61,COUNT($D$10:D46)-3):D46))</x:f>
      </x:c>
      <x:c r="G46" s="141" t="str">
        <x:f>IF(COUNT($D$10:D46)&lt;8,"",SUM(INDEX($D$10:$D$61,COUNT($D$10:D46)-7):D46))</x:f>
      </x:c>
      <x:c r="H46" s="141" t="str">
        <x:f>IF(COUNT($D$10:D46)&lt;16,"",SUM(INDEX($D$10:$D$61,COUNT($D$10:D46)-15):D46))</x:f>
      </x:c>
      <x:c r="I46" s="141" t="str">
        <x:f>IF(COUNT($D$10:D46)&lt;32,"",SUM(INDEX($D$10:$D$61,COUNT($D$10:D46)-31):D46))</x:f>
      </x:c>
      <x:c r="J46" s="141" t="str">
        <x:f>IF(COUNT($D$10:D46)&lt;52,"",SUM(INDEX($D$10:$D$61,COUNT($D$10:D46)-51):D46))</x:f>
      </x:c>
      <x:c r="K46" s="101" t="str">
        <x:f>IF(A46="","",IF(C46&lt;=B46,"Dans les clous",IF((C46-B46)/B46&lt;0.05,"Écart faible",IF((C46-B46)/B46&lt;0.15,"Vigilance","Alerte forte"))))</x:f>
      </x:c>
    </x:row>
    <x:row r="47">
      <x:c r="A47" s="127"/>
      <x:c r="B47" s="130"/>
      <x:c r="C47" s="140"/>
      <x:c r="D47" s="141" t="str">
        <x:f>IF(A47="","",B47-C47)</x:f>
      </x:c>
      <x:c r="E47" s="104" t="str">
        <x:f>IF(OR(A47="",B47=0),"",D47/B47)</x:f>
      </x:c>
      <x:c r="F47" s="141" t="str">
        <x:f>IF(COUNT($D$10:D47)&lt;4,"",SUM(INDEX($D$10:$D$61,COUNT($D$10:D47)-3):D47))</x:f>
      </x:c>
      <x:c r="G47" s="141" t="str">
        <x:f>IF(COUNT($D$10:D47)&lt;8,"",SUM(INDEX($D$10:$D$61,COUNT($D$10:D47)-7):D47))</x:f>
      </x:c>
      <x:c r="H47" s="141" t="str">
        <x:f>IF(COUNT($D$10:D47)&lt;16,"",SUM(INDEX($D$10:$D$61,COUNT($D$10:D47)-15):D47))</x:f>
      </x:c>
      <x:c r="I47" s="141" t="str">
        <x:f>IF(COUNT($D$10:D47)&lt;32,"",SUM(INDEX($D$10:$D$61,COUNT($D$10:D47)-31):D47))</x:f>
      </x:c>
      <x:c r="J47" s="141" t="str">
        <x:f>IF(COUNT($D$10:D47)&lt;52,"",SUM(INDEX($D$10:$D$61,COUNT($D$10:D47)-51):D47))</x:f>
      </x:c>
      <x:c r="K47" s="101" t="str">
        <x:f>IF(A47="","",IF(C47&lt;=B47,"Dans les clous",IF((C47-B47)/B47&lt;0.05,"Écart faible",IF((C47-B47)/B47&lt;0.15,"Vigilance","Alerte forte"))))</x:f>
      </x:c>
    </x:row>
    <x:row r="48">
      <x:c r="A48" s="127"/>
      <x:c r="B48" s="130"/>
      <x:c r="C48" s="140"/>
      <x:c r="D48" s="141" t="str">
        <x:f>IF(A48="","",B48-C48)</x:f>
      </x:c>
      <x:c r="E48" s="104" t="str">
        <x:f>IF(OR(A48="",B48=0),"",D48/B48)</x:f>
      </x:c>
      <x:c r="F48" s="141" t="str">
        <x:f>IF(COUNT($D$10:D48)&lt;4,"",SUM(INDEX($D$10:$D$61,COUNT($D$10:D48)-3):D48))</x:f>
      </x:c>
      <x:c r="G48" s="141" t="str">
        <x:f>IF(COUNT($D$10:D48)&lt;8,"",SUM(INDEX($D$10:$D$61,COUNT($D$10:D48)-7):D48))</x:f>
      </x:c>
      <x:c r="H48" s="141" t="str">
        <x:f>IF(COUNT($D$10:D48)&lt;16,"",SUM(INDEX($D$10:$D$61,COUNT($D$10:D48)-15):D48))</x:f>
      </x:c>
      <x:c r="I48" s="141" t="str">
        <x:f>IF(COUNT($D$10:D48)&lt;32,"",SUM(INDEX($D$10:$D$61,COUNT($D$10:D48)-31):D48))</x:f>
      </x:c>
      <x:c r="J48" s="141" t="str">
        <x:f>IF(COUNT($D$10:D48)&lt;52,"",SUM(INDEX($D$10:$D$61,COUNT($D$10:D48)-51):D48))</x:f>
      </x:c>
      <x:c r="K48" s="101" t="str">
        <x:f>IF(A48="","",IF(C48&lt;=B48,"Dans les clous",IF((C48-B48)/B48&lt;0.05,"Écart faible",IF((C48-B48)/B48&lt;0.15,"Vigilance","Alerte forte"))))</x:f>
      </x:c>
    </x:row>
    <x:row r="49">
      <x:c r="A49" s="127"/>
      <x:c r="B49" s="130"/>
      <x:c r="C49" s="140"/>
      <x:c r="D49" s="141" t="str">
        <x:f>IF(A49="","",B49-C49)</x:f>
      </x:c>
      <x:c r="E49" s="104" t="str">
        <x:f>IF(OR(A49="",B49=0),"",D49/B49)</x:f>
      </x:c>
      <x:c r="F49" s="141" t="str">
        <x:f>IF(COUNT($D$10:D49)&lt;4,"",SUM(INDEX($D$10:$D$61,COUNT($D$10:D49)-3):D49))</x:f>
      </x:c>
      <x:c r="G49" s="141" t="str">
        <x:f>IF(COUNT($D$10:D49)&lt;8,"",SUM(INDEX($D$10:$D$61,COUNT($D$10:D49)-7):D49))</x:f>
      </x:c>
      <x:c r="H49" s="141" t="str">
        <x:f>IF(COUNT($D$10:D49)&lt;16,"",SUM(INDEX($D$10:$D$61,COUNT($D$10:D49)-15):D49))</x:f>
      </x:c>
      <x:c r="I49" s="141" t="str">
        <x:f>IF(COUNT($D$10:D49)&lt;32,"",SUM(INDEX($D$10:$D$61,COUNT($D$10:D49)-31):D49))</x:f>
      </x:c>
      <x:c r="J49" s="141" t="str">
        <x:f>IF(COUNT($D$10:D49)&lt;52,"",SUM(INDEX($D$10:$D$61,COUNT($D$10:D49)-51):D49))</x:f>
      </x:c>
      <x:c r="K49" s="101" t="str">
        <x:f>IF(A49="","",IF(C49&lt;=B49,"Dans les clous",IF((C49-B49)/B49&lt;0.05,"Écart faible",IF((C49-B49)/B49&lt;0.15,"Vigilance","Alerte forte"))))</x:f>
      </x:c>
    </x:row>
    <x:row r="50">
      <x:c r="A50" s="127"/>
      <x:c r="B50" s="130"/>
      <x:c r="C50" s="140"/>
      <x:c r="D50" s="141" t="str">
        <x:f>IF(A50="","",B50-C50)</x:f>
      </x:c>
      <x:c r="E50" s="104" t="str">
        <x:f>IF(OR(A50="",B50=0),"",D50/B50)</x:f>
      </x:c>
      <x:c r="F50" s="141" t="str">
        <x:f>IF(COUNT($D$10:D50)&lt;4,"",SUM(INDEX($D$10:$D$61,COUNT($D$10:D50)-3):D50))</x:f>
      </x:c>
      <x:c r="G50" s="141" t="str">
        <x:f>IF(COUNT($D$10:D50)&lt;8,"",SUM(INDEX($D$10:$D$61,COUNT($D$10:D50)-7):D50))</x:f>
      </x:c>
      <x:c r="H50" s="141" t="str">
        <x:f>IF(COUNT($D$10:D50)&lt;16,"",SUM(INDEX($D$10:$D$61,COUNT($D$10:D50)-15):D50))</x:f>
      </x:c>
      <x:c r="I50" s="141" t="str">
        <x:f>IF(COUNT($D$10:D50)&lt;32,"",SUM(INDEX($D$10:$D$61,COUNT($D$10:D50)-31):D50))</x:f>
      </x:c>
      <x:c r="J50" s="141" t="str">
        <x:f>IF(COUNT($D$10:D50)&lt;52,"",SUM(INDEX($D$10:$D$61,COUNT($D$10:D50)-51):D50))</x:f>
      </x:c>
      <x:c r="K50" s="101" t="str">
        <x:f>IF(A50="","",IF(C50&lt;=B50,"Dans les clous",IF((C50-B50)/B50&lt;0.05,"Écart faible",IF((C50-B50)/B50&lt;0.15,"Vigilance","Alerte forte"))))</x:f>
      </x:c>
    </x:row>
    <x:row r="51">
      <x:c r="A51" s="127"/>
      <x:c r="B51" s="130"/>
      <x:c r="C51" s="140"/>
      <x:c r="D51" s="141" t="str">
        <x:f>IF(A51="","",B51-C51)</x:f>
      </x:c>
      <x:c r="E51" s="104" t="str">
        <x:f>IF(OR(A51="",B51=0),"",D51/B51)</x:f>
      </x:c>
      <x:c r="F51" s="141" t="str">
        <x:f>IF(COUNT($D$10:D51)&lt;4,"",SUM(INDEX($D$10:$D$61,COUNT($D$10:D51)-3):D51))</x:f>
      </x:c>
      <x:c r="G51" s="141" t="str">
        <x:f>IF(COUNT($D$10:D51)&lt;8,"",SUM(INDEX($D$10:$D$61,COUNT($D$10:D51)-7):D51))</x:f>
      </x:c>
      <x:c r="H51" s="141" t="str">
        <x:f>IF(COUNT($D$10:D51)&lt;16,"",SUM(INDEX($D$10:$D$61,COUNT($D$10:D51)-15):D51))</x:f>
      </x:c>
      <x:c r="I51" s="141" t="str">
        <x:f>IF(COUNT($D$10:D51)&lt;32,"",SUM(INDEX($D$10:$D$61,COUNT($D$10:D51)-31):D51))</x:f>
      </x:c>
      <x:c r="J51" s="141" t="str">
        <x:f>IF(COUNT($D$10:D51)&lt;52,"",SUM(INDEX($D$10:$D$61,COUNT($D$10:D51)-51):D51))</x:f>
      </x:c>
      <x:c r="K51" s="101" t="str">
        <x:f>IF(A51="","",IF(C51&lt;=B51,"Dans les clous",IF((C51-B51)/B51&lt;0.05,"Écart faible",IF((C51-B51)/B51&lt;0.15,"Vigilance","Alerte forte"))))</x:f>
      </x:c>
    </x:row>
    <x:row r="52">
      <x:c r="A52" s="127"/>
      <x:c r="B52" s="130"/>
      <x:c r="C52" s="140"/>
      <x:c r="D52" s="141" t="str">
        <x:f>IF(A52="","",B52-C52)</x:f>
      </x:c>
      <x:c r="E52" s="104" t="str">
        <x:f>IF(OR(A52="",B52=0),"",D52/B52)</x:f>
      </x:c>
      <x:c r="F52" s="141" t="str">
        <x:f>IF(COUNT($D$10:D52)&lt;4,"",SUM(INDEX($D$10:$D$61,COUNT($D$10:D52)-3):D52))</x:f>
      </x:c>
      <x:c r="G52" s="141" t="str">
        <x:f>IF(COUNT($D$10:D52)&lt;8,"",SUM(INDEX($D$10:$D$61,COUNT($D$10:D52)-7):D52))</x:f>
      </x:c>
      <x:c r="H52" s="141" t="str">
        <x:f>IF(COUNT($D$10:D52)&lt;16,"",SUM(INDEX($D$10:$D$61,COUNT($D$10:D52)-15):D52))</x:f>
      </x:c>
      <x:c r="I52" s="141" t="str">
        <x:f>IF(COUNT($D$10:D52)&lt;32,"",SUM(INDEX($D$10:$D$61,COUNT($D$10:D52)-31):D52))</x:f>
      </x:c>
      <x:c r="J52" s="141" t="str">
        <x:f>IF(COUNT($D$10:D52)&lt;52,"",SUM(INDEX($D$10:$D$61,COUNT($D$10:D52)-51):D52))</x:f>
      </x:c>
      <x:c r="K52" s="101" t="str">
        <x:f>IF(A52="","",IF(C52&lt;=B52,"Dans les clous",IF((C52-B52)/B52&lt;0.05,"Écart faible",IF((C52-B52)/B52&lt;0.15,"Vigilance","Alerte forte"))))</x:f>
      </x:c>
    </x:row>
    <x:row r="53">
      <x:c r="A53" s="127"/>
      <x:c r="B53" s="130"/>
      <x:c r="C53" s="140"/>
      <x:c r="D53" s="141" t="str">
        <x:f>IF(A53="","",B53-C53)</x:f>
      </x:c>
      <x:c r="E53" s="104" t="str">
        <x:f>IF(OR(A53="",B53=0),"",D53/B53)</x:f>
      </x:c>
      <x:c r="F53" s="141" t="str">
        <x:f>IF(COUNT($D$10:D53)&lt;4,"",SUM(INDEX($D$10:$D$61,COUNT($D$10:D53)-3):D53))</x:f>
      </x:c>
      <x:c r="G53" s="141" t="str">
        <x:f>IF(COUNT($D$10:D53)&lt;8,"",SUM(INDEX($D$10:$D$61,COUNT($D$10:D53)-7):D53))</x:f>
      </x:c>
      <x:c r="H53" s="141" t="str">
        <x:f>IF(COUNT($D$10:D53)&lt;16,"",SUM(INDEX($D$10:$D$61,COUNT($D$10:D53)-15):D53))</x:f>
      </x:c>
      <x:c r="I53" s="141" t="str">
        <x:f>IF(COUNT($D$10:D53)&lt;32,"",SUM(INDEX($D$10:$D$61,COUNT($D$10:D53)-31):D53))</x:f>
      </x:c>
      <x:c r="J53" s="141" t="str">
        <x:f>IF(COUNT($D$10:D53)&lt;52,"",SUM(INDEX($D$10:$D$61,COUNT($D$10:D53)-51):D53))</x:f>
      </x:c>
      <x:c r="K53" s="101" t="str">
        <x:f>IF(A53="","",IF(C53&lt;=B53,"Dans les clous",IF((C53-B53)/B53&lt;0.05,"Écart faible",IF((C53-B53)/B53&lt;0.15,"Vigilance","Alerte forte"))))</x:f>
      </x:c>
    </x:row>
    <x:row r="54">
      <x:c r="A54" s="127"/>
      <x:c r="B54" s="130"/>
      <x:c r="C54" s="140"/>
      <x:c r="D54" s="141" t="str">
        <x:f>IF(A54="","",B54-C54)</x:f>
      </x:c>
      <x:c r="E54" s="104" t="str">
        <x:f>IF(OR(A54="",B54=0),"",D54/B54)</x:f>
      </x:c>
      <x:c r="F54" s="141" t="str">
        <x:f>IF(COUNT($D$10:D54)&lt;4,"",SUM(INDEX($D$10:$D$61,COUNT($D$10:D54)-3):D54))</x:f>
      </x:c>
      <x:c r="G54" s="141" t="str">
        <x:f>IF(COUNT($D$10:D54)&lt;8,"",SUM(INDEX($D$10:$D$61,COUNT($D$10:D54)-7):D54))</x:f>
      </x:c>
      <x:c r="H54" s="141" t="str">
        <x:f>IF(COUNT($D$10:D54)&lt;16,"",SUM(INDEX($D$10:$D$61,COUNT($D$10:D54)-15):D54))</x:f>
      </x:c>
      <x:c r="I54" s="141" t="str">
        <x:f>IF(COUNT($D$10:D54)&lt;32,"",SUM(INDEX($D$10:$D$61,COUNT($D$10:D54)-31):D54))</x:f>
      </x:c>
      <x:c r="J54" s="141" t="str">
        <x:f>IF(COUNT($D$10:D54)&lt;52,"",SUM(INDEX($D$10:$D$61,COUNT($D$10:D54)-51):D54))</x:f>
      </x:c>
      <x:c r="K54" s="101" t="str">
        <x:f>IF(A54="","",IF(C54&lt;=B54,"Dans les clous",IF((C54-B54)/B54&lt;0.05,"Écart faible",IF((C54-B54)/B54&lt;0.15,"Vigilance","Alerte forte"))))</x:f>
      </x:c>
    </x:row>
    <x:row r="55">
      <x:c r="A55" s="127"/>
      <x:c r="B55" s="130"/>
      <x:c r="C55" s="140"/>
      <x:c r="D55" s="141" t="str">
        <x:f>IF(A55="","",B55-C55)</x:f>
      </x:c>
      <x:c r="E55" s="104" t="str">
        <x:f>IF(OR(A55="",B55=0),"",D55/B55)</x:f>
      </x:c>
      <x:c r="F55" s="141" t="str">
        <x:f>IF(COUNT($D$10:D55)&lt;4,"",SUM(INDEX($D$10:$D$61,COUNT($D$10:D55)-3):D55))</x:f>
      </x:c>
      <x:c r="G55" s="141" t="str">
        <x:f>IF(COUNT($D$10:D55)&lt;8,"",SUM(INDEX($D$10:$D$61,COUNT($D$10:D55)-7):D55))</x:f>
      </x:c>
      <x:c r="H55" s="141" t="str">
        <x:f>IF(COUNT($D$10:D55)&lt;16,"",SUM(INDEX($D$10:$D$61,COUNT($D$10:D55)-15):D55))</x:f>
      </x:c>
      <x:c r="I55" s="141" t="str">
        <x:f>IF(COUNT($D$10:D55)&lt;32,"",SUM(INDEX($D$10:$D$61,COUNT($D$10:D55)-31):D55))</x:f>
      </x:c>
      <x:c r="J55" s="141" t="str">
        <x:f>IF(COUNT($D$10:D55)&lt;52,"",SUM(INDEX($D$10:$D$61,COUNT($D$10:D55)-51):D55))</x:f>
      </x:c>
      <x:c r="K55" s="101" t="str">
        <x:f>IF(A55="","",IF(C55&lt;=B55,"Dans les clous",IF((C55-B55)/B55&lt;0.05,"Écart faible",IF((C55-B55)/B55&lt;0.15,"Vigilance","Alerte forte"))))</x:f>
      </x:c>
    </x:row>
    <x:row r="56">
      <x:c r="A56" s="127"/>
      <x:c r="B56" s="130"/>
      <x:c r="C56" s="140"/>
      <x:c r="D56" s="141" t="str">
        <x:f>IF(A56="","",B56-C56)</x:f>
      </x:c>
      <x:c r="E56" s="104" t="str">
        <x:f>IF(OR(A56="",B56=0),"",D56/B56)</x:f>
      </x:c>
      <x:c r="F56" s="141" t="str">
        <x:f>IF(COUNT($D$10:D56)&lt;4,"",SUM(INDEX($D$10:$D$61,COUNT($D$10:D56)-3):D56))</x:f>
      </x:c>
      <x:c r="G56" s="141" t="str">
        <x:f>IF(COUNT($D$10:D56)&lt;8,"",SUM(INDEX($D$10:$D$61,COUNT($D$10:D56)-7):D56))</x:f>
      </x:c>
      <x:c r="H56" s="141" t="str">
        <x:f>IF(COUNT($D$10:D56)&lt;16,"",SUM(INDEX($D$10:$D$61,COUNT($D$10:D56)-15):D56))</x:f>
      </x:c>
      <x:c r="I56" s="141" t="str">
        <x:f>IF(COUNT($D$10:D56)&lt;32,"",SUM(INDEX($D$10:$D$61,COUNT($D$10:D56)-31):D56))</x:f>
      </x:c>
      <x:c r="J56" s="141" t="str">
        <x:f>IF(COUNT($D$10:D56)&lt;52,"",SUM(INDEX($D$10:$D$61,COUNT($D$10:D56)-51):D56))</x:f>
      </x:c>
      <x:c r="K56" s="101" t="str">
        <x:f>IF(A56="","",IF(C56&lt;=B56,"Dans les clous",IF((C56-B56)/B56&lt;0.05,"Écart faible",IF((C56-B56)/B56&lt;0.15,"Vigilance","Alerte forte"))))</x:f>
      </x:c>
    </x:row>
    <x:row r="57">
      <x:c r="A57" s="127"/>
      <x:c r="B57" s="130"/>
      <x:c r="C57" s="140"/>
      <x:c r="D57" s="141" t="str">
        <x:f>IF(A57="","",B57-C57)</x:f>
      </x:c>
      <x:c r="E57" s="104" t="str">
        <x:f>IF(OR(A57="",B57=0),"",D57/B57)</x:f>
      </x:c>
      <x:c r="F57" s="141" t="str">
        <x:f>IF(COUNT($D$10:D57)&lt;4,"",SUM(INDEX($D$10:$D$61,COUNT($D$10:D57)-3):D57))</x:f>
      </x:c>
      <x:c r="G57" s="141" t="str">
        <x:f>IF(COUNT($D$10:D57)&lt;8,"",SUM(INDEX($D$10:$D$61,COUNT($D$10:D57)-7):D57))</x:f>
      </x:c>
      <x:c r="H57" s="141" t="str">
        <x:f>IF(COUNT($D$10:D57)&lt;16,"",SUM(INDEX($D$10:$D$61,COUNT($D$10:D57)-15):D57))</x:f>
      </x:c>
      <x:c r="I57" s="141" t="str">
        <x:f>IF(COUNT($D$10:D57)&lt;32,"",SUM(INDEX($D$10:$D$61,COUNT($D$10:D57)-31):D57))</x:f>
      </x:c>
      <x:c r="J57" s="141" t="str">
        <x:f>IF(COUNT($D$10:D57)&lt;52,"",SUM(INDEX($D$10:$D$61,COUNT($D$10:D57)-51):D57))</x:f>
      </x:c>
      <x:c r="K57" s="101" t="str">
        <x:f>IF(A57="","",IF(C57&lt;=B57,"Dans les clous",IF((C57-B57)/B57&lt;0.05,"Écart faible",IF((C57-B57)/B57&lt;0.15,"Vigilance","Alerte forte"))))</x:f>
      </x:c>
    </x:row>
    <x:row r="58">
      <x:c r="A58" s="127"/>
      <x:c r="B58" s="130"/>
      <x:c r="C58" s="140"/>
      <x:c r="D58" s="141" t="str">
        <x:f>IF(A58="","",B58-C58)</x:f>
      </x:c>
      <x:c r="E58" s="104" t="str">
        <x:f>IF(OR(A58="",B58=0),"",D58/B58)</x:f>
      </x:c>
      <x:c r="F58" s="141" t="str">
        <x:f>IF(COUNT($D$10:D58)&lt;4,"",SUM(INDEX($D$10:$D$61,COUNT($D$10:D58)-3):D58))</x:f>
      </x:c>
      <x:c r="G58" s="141" t="str">
        <x:f>IF(COUNT($D$10:D58)&lt;8,"",SUM(INDEX($D$10:$D$61,COUNT($D$10:D58)-7):D58))</x:f>
      </x:c>
      <x:c r="H58" s="141" t="str">
        <x:f>IF(COUNT($D$10:D58)&lt;16,"",SUM(INDEX($D$10:$D$61,COUNT($D$10:D58)-15):D58))</x:f>
      </x:c>
      <x:c r="I58" s="141" t="str">
        <x:f>IF(COUNT($D$10:D58)&lt;32,"",SUM(INDEX($D$10:$D$61,COUNT($D$10:D58)-31):D58))</x:f>
      </x:c>
      <x:c r="J58" s="141" t="str">
        <x:f>IF(COUNT($D$10:D58)&lt;52,"",SUM(INDEX($D$10:$D$61,COUNT($D$10:D58)-51):D58))</x:f>
      </x:c>
      <x:c r="K58" s="101" t="str">
        <x:f>IF(A58="","",IF(C58&lt;=B58,"Dans les clous",IF((C58-B58)/B58&lt;0.05,"Écart faible",IF((C58-B58)/B58&lt;0.15,"Vigilance","Alerte forte"))))</x:f>
      </x:c>
    </x:row>
    <x:row r="59">
      <x:c r="A59" s="127"/>
      <x:c r="B59" s="130"/>
      <x:c r="C59" s="140"/>
      <x:c r="D59" s="141" t="str">
        <x:f>IF(A59="","",B59-C59)</x:f>
      </x:c>
      <x:c r="E59" s="104" t="str">
        <x:f>IF(OR(A59="",B59=0),"",D59/B59)</x:f>
      </x:c>
      <x:c r="F59" s="141" t="str">
        <x:f>IF(COUNT($D$10:D59)&lt;4,"",SUM(INDEX($D$10:$D$61,COUNT($D$10:D59)-3):D59))</x:f>
      </x:c>
      <x:c r="G59" s="141" t="str">
        <x:f>IF(COUNT($D$10:D59)&lt;8,"",SUM(INDEX($D$10:$D$61,COUNT($D$10:D59)-7):D59))</x:f>
      </x:c>
      <x:c r="H59" s="141" t="str">
        <x:f>IF(COUNT($D$10:D59)&lt;16,"",SUM(INDEX($D$10:$D$61,COUNT($D$10:D59)-15):D59))</x:f>
      </x:c>
      <x:c r="I59" s="141" t="str">
        <x:f>IF(COUNT($D$10:D59)&lt;32,"",SUM(INDEX($D$10:$D$61,COUNT($D$10:D59)-31):D59))</x:f>
      </x:c>
      <x:c r="J59" s="141" t="str">
        <x:f>IF(COUNT($D$10:D59)&lt;52,"",SUM(INDEX($D$10:$D$61,COUNT($D$10:D59)-51):D59))</x:f>
      </x:c>
      <x:c r="K59" s="101" t="str">
        <x:f>IF(A59="","",IF(C59&lt;=B59,"Dans les clous",IF((C59-B59)/B59&lt;0.05,"Écart faible",IF((C59-B59)/B59&lt;0.15,"Vigilance","Alerte forte"))))</x:f>
      </x:c>
    </x:row>
    <x:row r="60">
      <x:c r="A60" s="127"/>
      <x:c r="B60" s="130"/>
      <x:c r="C60" s="140"/>
      <x:c r="D60" s="141" t="str">
        <x:f>IF(A60="","",B60-C60)</x:f>
      </x:c>
      <x:c r="E60" s="104" t="str">
        <x:f>IF(OR(A60="",B60=0),"",D60/B60)</x:f>
      </x:c>
      <x:c r="F60" s="141" t="str">
        <x:f>IF(COUNT($D$10:D60)&lt;4,"",SUM(INDEX($D$10:$D$61,COUNT($D$10:D60)-3):D60))</x:f>
      </x:c>
      <x:c r="G60" s="141" t="str">
        <x:f>IF(COUNT($D$10:D60)&lt;8,"",SUM(INDEX($D$10:$D$61,COUNT($D$10:D60)-7):D60))</x:f>
      </x:c>
      <x:c r="H60" s="141" t="str">
        <x:f>IF(COUNT($D$10:D60)&lt;16,"",SUM(INDEX($D$10:$D$61,COUNT($D$10:D60)-15):D60))</x:f>
      </x:c>
      <x:c r="I60" s="141" t="str">
        <x:f>IF(COUNT($D$10:D60)&lt;32,"",SUM(INDEX($D$10:$D$61,COUNT($D$10:D60)-31):D60))</x:f>
      </x:c>
      <x:c r="J60" s="141" t="str">
        <x:f>IF(COUNT($D$10:D60)&lt;52,"",SUM(INDEX($D$10:$D$61,COUNT($D$10:D60)-51):D60))</x:f>
      </x:c>
      <x:c r="K60" s="101" t="str">
        <x:f>IF(A60="","",IF(C60&lt;=B60,"Dans les clous",IF((C60-B60)/B60&lt;0.05,"Écart faible",IF((C60-B60)/B60&lt;0.15,"Vigilance","Alerte forte"))))</x:f>
      </x:c>
    </x:row>
    <x:row r="61">
      <x:c r="A61" s="128"/>
      <x:c r="B61" s="131"/>
      <x:c r="C61" s="142"/>
      <x:c r="D61" s="143" t="str">
        <x:f>IF(A61="","",B61-C61)</x:f>
      </x:c>
      <x:c r="E61" s="108" t="str">
        <x:f>IF(OR(A61="",B61=0),"",D61/B61)</x:f>
      </x:c>
      <x:c r="F61" s="143" t="str">
        <x:f>IF(COUNT($D$10:D61)&lt;4,"",SUM(INDEX($D$10:$D$61,COUNT($D$10:D61)-3):D61))</x:f>
      </x:c>
      <x:c r="G61" s="143" t="str">
        <x:f>IF(COUNT($D$10:D61)&lt;8,"",SUM(INDEX($D$10:$D$61,COUNT($D$10:D61)-7):D61))</x:f>
      </x:c>
      <x:c r="H61" s="143" t="str">
        <x:f>IF(COUNT($D$10:D61)&lt;16,"",SUM(INDEX($D$10:$D$61,COUNT($D$10:D61)-15):D61))</x:f>
      </x:c>
      <x:c r="I61" s="143" t="str">
        <x:f>IF(COUNT($D$10:D61)&lt;32,"",SUM(INDEX($D$10:$D$61,COUNT($D$10:D61)-31):D61))</x:f>
      </x:c>
      <x:c r="J61" s="143" t="str">
        <x:f>IF(COUNT($D$10:D61)&lt;52,"",SUM(INDEX($D$10:$D$61,COUNT($D$10:D61)-51):D61))</x:f>
      </x:c>
      <x:c r="K61" s="105" t="str">
        <x:f>IF(A61="","",IF(C61&lt;=B61,"Dans les clous",IF((C61-B61)/B61&lt;0.05,"Écart faible",IF((C61-B61)/B61&lt;0.15,"Vigilance","Alerte forte"))))</x:f>
      </x:c>
    </x:row>
  </x:sheetData>
  <x:mergeCells>
    <x:mergeCell ref="A1:K1"/>
    <x:mergeCell ref="A2:K2"/>
    <x:mergeCell ref="A4:K4"/>
    <x:mergeCell ref="A7:K7"/>
  </x:mergeCells>
  <x:conditionalFormatting sqref="H5:H5">
    <x:cfRule type="containsText" dxfId="10" priority="1" operator="containsText" text="POSITIVE"/>
    <x:cfRule type="containsText" dxfId="11" priority="2" operator="containsText" text="NÉGATIVE"/>
  </x:conditionalFormatting>
  <x:conditionalFormatting sqref="K10:K61">
    <x:cfRule type="containsText" dxfId="12" priority="3" operator="containsText" text="Dans les clous"/>
    <x:cfRule type="containsText" dxfId="13" priority="4" operator="containsText" text="Vigilance"/>
    <x:cfRule type="containsText" dxfId="14" priority="5" operator="containsText" text="Alerte forte"/>
  </x:conditionalFormatting>
  <x:pageMargins left="0.7" right="0.7" top="0.75" bottom="0.75" header="0.3" footer="0.3"/>
</x:worksheet>
</file>